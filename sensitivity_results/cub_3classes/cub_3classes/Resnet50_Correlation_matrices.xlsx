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temp\ToGIT\cub_3classes\"/>
    </mc:Choice>
  </mc:AlternateContent>
  <xr:revisionPtr revIDLastSave="0" documentId="13_ncr:1_{F9880B81-8B05-4D46-B723-22611BF61A28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Sheet1" sheetId="4" r:id="rId1"/>
    <sheet name="Class_0" sheetId="1" r:id="rId2"/>
    <sheet name="Sheet2" sheetId="5" r:id="rId3"/>
    <sheet name="Class_1" sheetId="2" r:id="rId4"/>
    <sheet name="Class_2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3" i="5" l="1"/>
  <c r="L13" i="5"/>
  <c r="K13" i="5"/>
  <c r="J13" i="5"/>
  <c r="I13" i="5"/>
  <c r="H13" i="5"/>
  <c r="G13" i="5"/>
  <c r="F13" i="5"/>
  <c r="E13" i="5"/>
  <c r="D13" i="5"/>
  <c r="C13" i="5"/>
  <c r="B13" i="5"/>
  <c r="M12" i="5"/>
  <c r="L12" i="5"/>
  <c r="K12" i="5"/>
  <c r="J12" i="5"/>
  <c r="I12" i="5"/>
  <c r="H12" i="5"/>
  <c r="G12" i="5"/>
  <c r="F12" i="5"/>
  <c r="E12" i="5"/>
  <c r="D12" i="5"/>
  <c r="C12" i="5"/>
  <c r="B12" i="5"/>
  <c r="M11" i="5"/>
  <c r="L11" i="5"/>
  <c r="K11" i="5"/>
  <c r="J11" i="5"/>
  <c r="I11" i="5"/>
  <c r="H11" i="5"/>
  <c r="G11" i="5"/>
  <c r="F11" i="5"/>
  <c r="E11" i="5"/>
  <c r="D11" i="5"/>
  <c r="C11" i="5"/>
  <c r="B11" i="5"/>
  <c r="M10" i="5"/>
  <c r="L10" i="5"/>
  <c r="K10" i="5"/>
  <c r="J10" i="5"/>
  <c r="I10" i="5"/>
  <c r="H10" i="5"/>
  <c r="G10" i="5"/>
  <c r="F10" i="5"/>
  <c r="E10" i="5"/>
  <c r="D10" i="5"/>
  <c r="C10" i="5"/>
  <c r="B10" i="5"/>
  <c r="M9" i="5"/>
  <c r="L9" i="5"/>
  <c r="K9" i="5"/>
  <c r="J9" i="5"/>
  <c r="I9" i="5"/>
  <c r="H9" i="5"/>
  <c r="G9" i="5"/>
  <c r="F9" i="5"/>
  <c r="E9" i="5"/>
  <c r="D9" i="5"/>
  <c r="C9" i="5"/>
  <c r="B9" i="5"/>
  <c r="M8" i="5"/>
  <c r="L8" i="5"/>
  <c r="K8" i="5"/>
  <c r="J8" i="5"/>
  <c r="I8" i="5"/>
  <c r="H8" i="5"/>
  <c r="G8" i="5"/>
  <c r="F8" i="5"/>
  <c r="E8" i="5"/>
  <c r="D8" i="5"/>
  <c r="C8" i="5"/>
  <c r="B8" i="5"/>
  <c r="M7" i="5"/>
  <c r="L7" i="5"/>
  <c r="K7" i="5"/>
  <c r="J7" i="5"/>
  <c r="I7" i="5"/>
  <c r="H7" i="5"/>
  <c r="G7" i="5"/>
  <c r="F7" i="5"/>
  <c r="E7" i="5"/>
  <c r="D7" i="5"/>
  <c r="C7" i="5"/>
  <c r="B7" i="5"/>
  <c r="M6" i="5"/>
  <c r="L6" i="5"/>
  <c r="K6" i="5"/>
  <c r="J6" i="5"/>
  <c r="I6" i="5"/>
  <c r="H6" i="5"/>
  <c r="G6" i="5"/>
  <c r="F6" i="5"/>
  <c r="E6" i="5"/>
  <c r="D6" i="5"/>
  <c r="C6" i="5"/>
  <c r="B6" i="5"/>
  <c r="M5" i="5"/>
  <c r="L5" i="5"/>
  <c r="K5" i="5"/>
  <c r="J5" i="5"/>
  <c r="I5" i="5"/>
  <c r="H5" i="5"/>
  <c r="G5" i="5"/>
  <c r="F5" i="5"/>
  <c r="E5" i="5"/>
  <c r="D5" i="5"/>
  <c r="C5" i="5"/>
  <c r="B5" i="5"/>
  <c r="M4" i="5"/>
  <c r="L4" i="5"/>
  <c r="K4" i="5"/>
  <c r="J4" i="5"/>
  <c r="I4" i="5"/>
  <c r="H4" i="5"/>
  <c r="G4" i="5"/>
  <c r="F4" i="5"/>
  <c r="E4" i="5"/>
  <c r="D4" i="5"/>
  <c r="C4" i="5"/>
  <c r="B4" i="5"/>
  <c r="M3" i="5"/>
  <c r="L3" i="5"/>
  <c r="K3" i="5"/>
  <c r="J3" i="5"/>
  <c r="I3" i="5"/>
  <c r="H3" i="5"/>
  <c r="G3" i="5"/>
  <c r="F3" i="5"/>
  <c r="E3" i="5"/>
  <c r="D3" i="5"/>
  <c r="C3" i="5"/>
  <c r="B3" i="5"/>
  <c r="M2" i="5"/>
  <c r="L2" i="5"/>
  <c r="K2" i="5"/>
  <c r="J2" i="5"/>
  <c r="I2" i="5"/>
  <c r="H2" i="5"/>
  <c r="G2" i="5"/>
  <c r="F2" i="5"/>
  <c r="E2" i="5"/>
  <c r="D2" i="5"/>
  <c r="C2" i="5"/>
  <c r="B2" i="5"/>
  <c r="M1" i="5"/>
  <c r="L1" i="5"/>
  <c r="K1" i="5"/>
  <c r="J1" i="5"/>
  <c r="I1" i="5"/>
  <c r="H1" i="5"/>
  <c r="G1" i="5"/>
  <c r="F1" i="5"/>
  <c r="E1" i="5"/>
  <c r="D1" i="5"/>
  <c r="C1" i="5"/>
  <c r="B1" i="5"/>
  <c r="A13" i="5"/>
  <c r="A12" i="5"/>
  <c r="A11" i="5"/>
  <c r="A10" i="5"/>
  <c r="A9" i="5"/>
  <c r="A8" i="5"/>
  <c r="A7" i="5"/>
  <c r="A6" i="5"/>
  <c r="A5" i="5"/>
  <c r="A4" i="5"/>
  <c r="A3" i="5"/>
  <c r="A2" i="5"/>
  <c r="Q9" i="4"/>
  <c r="P9" i="4"/>
  <c r="P8" i="4"/>
  <c r="Q7" i="4"/>
  <c r="P7" i="4"/>
  <c r="Q6" i="4"/>
  <c r="P6" i="4"/>
  <c r="O9" i="4"/>
  <c r="N9" i="4"/>
  <c r="O7" i="4"/>
  <c r="N7" i="4"/>
  <c r="O6" i="4"/>
  <c r="N6" i="4"/>
  <c r="N8" i="4" s="1"/>
  <c r="M9" i="4"/>
  <c r="L9" i="4"/>
  <c r="M7" i="4"/>
  <c r="L7" i="4"/>
  <c r="M6" i="4"/>
  <c r="L6" i="4"/>
  <c r="L8" i="4" s="1"/>
  <c r="K9" i="4"/>
  <c r="J9" i="4"/>
  <c r="K7" i="4"/>
  <c r="J7" i="4"/>
  <c r="K6" i="4"/>
  <c r="J6" i="4"/>
  <c r="I9" i="4"/>
  <c r="H9" i="4"/>
  <c r="I7" i="4"/>
  <c r="H7" i="4"/>
  <c r="I6" i="4"/>
  <c r="H6" i="4"/>
  <c r="G9" i="4"/>
  <c r="F9" i="4"/>
  <c r="G7" i="4"/>
  <c r="F7" i="4"/>
  <c r="G6" i="4"/>
  <c r="F6" i="4"/>
  <c r="E9" i="4"/>
  <c r="D9" i="4"/>
  <c r="E7" i="4"/>
  <c r="D7" i="4"/>
  <c r="E6" i="4"/>
  <c r="D6" i="4"/>
  <c r="C9" i="4"/>
  <c r="B9" i="4"/>
  <c r="C7" i="4"/>
  <c r="B7" i="4"/>
  <c r="C6" i="4"/>
  <c r="B6" i="4"/>
  <c r="Q4" i="4"/>
  <c r="P4" i="4"/>
  <c r="O4" i="4"/>
  <c r="N4" i="4"/>
  <c r="M4" i="4"/>
  <c r="L4" i="4"/>
  <c r="K4" i="4"/>
  <c r="J4" i="4"/>
  <c r="I4" i="4"/>
  <c r="H4" i="4"/>
  <c r="G4" i="4"/>
  <c r="F4" i="4"/>
  <c r="E4" i="4"/>
  <c r="D4" i="4"/>
  <c r="C4" i="4"/>
  <c r="Q3" i="4"/>
  <c r="P3" i="4"/>
  <c r="O3" i="4"/>
  <c r="N3" i="4"/>
  <c r="M3" i="4"/>
  <c r="L3" i="4"/>
  <c r="K3" i="4"/>
  <c r="J3" i="4"/>
  <c r="I3" i="4"/>
  <c r="H3" i="4"/>
  <c r="G3" i="4"/>
  <c r="F3" i="4"/>
  <c r="E3" i="4"/>
  <c r="D3" i="4"/>
  <c r="C3" i="4"/>
  <c r="Q2" i="4"/>
  <c r="P2" i="4"/>
  <c r="O2" i="4"/>
  <c r="N2" i="4"/>
  <c r="M2" i="4"/>
  <c r="L2" i="4"/>
  <c r="K2" i="4"/>
  <c r="J2" i="4"/>
  <c r="I2" i="4"/>
  <c r="H2" i="4"/>
  <c r="G2" i="4"/>
  <c r="F2" i="4"/>
  <c r="E2" i="4"/>
  <c r="D2" i="4"/>
  <c r="C2" i="4"/>
  <c r="B2" i="4"/>
  <c r="B3" i="4"/>
  <c r="B4" i="4"/>
  <c r="Y1" i="4"/>
  <c r="X1" i="4"/>
  <c r="W1" i="4"/>
  <c r="V1" i="4"/>
  <c r="U1" i="4"/>
  <c r="T1" i="4"/>
  <c r="S1" i="4"/>
  <c r="R1" i="4"/>
  <c r="Q1" i="4"/>
  <c r="P1" i="4"/>
  <c r="O1" i="4"/>
  <c r="N1" i="4"/>
  <c r="M1" i="4"/>
  <c r="L1" i="4"/>
  <c r="K1" i="4"/>
  <c r="J1" i="4"/>
  <c r="I1" i="4"/>
  <c r="H1" i="4"/>
  <c r="G1" i="4"/>
  <c r="F1" i="4"/>
  <c r="E1" i="4"/>
  <c r="D1" i="4"/>
  <c r="C1" i="4"/>
  <c r="B1" i="4"/>
  <c r="J8" i="4" l="1"/>
  <c r="D8" i="4"/>
  <c r="H8" i="4"/>
  <c r="F8" i="4"/>
  <c r="B8" i="4"/>
</calcChain>
</file>

<file path=xl/sharedStrings.xml><?xml version="1.0" encoding="utf-8"?>
<sst xmlns="http://schemas.openxmlformats.org/spreadsheetml/2006/main" count="101" uniqueCount="21">
  <si>
    <t>layer1.0.conv1</t>
  </si>
  <si>
    <t>layer1.0.conv2</t>
  </si>
  <si>
    <t>layer1.0.conv3</t>
  </si>
  <si>
    <t>layer4.0.conv1</t>
  </si>
  <si>
    <t>layer4.0.conv2</t>
  </si>
  <si>
    <t>layer4.0.conv3</t>
  </si>
  <si>
    <t>layer4.1.conv1</t>
  </si>
  <si>
    <t>layer4.1.conv2</t>
  </si>
  <si>
    <t>layer4.1.conv3</t>
  </si>
  <si>
    <t>layer4.2.conv1</t>
  </si>
  <si>
    <t>layer4.2.conv2</t>
  </si>
  <si>
    <t>layer4.2.conv3</t>
  </si>
  <si>
    <t>sensitivityscore_After_layer4.2.conv3_0.5</t>
  </si>
  <si>
    <t>sensitivityscore_After_layer4.2.conv3_0.6</t>
  </si>
  <si>
    <t>sensitivityscore_After_layer4.2.conv3_0.7</t>
  </si>
  <si>
    <t>sensitivityscore_After_layer4.2.conv3_0.8</t>
  </si>
  <si>
    <t>Class</t>
  </si>
  <si>
    <t>Overall corelation</t>
  </si>
  <si>
    <t>Max Corelation layer</t>
  </si>
  <si>
    <t>Affects 2 classes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</si>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</sst>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3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1D945-D9D2-4754-B311-681040FF464F}">
  <dimension ref="A1:Y9"/>
  <sheetViews>
    <sheetView workbookViewId="0">
      <selection activeCell="Q6" sqref="Q6"/>
    </sheetView>
  </sheetViews>
  <sheetFormatPr defaultRowHeight="14.5" x14ac:dyDescent="0.35"/>
  <sheetData>
    <row r="1" spans="1:25" x14ac:dyDescent="0.35">
      <c r="A1" t="s">
        <v>16</v>
      </c>
      <c r="B1" t="str">
        <f>Class_0!B1</f>
        <v>layer1.0.conv1</v>
      </c>
      <c r="C1" t="str">
        <f>Class_0!C1</f>
        <v>layer1.0.conv2</v>
      </c>
      <c r="D1" t="str">
        <f>Class_0!D1</f>
        <v>layer1.0.conv3</v>
      </c>
      <c r="E1" t="str">
        <f>Class_0!E1</f>
        <v>layer4.0.conv1</v>
      </c>
      <c r="F1" t="str">
        <f>Class_0!F1</f>
        <v>layer4.0.conv2</v>
      </c>
      <c r="G1" t="str">
        <f>Class_0!G1</f>
        <v>layer4.0.conv3</v>
      </c>
      <c r="H1" t="str">
        <f>Class_0!H1</f>
        <v>layer4.1.conv1</v>
      </c>
      <c r="I1" t="str">
        <f>Class_0!I1</f>
        <v>layer4.1.conv2</v>
      </c>
      <c r="J1" t="str">
        <f>Class_0!J1</f>
        <v>layer4.1.conv3</v>
      </c>
      <c r="K1" t="str">
        <f>Class_0!K1</f>
        <v>layer4.2.conv1</v>
      </c>
      <c r="L1" t="str">
        <f>Class_0!L1</f>
        <v>layer4.2.conv2</v>
      </c>
      <c r="M1" t="str">
        <f>Class_0!M1</f>
        <v>layer4.2.conv3</v>
      </c>
      <c r="N1" t="str">
        <f>Class_0!N1</f>
        <v>sensitivityscore_After_layer4.2.conv3_0.5</v>
      </c>
      <c r="O1" t="str">
        <f>Class_0!O1</f>
        <v>sensitivityscore_After_layer4.2.conv3_0.6</v>
      </c>
      <c r="P1" t="str">
        <f>Class_0!P1</f>
        <v>sensitivityscore_After_layer4.2.conv3_0.7</v>
      </c>
      <c r="Q1" t="str">
        <f>Class_0!Q1</f>
        <v>sensitivityscore_After_layer4.2.conv3_0.8</v>
      </c>
      <c r="R1">
        <f>Class_0!R1</f>
        <v>0</v>
      </c>
      <c r="S1">
        <f>Class_0!S1</f>
        <v>0</v>
      </c>
      <c r="T1">
        <f>Class_0!T1</f>
        <v>0</v>
      </c>
      <c r="U1">
        <f>Class_0!U1</f>
        <v>0</v>
      </c>
      <c r="V1">
        <f>Class_0!V1</f>
        <v>0</v>
      </c>
      <c r="W1">
        <f>Class_0!W1</f>
        <v>0</v>
      </c>
      <c r="X1">
        <f>Class_0!X1</f>
        <v>0</v>
      </c>
      <c r="Y1">
        <f>Class_0!Y1</f>
        <v>0</v>
      </c>
    </row>
    <row r="2" spans="1:25" x14ac:dyDescent="0.35">
      <c r="A2">
        <v>0</v>
      </c>
      <c r="B2">
        <f>Class_0!B17</f>
        <v>-0.22750074034060841</v>
      </c>
      <c r="C2">
        <f>Class_0!C17</f>
        <v>-0.23895065840548499</v>
      </c>
      <c r="D2">
        <f>Class_0!D17</f>
        <v>5.5537538717848153E-2</v>
      </c>
      <c r="E2">
        <f>Class_0!E17</f>
        <v>0.14654075686725451</v>
      </c>
      <c r="F2">
        <f>Class_0!F17</f>
        <v>1.7295086209632639E-2</v>
      </c>
      <c r="G2">
        <f>Class_0!G17</f>
        <v>-3.6053115559197338E-2</v>
      </c>
      <c r="H2">
        <f>Class_0!H17</f>
        <v>0.17224590997340711</v>
      </c>
      <c r="I2">
        <f>Class_0!I17</f>
        <v>0.46418978176706133</v>
      </c>
      <c r="J2">
        <f>Class_0!J17</f>
        <v>-0.21481386755211271</v>
      </c>
      <c r="K2">
        <f>Class_0!K17</f>
        <v>0.29346826020955058</v>
      </c>
      <c r="L2">
        <f>Class_0!L17</f>
        <v>0.1529474430265024</v>
      </c>
      <c r="M2">
        <f>Class_0!M17</f>
        <v>-0.15365415456990411</v>
      </c>
      <c r="N2">
        <f>Class_0!N17</f>
        <v>0.65640772570466621</v>
      </c>
      <c r="O2">
        <f>Class_0!O17</f>
        <v>0.65228192389522766</v>
      </c>
      <c r="P2">
        <f>Class_0!P17</f>
        <v>0.76815872553751496</v>
      </c>
      <c r="Q2">
        <f>Class_0!Q17</f>
        <v>1</v>
      </c>
    </row>
    <row r="3" spans="1:25" x14ac:dyDescent="0.35">
      <c r="A3">
        <v>1</v>
      </c>
      <c r="B3">
        <f>Class_1!B17</f>
        <v>0.1272583513060794</v>
      </c>
      <c r="C3">
        <f>Class_1!C17</f>
        <v>4.1276119905226873E-2</v>
      </c>
      <c r="D3">
        <f>Class_1!D17</f>
        <v>0.1360678418534822</v>
      </c>
      <c r="E3">
        <f>Class_1!E17</f>
        <v>7.9670799586863864E-2</v>
      </c>
      <c r="F3">
        <f>Class_1!F17</f>
        <v>0.26555096985456578</v>
      </c>
      <c r="G3">
        <f>Class_1!G17</f>
        <v>0.27191321359078241</v>
      </c>
      <c r="H3">
        <f>Class_1!H17</f>
        <v>0.3193956248538774</v>
      </c>
      <c r="I3">
        <f>Class_1!I17</f>
        <v>0.27058549708300172</v>
      </c>
      <c r="J3">
        <f>Class_1!J17</f>
        <v>0.22527333074757849</v>
      </c>
      <c r="K3">
        <f>Class_1!K17</f>
        <v>-5.6891400868431842E-2</v>
      </c>
      <c r="L3">
        <f>Class_1!L17</f>
        <v>-7.7725196071841127E-2</v>
      </c>
      <c r="M3">
        <f>Class_1!M17</f>
        <v>0.2056965859938589</v>
      </c>
      <c r="N3">
        <f>Class_1!N17</f>
        <v>0.70060879796280451</v>
      </c>
      <c r="O3">
        <f>Class_1!O17</f>
        <v>0.69910306718620319</v>
      </c>
      <c r="P3">
        <f>Class_1!P17</f>
        <v>0.76425397233202153</v>
      </c>
      <c r="Q3">
        <f>Class_1!Q17</f>
        <v>1</v>
      </c>
    </row>
    <row r="4" spans="1:25" x14ac:dyDescent="0.35">
      <c r="A4">
        <v>2</v>
      </c>
      <c r="B4">
        <f>Class_2!B17</f>
        <v>-8.9634700054810862E-2</v>
      </c>
      <c r="C4">
        <f>Class_2!C17</f>
        <v>-1.1782557118807629E-2</v>
      </c>
      <c r="D4">
        <f>Class_2!D17</f>
        <v>0.31436191689462262</v>
      </c>
      <c r="E4">
        <f>Class_2!E17</f>
        <v>-4.5580202240867368E-2</v>
      </c>
      <c r="F4">
        <f>Class_2!F17</f>
        <v>7.6487703452437106E-2</v>
      </c>
      <c r="G4">
        <f>Class_2!G17</f>
        <v>4.0943806935047081E-2</v>
      </c>
      <c r="H4">
        <f>Class_2!H17</f>
        <v>1.181134622199676E-3</v>
      </c>
      <c r="I4">
        <f>Class_2!I17</f>
        <v>-6.516556437719126E-2</v>
      </c>
      <c r="J4">
        <f>Class_2!J17</f>
        <v>-0.49729120380470287</v>
      </c>
      <c r="K4">
        <f>Class_2!K17</f>
        <v>-9.0168126390846481E-2</v>
      </c>
      <c r="L4">
        <f>Class_2!L17</f>
        <v>2.0222399821828201E-2</v>
      </c>
      <c r="M4">
        <f>Class_2!M17</f>
        <v>-2.3042268593840079E-2</v>
      </c>
      <c r="N4">
        <f>Class_2!N17</f>
        <v>0.48621539917422202</v>
      </c>
      <c r="O4">
        <f>Class_2!O17</f>
        <v>0.67881742932360034</v>
      </c>
      <c r="P4">
        <f>Class_2!P17</f>
        <v>0.49161379208831152</v>
      </c>
      <c r="Q4">
        <f>Class_2!Q17</f>
        <v>1</v>
      </c>
    </row>
    <row r="6" spans="1:25" x14ac:dyDescent="0.35">
      <c r="A6" t="s">
        <v>17</v>
      </c>
      <c r="B6">
        <f>MIN(B2:B4)</f>
        <v>-0.22750074034060841</v>
      </c>
      <c r="C6">
        <f t="shared" ref="C6:E6" si="0">MIN(C2:C4)</f>
        <v>-0.23895065840548499</v>
      </c>
      <c r="D6">
        <f>MIN(D2:D4)</f>
        <v>5.5537538717848153E-2</v>
      </c>
      <c r="E6">
        <f t="shared" si="0"/>
        <v>-4.5580202240867368E-2</v>
      </c>
      <c r="F6">
        <f>MIN(F2:F4)</f>
        <v>1.7295086209632639E-2</v>
      </c>
      <c r="G6">
        <f t="shared" ref="G6:I6" si="1">MIN(G2:G4)</f>
        <v>-3.6053115559197338E-2</v>
      </c>
      <c r="H6">
        <f>MIN(H2:H4)</f>
        <v>1.181134622199676E-3</v>
      </c>
      <c r="I6">
        <f t="shared" si="1"/>
        <v>-6.516556437719126E-2</v>
      </c>
      <c r="J6">
        <f>MIN(J2:J4)</f>
        <v>-0.49729120380470287</v>
      </c>
      <c r="K6">
        <f t="shared" ref="K6:M6" si="2">MIN(K2:K4)</f>
        <v>-9.0168126390846481E-2</v>
      </c>
      <c r="L6">
        <f>MIN(L2:L4)</f>
        <v>-7.7725196071841127E-2</v>
      </c>
      <c r="M6">
        <f t="shared" si="2"/>
        <v>-0.15365415456990411</v>
      </c>
      <c r="N6">
        <f>MIN(N2:N4)</f>
        <v>0.48621539917422202</v>
      </c>
      <c r="O6">
        <f t="shared" ref="O6:Q6" si="3">MIN(O2:O4)</f>
        <v>0.65228192389522766</v>
      </c>
      <c r="P6">
        <f>MIN(P2:P4)</f>
        <v>0.49161379208831152</v>
      </c>
      <c r="Q6">
        <f t="shared" si="3"/>
        <v>1</v>
      </c>
    </row>
    <row r="7" spans="1:25" x14ac:dyDescent="0.35">
      <c r="B7" t="b">
        <f t="shared" ref="B7:C7" si="4">IF(AND(B2&gt;0,B3&gt;0,B4&gt;0),TRUE,FALSE)</f>
        <v>0</v>
      </c>
      <c r="C7" t="b">
        <f t="shared" si="4"/>
        <v>0</v>
      </c>
      <c r="D7" t="b">
        <f t="shared" ref="D7:E7" si="5">IF(AND(D2&gt;0,D3&gt;0,D4&gt;0),TRUE,FALSE)</f>
        <v>1</v>
      </c>
      <c r="E7" t="b">
        <f t="shared" si="5"/>
        <v>0</v>
      </c>
      <c r="F7" t="b">
        <f t="shared" ref="F7:G7" si="6">IF(AND(F2&gt;0,F3&gt;0,F4&gt;0),TRUE,FALSE)</f>
        <v>1</v>
      </c>
      <c r="G7" t="b">
        <f t="shared" si="6"/>
        <v>0</v>
      </c>
      <c r="H7" t="b">
        <f t="shared" ref="H7:I7" si="7">IF(AND(H2&gt;0,H3&gt;0,H4&gt;0),TRUE,FALSE)</f>
        <v>1</v>
      </c>
      <c r="I7" t="b">
        <f t="shared" si="7"/>
        <v>0</v>
      </c>
      <c r="J7" t="b">
        <f t="shared" ref="J7:K7" si="8">IF(AND(J2&gt;0,J3&gt;0,J4&gt;0),TRUE,FALSE)</f>
        <v>0</v>
      </c>
      <c r="K7" t="b">
        <f t="shared" si="8"/>
        <v>0</v>
      </c>
      <c r="L7" t="b">
        <f t="shared" ref="L7:M7" si="9">IF(AND(L2&gt;0,L3&gt;0,L4&gt;0),TRUE,FALSE)</f>
        <v>0</v>
      </c>
      <c r="M7" t="b">
        <f t="shared" si="9"/>
        <v>0</v>
      </c>
      <c r="N7" t="b">
        <f t="shared" ref="N7:O7" si="10">IF(AND(N2&gt;0,N3&gt;0,N4&gt;0),TRUE,FALSE)</f>
        <v>1</v>
      </c>
      <c r="O7" t="b">
        <f t="shared" si="10"/>
        <v>1</v>
      </c>
      <c r="P7" t="b">
        <f t="shared" ref="P7:Q7" si="11">IF(AND(P2&gt;0,P3&gt;0,P4&gt;0),TRUE,FALSE)</f>
        <v>1</v>
      </c>
      <c r="Q7" t="b">
        <f t="shared" si="11"/>
        <v>1</v>
      </c>
    </row>
    <row r="8" spans="1:25" x14ac:dyDescent="0.35">
      <c r="A8" t="s">
        <v>18</v>
      </c>
      <c r="B8">
        <f>MAX(B4:BI6)</f>
        <v>1</v>
      </c>
      <c r="D8">
        <f>MAX(D4:BK6)</f>
        <v>1</v>
      </c>
      <c r="F8">
        <f>MAX(F4:BM6)</f>
        <v>1</v>
      </c>
      <c r="H8">
        <f>MAX(H4:BO6)</f>
        <v>1</v>
      </c>
      <c r="J8">
        <f>MAX(J4:BQ6)</f>
        <v>1</v>
      </c>
      <c r="L8">
        <f>MAX(L4:BS6)</f>
        <v>1</v>
      </c>
      <c r="N8">
        <f>MAX(N4:BU6)</f>
        <v>1</v>
      </c>
      <c r="P8">
        <f>MAX(P4:BW6)</f>
        <v>1</v>
      </c>
    </row>
    <row r="9" spans="1:25" x14ac:dyDescent="0.35">
      <c r="A9" t="s">
        <v>19</v>
      </c>
      <c r="B9" t="b">
        <f>IF(OR(AND(B2&gt;0,B3&gt;0), AND(B2&gt;0,B4&gt;0), AND(B3&gt;0,B4&gt;0)), TRUE, FALSE)</f>
        <v>0</v>
      </c>
      <c r="C9" t="b">
        <f t="shared" ref="C9:E9" si="12">IF(OR(AND(C2&gt;0,C3&gt;0), AND(C2&gt;0,C4&gt;0), AND(C3&gt;0,C4&gt;0)), TRUE, FALSE)</f>
        <v>0</v>
      </c>
      <c r="D9" t="b">
        <f>IF(OR(AND(D2&gt;0,D3&gt;0), AND(D2&gt;0,D4&gt;0), AND(D3&gt;0,D4&gt;0)), TRUE, FALSE)</f>
        <v>1</v>
      </c>
      <c r="E9" t="b">
        <f t="shared" si="12"/>
        <v>1</v>
      </c>
      <c r="F9" t="b">
        <f>IF(OR(AND(F2&gt;0,F3&gt;0), AND(F2&gt;0,F4&gt;0), AND(F3&gt;0,F4&gt;0)), TRUE, FALSE)</f>
        <v>1</v>
      </c>
      <c r="G9" t="b">
        <f t="shared" ref="G9:I9" si="13">IF(OR(AND(G2&gt;0,G3&gt;0), AND(G2&gt;0,G4&gt;0), AND(G3&gt;0,G4&gt;0)), TRUE, FALSE)</f>
        <v>1</v>
      </c>
      <c r="H9" t="b">
        <f>IF(OR(AND(H2&gt;0,H3&gt;0), AND(H2&gt;0,H4&gt;0), AND(H3&gt;0,H4&gt;0)), TRUE, FALSE)</f>
        <v>1</v>
      </c>
      <c r="I9" t="b">
        <f t="shared" si="13"/>
        <v>1</v>
      </c>
      <c r="J9" t="b">
        <f>IF(OR(AND(J2&gt;0,J3&gt;0), AND(J2&gt;0,J4&gt;0), AND(J3&gt;0,J4&gt;0)), TRUE, FALSE)</f>
        <v>0</v>
      </c>
      <c r="K9" t="b">
        <f t="shared" ref="K9:M9" si="14">IF(OR(AND(K2&gt;0,K3&gt;0), AND(K2&gt;0,K4&gt;0), AND(K3&gt;0,K4&gt;0)), TRUE, FALSE)</f>
        <v>0</v>
      </c>
      <c r="L9" t="b">
        <f>IF(OR(AND(L2&gt;0,L3&gt;0), AND(L2&gt;0,L4&gt;0), AND(L3&gt;0,L4&gt;0)), TRUE, FALSE)</f>
        <v>1</v>
      </c>
      <c r="M9" t="b">
        <f t="shared" si="14"/>
        <v>0</v>
      </c>
      <c r="N9" t="b">
        <f>IF(OR(AND(N2&gt;0,N3&gt;0), AND(N2&gt;0,N4&gt;0), AND(N3&gt;0,N4&gt;0)), TRUE, FALSE)</f>
        <v>1</v>
      </c>
      <c r="O9" t="b">
        <f t="shared" ref="O9:Q9" si="15">IF(OR(AND(O2&gt;0,O3&gt;0), AND(O2&gt;0,O4&gt;0), AND(O3&gt;0,O4&gt;0)), TRUE, FALSE)</f>
        <v>1</v>
      </c>
      <c r="P9" t="b">
        <f>IF(OR(AND(P2&gt;0,P3&gt;0), AND(P2&gt;0,P4&gt;0), AND(P3&gt;0,P4&gt;0)), TRUE, FALSE)</f>
        <v>1</v>
      </c>
      <c r="Q9" t="b">
        <f t="shared" si="15"/>
        <v>1</v>
      </c>
    </row>
  </sheetData>
  <conditionalFormatting sqref="B6:Q6">
    <cfRule type="cellIs" dxfId="2" priority="3" operator="greaterThan">
      <formula>0</formula>
    </cfRule>
  </conditionalFormatting>
  <conditionalFormatting sqref="B7:Q7">
    <cfRule type="cellIs" dxfId="1" priority="1" operator="equal">
      <formula>TRUE</formula>
    </cfRule>
  </conditionalFormatting>
  <conditionalFormatting sqref="B9:Q9">
    <cfRule type="cellIs" dxfId="0" priority="2" operator="equal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7"/>
  <sheetViews>
    <sheetView workbookViewId="0">
      <selection activeCell="G22" sqref="G22"/>
    </sheetView>
  </sheetViews>
  <sheetFormatPr defaultRowHeight="14.5" x14ac:dyDescent="0.35"/>
  <sheetData>
    <row r="1" spans="1:17" x14ac:dyDescent="0.35">
      <c r="A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x14ac:dyDescent="0.35">
      <c r="A2" s="1" t="s">
        <v>0</v>
      </c>
      <c r="B2">
        <v>1</v>
      </c>
      <c r="C2">
        <v>0.62898211599274823</v>
      </c>
      <c r="D2">
        <v>0.54845062278750289</v>
      </c>
      <c r="E2">
        <v>7.3724550255350629E-2</v>
      </c>
      <c r="F2">
        <v>0.1045152282374288</v>
      </c>
      <c r="G2">
        <v>-0.15522695589963539</v>
      </c>
      <c r="H2">
        <v>-4.5452138788674842E-3</v>
      </c>
      <c r="I2">
        <v>-9.4615140027804245E-2</v>
      </c>
      <c r="J2">
        <v>0.25309000714925128</v>
      </c>
      <c r="K2">
        <v>0.1148992407577847</v>
      </c>
      <c r="L2">
        <v>0.31629148026569492</v>
      </c>
      <c r="M2">
        <v>5.3550909229204441E-2</v>
      </c>
      <c r="N2">
        <v>-0.1232436675255138</v>
      </c>
      <c r="O2">
        <v>-0.16439400604686241</v>
      </c>
      <c r="P2">
        <v>-0.13813820348831729</v>
      </c>
      <c r="Q2">
        <v>-0.22750074034060841</v>
      </c>
    </row>
    <row r="3" spans="1:17" x14ac:dyDescent="0.35">
      <c r="A3" s="1" t="s">
        <v>1</v>
      </c>
      <c r="B3">
        <v>0.62898211599274823</v>
      </c>
      <c r="C3">
        <v>1</v>
      </c>
      <c r="D3">
        <v>0.4987110327465869</v>
      </c>
      <c r="E3">
        <v>0.1084713060582418</v>
      </c>
      <c r="F3">
        <v>0.10827550549697849</v>
      </c>
      <c r="G3">
        <v>1.2166964354941681E-2</v>
      </c>
      <c r="H3">
        <v>0.14216333741798939</v>
      </c>
      <c r="I3">
        <v>-5.432172980292635E-2</v>
      </c>
      <c r="J3">
        <v>0.16740787402753901</v>
      </c>
      <c r="K3">
        <v>0.13743203813285079</v>
      </c>
      <c r="L3">
        <v>0.25384478279124439</v>
      </c>
      <c r="M3">
        <v>0.22510781180789921</v>
      </c>
      <c r="N3">
        <v>-0.132044144088801</v>
      </c>
      <c r="O3">
        <v>4.4493821420374738E-3</v>
      </c>
      <c r="P3">
        <v>-4.8058476517739403E-2</v>
      </c>
      <c r="Q3">
        <v>-0.23895065840548499</v>
      </c>
    </row>
    <row r="4" spans="1:17" x14ac:dyDescent="0.35">
      <c r="A4" s="1" t="s">
        <v>2</v>
      </c>
      <c r="B4">
        <v>0.54845062278750289</v>
      </c>
      <c r="C4">
        <v>0.4987110327465869</v>
      </c>
      <c r="D4">
        <v>1</v>
      </c>
      <c r="E4">
        <v>0.1235442086900846</v>
      </c>
      <c r="F4">
        <v>0.21682032298322729</v>
      </c>
      <c r="G4">
        <v>-3.7155449450192737E-2</v>
      </c>
      <c r="H4">
        <v>0.26722202913559773</v>
      </c>
      <c r="I4">
        <v>0.1147825442681521</v>
      </c>
      <c r="J4">
        <v>0.1187132411200318</v>
      </c>
      <c r="K4">
        <v>6.924284415007792E-2</v>
      </c>
      <c r="L4">
        <v>0.49329200631464432</v>
      </c>
      <c r="M4">
        <v>8.1647541221493689E-2</v>
      </c>
      <c r="N4">
        <v>0.18114366871320561</v>
      </c>
      <c r="O4">
        <v>0.15132672290903379</v>
      </c>
      <c r="P4">
        <v>0.37341754583726128</v>
      </c>
      <c r="Q4">
        <v>5.5537538717848153E-2</v>
      </c>
    </row>
    <row r="5" spans="1:17" x14ac:dyDescent="0.35">
      <c r="A5" s="1" t="s">
        <v>3</v>
      </c>
      <c r="B5">
        <v>7.3724550255350629E-2</v>
      </c>
      <c r="C5">
        <v>0.1084713060582418</v>
      </c>
      <c r="D5">
        <v>0.1235442086900846</v>
      </c>
      <c r="E5">
        <v>1</v>
      </c>
      <c r="F5">
        <v>0.6674784491474246</v>
      </c>
      <c r="G5">
        <v>0.2665181372596091</v>
      </c>
      <c r="H5">
        <v>0.52017836621015945</v>
      </c>
      <c r="I5">
        <v>0.41469314222917097</v>
      </c>
      <c r="J5">
        <v>0.31419452243398688</v>
      </c>
      <c r="K5">
        <v>0.17584665063364219</v>
      </c>
      <c r="L5">
        <v>0.21091283873196831</v>
      </c>
      <c r="M5">
        <v>0.37990211834116161</v>
      </c>
      <c r="N5">
        <v>0.13076135892269691</v>
      </c>
      <c r="O5">
        <v>9.97591418128769E-2</v>
      </c>
      <c r="P5">
        <v>0.25334569505781729</v>
      </c>
      <c r="Q5">
        <v>0.14654075686725451</v>
      </c>
    </row>
    <row r="6" spans="1:17" x14ac:dyDescent="0.35">
      <c r="A6" s="1" t="s">
        <v>4</v>
      </c>
      <c r="B6">
        <v>0.1045152282374288</v>
      </c>
      <c r="C6">
        <v>0.10827550549697849</v>
      </c>
      <c r="D6">
        <v>0.21682032298322729</v>
      </c>
      <c r="E6">
        <v>0.6674784491474246</v>
      </c>
      <c r="F6">
        <v>1</v>
      </c>
      <c r="G6">
        <v>0.4590188107695537</v>
      </c>
      <c r="H6">
        <v>0.52768842445818387</v>
      </c>
      <c r="I6">
        <v>0.40891926522122463</v>
      </c>
      <c r="J6">
        <v>0.28962374198022389</v>
      </c>
      <c r="K6">
        <v>0.28506511689520081</v>
      </c>
      <c r="L6">
        <v>0.27969843211681122</v>
      </c>
      <c r="M6">
        <v>0.34569635001173998</v>
      </c>
      <c r="N6">
        <v>5.0960078775265073E-2</v>
      </c>
      <c r="O6">
        <v>1.868783748785792E-2</v>
      </c>
      <c r="P6">
        <v>0.1496330980589749</v>
      </c>
      <c r="Q6">
        <v>1.7295086209632639E-2</v>
      </c>
    </row>
    <row r="7" spans="1:17" x14ac:dyDescent="0.35">
      <c r="A7" s="1" t="s">
        <v>5</v>
      </c>
      <c r="B7">
        <v>-0.15522695589963539</v>
      </c>
      <c r="C7">
        <v>1.2166964354941681E-2</v>
      </c>
      <c r="D7">
        <v>-3.7155449450192737E-2</v>
      </c>
      <c r="E7">
        <v>0.2665181372596091</v>
      </c>
      <c r="F7">
        <v>0.4590188107695537</v>
      </c>
      <c r="G7">
        <v>1</v>
      </c>
      <c r="H7">
        <v>0.49748558965582118</v>
      </c>
      <c r="I7">
        <v>0.3437224585249235</v>
      </c>
      <c r="J7">
        <v>0.2185371051313014</v>
      </c>
      <c r="K7">
        <v>0.26742797529192769</v>
      </c>
      <c r="L7">
        <v>-2.467668853956005E-3</v>
      </c>
      <c r="M7">
        <v>-7.6808516747253974E-2</v>
      </c>
      <c r="N7">
        <v>-9.815974191055489E-2</v>
      </c>
      <c r="O7">
        <v>-0.1548835723332056</v>
      </c>
      <c r="P7">
        <v>5.8638570479131881E-2</v>
      </c>
      <c r="Q7">
        <v>-3.6053115559197338E-2</v>
      </c>
    </row>
    <row r="8" spans="1:17" x14ac:dyDescent="0.35">
      <c r="A8" s="1" t="s">
        <v>6</v>
      </c>
      <c r="B8">
        <v>-4.5452138788674842E-3</v>
      </c>
      <c r="C8">
        <v>0.14216333741798939</v>
      </c>
      <c r="D8">
        <v>0.26722202913559773</v>
      </c>
      <c r="E8">
        <v>0.52017836621015945</v>
      </c>
      <c r="F8">
        <v>0.52768842445818387</v>
      </c>
      <c r="G8">
        <v>0.49748558965582118</v>
      </c>
      <c r="H8">
        <v>1</v>
      </c>
      <c r="I8">
        <v>0.54447097826902902</v>
      </c>
      <c r="J8">
        <v>0.38076979367855068</v>
      </c>
      <c r="K8">
        <v>0.31651579449596029</v>
      </c>
      <c r="L8">
        <v>0.42154274629024308</v>
      </c>
      <c r="M8">
        <v>0.1931587729862615</v>
      </c>
      <c r="N8">
        <v>0.13104536133007949</v>
      </c>
      <c r="O8">
        <v>5.420029134132532E-2</v>
      </c>
      <c r="P8">
        <v>0.33635389350508033</v>
      </c>
      <c r="Q8">
        <v>0.17224590997340711</v>
      </c>
    </row>
    <row r="9" spans="1:17" x14ac:dyDescent="0.35">
      <c r="A9" s="1" t="s">
        <v>7</v>
      </c>
      <c r="B9">
        <v>-9.4615140027804245E-2</v>
      </c>
      <c r="C9">
        <v>-5.432172980292635E-2</v>
      </c>
      <c r="D9">
        <v>0.1147825442681521</v>
      </c>
      <c r="E9">
        <v>0.41469314222917097</v>
      </c>
      <c r="F9">
        <v>0.40891926522122463</v>
      </c>
      <c r="G9">
        <v>0.3437224585249235</v>
      </c>
      <c r="H9">
        <v>0.54447097826902902</v>
      </c>
      <c r="I9">
        <v>1</v>
      </c>
      <c r="J9">
        <v>5.3459836147924981E-2</v>
      </c>
      <c r="K9">
        <v>0.54930175794002922</v>
      </c>
      <c r="L9">
        <v>0.45313702697798969</v>
      </c>
      <c r="M9">
        <v>0.10243175648617681</v>
      </c>
      <c r="N9">
        <v>0.35931486396226647</v>
      </c>
      <c r="O9">
        <v>0.26863066871230179</v>
      </c>
      <c r="P9">
        <v>0.46538870041171532</v>
      </c>
      <c r="Q9">
        <v>0.46418978176706133</v>
      </c>
    </row>
    <row r="10" spans="1:17" x14ac:dyDescent="0.35">
      <c r="A10" s="1" t="s">
        <v>8</v>
      </c>
      <c r="B10">
        <v>0.25309000714925128</v>
      </c>
      <c r="C10">
        <v>0.16740787402753901</v>
      </c>
      <c r="D10">
        <v>0.1187132411200318</v>
      </c>
      <c r="E10">
        <v>0.31419452243398688</v>
      </c>
      <c r="F10">
        <v>0.28962374198022389</v>
      </c>
      <c r="G10">
        <v>0.2185371051313014</v>
      </c>
      <c r="H10">
        <v>0.38076979367855068</v>
      </c>
      <c r="I10">
        <v>5.3459836147924981E-2</v>
      </c>
      <c r="J10">
        <v>1</v>
      </c>
      <c r="K10">
        <v>-2.9268276083821178E-2</v>
      </c>
      <c r="L10">
        <v>0.1630189266799689</v>
      </c>
      <c r="M10">
        <v>0.29131930422820362</v>
      </c>
      <c r="N10">
        <v>-0.28148706473589052</v>
      </c>
      <c r="O10">
        <v>-0.27808709378753649</v>
      </c>
      <c r="P10">
        <v>-0.1706122451888567</v>
      </c>
      <c r="Q10">
        <v>-0.21481386755211271</v>
      </c>
    </row>
    <row r="11" spans="1:17" x14ac:dyDescent="0.35">
      <c r="A11" s="1" t="s">
        <v>9</v>
      </c>
      <c r="B11">
        <v>0.1148992407577847</v>
      </c>
      <c r="C11">
        <v>0.13743203813285079</v>
      </c>
      <c r="D11">
        <v>6.924284415007792E-2</v>
      </c>
      <c r="E11">
        <v>0.17584665063364219</v>
      </c>
      <c r="F11">
        <v>0.28506511689520081</v>
      </c>
      <c r="G11">
        <v>0.26742797529192769</v>
      </c>
      <c r="H11">
        <v>0.31651579449596029</v>
      </c>
      <c r="I11">
        <v>0.54930175794002922</v>
      </c>
      <c r="J11">
        <v>-2.9268276083821178E-2</v>
      </c>
      <c r="K11">
        <v>1</v>
      </c>
      <c r="L11">
        <v>0.60182497791669753</v>
      </c>
      <c r="M11">
        <v>7.1652328806776175E-2</v>
      </c>
      <c r="N11">
        <v>0.31807727163412219</v>
      </c>
      <c r="O11">
        <v>0.1440738484385074</v>
      </c>
      <c r="P11">
        <v>0.30620698180810352</v>
      </c>
      <c r="Q11">
        <v>0.29346826020955058</v>
      </c>
    </row>
    <row r="12" spans="1:17" x14ac:dyDescent="0.35">
      <c r="A12" s="1" t="s">
        <v>10</v>
      </c>
      <c r="B12">
        <v>0.31629148026569492</v>
      </c>
      <c r="C12">
        <v>0.25384478279124439</v>
      </c>
      <c r="D12">
        <v>0.49329200631464432</v>
      </c>
      <c r="E12">
        <v>0.21091283873196831</v>
      </c>
      <c r="F12">
        <v>0.27969843211681122</v>
      </c>
      <c r="G12">
        <v>-2.467668853956005E-3</v>
      </c>
      <c r="H12">
        <v>0.42154274629024308</v>
      </c>
      <c r="I12">
        <v>0.45313702697798969</v>
      </c>
      <c r="J12">
        <v>0.1630189266799689</v>
      </c>
      <c r="K12">
        <v>0.60182497791669753</v>
      </c>
      <c r="L12">
        <v>1</v>
      </c>
      <c r="M12">
        <v>0.13421149666184659</v>
      </c>
      <c r="N12">
        <v>0.30894609348166718</v>
      </c>
      <c r="O12">
        <v>0.17184208969280329</v>
      </c>
      <c r="P12">
        <v>0.39314626519553819</v>
      </c>
      <c r="Q12">
        <v>0.1529474430265024</v>
      </c>
    </row>
    <row r="13" spans="1:17" x14ac:dyDescent="0.35">
      <c r="A13" s="1" t="s">
        <v>11</v>
      </c>
      <c r="B13">
        <v>5.3550909229204441E-2</v>
      </c>
      <c r="C13">
        <v>0.22510781180789921</v>
      </c>
      <c r="D13">
        <v>8.1647541221493689E-2</v>
      </c>
      <c r="E13">
        <v>0.37990211834116161</v>
      </c>
      <c r="F13">
        <v>0.34569635001173998</v>
      </c>
      <c r="G13">
        <v>-7.6808516747253974E-2</v>
      </c>
      <c r="H13">
        <v>0.1931587729862615</v>
      </c>
      <c r="I13">
        <v>0.10243175648617681</v>
      </c>
      <c r="J13">
        <v>0.29131930422820362</v>
      </c>
      <c r="K13">
        <v>7.1652328806776175E-2</v>
      </c>
      <c r="L13">
        <v>0.13421149666184659</v>
      </c>
      <c r="M13">
        <v>1</v>
      </c>
      <c r="N13">
        <v>-0.17004165008400829</v>
      </c>
      <c r="O13">
        <v>-9.2810389069182597E-2</v>
      </c>
      <c r="P13">
        <v>2.7651400901145349E-2</v>
      </c>
      <c r="Q13">
        <v>-0.15365415456990411</v>
      </c>
    </row>
    <row r="14" spans="1:17" x14ac:dyDescent="0.35">
      <c r="A14" s="1" t="s">
        <v>12</v>
      </c>
      <c r="B14">
        <v>-0.1232436675255138</v>
      </c>
      <c r="C14">
        <v>-0.132044144088801</v>
      </c>
      <c r="D14">
        <v>0.18114366871320561</v>
      </c>
      <c r="E14">
        <v>0.13076135892269691</v>
      </c>
      <c r="F14">
        <v>5.0960078775265073E-2</v>
      </c>
      <c r="G14">
        <v>-9.815974191055489E-2</v>
      </c>
      <c r="H14">
        <v>0.13104536133007949</v>
      </c>
      <c r="I14">
        <v>0.35931486396226647</v>
      </c>
      <c r="J14">
        <v>-0.28148706473589052</v>
      </c>
      <c r="K14">
        <v>0.31807727163412219</v>
      </c>
      <c r="L14">
        <v>0.30894609348166718</v>
      </c>
      <c r="M14">
        <v>-0.17004165008400829</v>
      </c>
      <c r="N14">
        <v>1</v>
      </c>
      <c r="O14">
        <v>0.75119039618118844</v>
      </c>
      <c r="P14">
        <v>0.74807135147785442</v>
      </c>
      <c r="Q14">
        <v>0.65640772570466621</v>
      </c>
    </row>
    <row r="15" spans="1:17" x14ac:dyDescent="0.35">
      <c r="A15" s="1" t="s">
        <v>13</v>
      </c>
      <c r="B15">
        <v>-0.16439400604686241</v>
      </c>
      <c r="C15">
        <v>4.4493821420374738E-3</v>
      </c>
      <c r="D15">
        <v>0.15132672290903379</v>
      </c>
      <c r="E15">
        <v>9.97591418128769E-2</v>
      </c>
      <c r="F15">
        <v>1.868783748785792E-2</v>
      </c>
      <c r="G15">
        <v>-0.1548835723332056</v>
      </c>
      <c r="H15">
        <v>5.420029134132532E-2</v>
      </c>
      <c r="I15">
        <v>0.26863066871230179</v>
      </c>
      <c r="J15">
        <v>-0.27808709378753649</v>
      </c>
      <c r="K15">
        <v>0.1440738484385074</v>
      </c>
      <c r="L15">
        <v>0.17184208969280329</v>
      </c>
      <c r="M15">
        <v>-9.2810389069182597E-2</v>
      </c>
      <c r="N15">
        <v>0.75119039618118844</v>
      </c>
      <c r="O15">
        <v>1</v>
      </c>
      <c r="P15">
        <v>0.74039440691754743</v>
      </c>
      <c r="Q15">
        <v>0.65228192389522766</v>
      </c>
    </row>
    <row r="16" spans="1:17" x14ac:dyDescent="0.35">
      <c r="A16" s="1" t="s">
        <v>14</v>
      </c>
      <c r="B16">
        <v>-0.13813820348831729</v>
      </c>
      <c r="C16">
        <v>-4.8058476517739403E-2</v>
      </c>
      <c r="D16">
        <v>0.37341754583726128</v>
      </c>
      <c r="E16">
        <v>0.25334569505781729</v>
      </c>
      <c r="F16">
        <v>0.1496330980589749</v>
      </c>
      <c r="G16">
        <v>5.8638570479131881E-2</v>
      </c>
      <c r="H16">
        <v>0.33635389350508033</v>
      </c>
      <c r="I16">
        <v>0.46538870041171532</v>
      </c>
      <c r="J16">
        <v>-0.1706122451888567</v>
      </c>
      <c r="K16">
        <v>0.30620698180810352</v>
      </c>
      <c r="L16">
        <v>0.39314626519553819</v>
      </c>
      <c r="M16">
        <v>2.7651400901145349E-2</v>
      </c>
      <c r="N16">
        <v>0.74807135147785442</v>
      </c>
      <c r="O16">
        <v>0.74039440691754743</v>
      </c>
      <c r="P16">
        <v>1</v>
      </c>
      <c r="Q16">
        <v>0.76815872553751496</v>
      </c>
    </row>
    <row r="17" spans="1:17" x14ac:dyDescent="0.35">
      <c r="A17" s="1" t="s">
        <v>15</v>
      </c>
      <c r="B17">
        <v>-0.22750074034060841</v>
      </c>
      <c r="C17">
        <v>-0.23895065840548499</v>
      </c>
      <c r="D17">
        <v>5.5537538717848153E-2</v>
      </c>
      <c r="E17">
        <v>0.14654075686725451</v>
      </c>
      <c r="F17">
        <v>1.7295086209632639E-2</v>
      </c>
      <c r="G17">
        <v>-3.6053115559197338E-2</v>
      </c>
      <c r="H17">
        <v>0.17224590997340711</v>
      </c>
      <c r="I17">
        <v>0.46418978176706133</v>
      </c>
      <c r="J17">
        <v>-0.21481386755211271</v>
      </c>
      <c r="K17">
        <v>0.29346826020955058</v>
      </c>
      <c r="L17">
        <v>0.1529474430265024</v>
      </c>
      <c r="M17">
        <v>-0.15365415456990411</v>
      </c>
      <c r="N17">
        <v>0.65640772570466621</v>
      </c>
      <c r="O17">
        <v>0.65228192389522766</v>
      </c>
      <c r="P17">
        <v>0.76815872553751496</v>
      </c>
      <c r="Q17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AC72C-14B3-4BBF-A1A1-C15C18AAF89E}">
  <dimension ref="A1:M13"/>
  <sheetViews>
    <sheetView tabSelected="1" topLeftCell="B1" workbookViewId="0">
      <selection sqref="A1:M13"/>
    </sheetView>
  </sheetViews>
  <sheetFormatPr defaultRowHeight="14.5" x14ac:dyDescent="0.35"/>
  <cols>
    <col min="1" max="13" width="13" bestFit="1" customWidth="1"/>
  </cols>
  <sheetData>
    <row r="1" spans="1:13" x14ac:dyDescent="0.35">
      <c r="B1" s="2" t="str">
        <f>Class_0!B1</f>
        <v>layer1.0.conv1</v>
      </c>
      <c r="C1" s="2" t="str">
        <f>Class_0!C1</f>
        <v>layer1.0.conv2</v>
      </c>
      <c r="D1" s="2" t="str">
        <f>Class_0!D1</f>
        <v>layer1.0.conv3</v>
      </c>
      <c r="E1" s="2" t="str">
        <f>Class_0!E1</f>
        <v>layer4.0.conv1</v>
      </c>
      <c r="F1" s="2" t="str">
        <f>Class_0!F1</f>
        <v>layer4.0.conv2</v>
      </c>
      <c r="G1" s="2" t="str">
        <f>Class_0!G1</f>
        <v>layer4.0.conv3</v>
      </c>
      <c r="H1" s="2" t="str">
        <f>Class_0!H1</f>
        <v>layer4.1.conv1</v>
      </c>
      <c r="I1" s="2" t="str">
        <f>Class_0!I1</f>
        <v>layer4.1.conv2</v>
      </c>
      <c r="J1" s="2" t="str">
        <f>Class_0!J1</f>
        <v>layer4.1.conv3</v>
      </c>
      <c r="K1" s="2" t="str">
        <f>Class_0!K1</f>
        <v>layer4.2.conv1</v>
      </c>
      <c r="L1" s="2" t="str">
        <f>Class_0!L1</f>
        <v>layer4.2.conv2</v>
      </c>
      <c r="M1" s="2" t="str">
        <f>Class_0!M1</f>
        <v>layer4.2.conv3</v>
      </c>
    </row>
    <row r="2" spans="1:13" x14ac:dyDescent="0.35">
      <c r="A2" t="str">
        <f>Class_0!A2</f>
        <v>layer1.0.conv1</v>
      </c>
      <c r="B2" s="2" t="str">
        <f>IF(MIN(Class_0!B2,Class_1!B2,Class_2!B2)&gt;0,CHAR(43),CHAR(45))</f>
        <v>+</v>
      </c>
      <c r="C2" s="2" t="str">
        <f>IF(MIN(Class_0!C2,Class_1!C2,Class_2!C2)&gt;0,CHAR(43),CHAR(45))</f>
        <v>+</v>
      </c>
      <c r="D2" s="2" t="str">
        <f>IF(MIN(Class_0!D2,Class_1!D2,Class_2!D2)&gt;0,CHAR(43),CHAR(45))</f>
        <v>+</v>
      </c>
      <c r="E2" s="2" t="str">
        <f>IF(MIN(Class_0!E2,Class_1!E2,Class_2!E2)&gt;0,CHAR(43),CHAR(45))</f>
        <v>+</v>
      </c>
      <c r="F2" s="2" t="str">
        <f>IF(MIN(Class_0!F2,Class_1!F2,Class_2!F2)&gt;0,CHAR(43),CHAR(45))</f>
        <v>+</v>
      </c>
      <c r="G2" s="2" t="str">
        <f>IF(MIN(Class_0!G2,Class_1!G2,Class_2!G2)&gt;0,CHAR(43),CHAR(45))</f>
        <v>-</v>
      </c>
      <c r="H2" s="2" t="str">
        <f>IF(MIN(Class_0!H2,Class_1!H2,Class_2!H2)&gt;0,CHAR(43),CHAR(45))</f>
        <v>-</v>
      </c>
      <c r="I2" s="2" t="str">
        <f>IF(MIN(Class_0!I2,Class_1!I2,Class_2!I2)&gt;0,CHAR(43),CHAR(45))</f>
        <v>-</v>
      </c>
      <c r="J2" s="2" t="str">
        <f>IF(MIN(Class_0!J2,Class_1!J2,Class_2!J2)&gt;0,CHAR(43),CHAR(45))</f>
        <v>-</v>
      </c>
      <c r="K2" s="2" t="str">
        <f>IF(MIN(Class_0!K2,Class_1!K2,Class_2!K2)&gt;0,CHAR(43),CHAR(45))</f>
        <v>-</v>
      </c>
      <c r="L2" s="2" t="str">
        <f>IF(MIN(Class_0!L2,Class_1!L2,Class_2!L2)&gt;0,CHAR(43),CHAR(45))</f>
        <v>-</v>
      </c>
      <c r="M2" s="2" t="str">
        <f>IF(MIN(Class_0!M2,Class_1!M2,Class_2!M2)&gt;0,CHAR(43),CHAR(45))</f>
        <v>-</v>
      </c>
    </row>
    <row r="3" spans="1:13" x14ac:dyDescent="0.35">
      <c r="A3" t="str">
        <f>Class_0!A3</f>
        <v>layer1.0.conv2</v>
      </c>
      <c r="B3" s="2" t="str">
        <f>IF(MIN(Class_0!B3,Class_1!B3,Class_2!B3)&gt;0,CHAR(43),CHAR(45))</f>
        <v>+</v>
      </c>
      <c r="C3" s="2" t="str">
        <f>IF(MIN(Class_0!C3,Class_1!C3,Class_2!C3)&gt;0,CHAR(43),CHAR(45))</f>
        <v>+</v>
      </c>
      <c r="D3" s="2" t="str">
        <f>IF(MIN(Class_0!D3,Class_1!D3,Class_2!D3)&gt;0,CHAR(43),CHAR(45))</f>
        <v>+</v>
      </c>
      <c r="E3" s="2" t="str">
        <f>IF(MIN(Class_0!E3,Class_1!E3,Class_2!E3)&gt;0,CHAR(43),CHAR(45))</f>
        <v>-</v>
      </c>
      <c r="F3" s="2" t="str">
        <f>IF(MIN(Class_0!F3,Class_1!F3,Class_2!F3)&gt;0,CHAR(43),CHAR(45))</f>
        <v>-</v>
      </c>
      <c r="G3" s="2" t="str">
        <f>IF(MIN(Class_0!G3,Class_1!G3,Class_2!G3)&gt;0,CHAR(43),CHAR(45))</f>
        <v>-</v>
      </c>
      <c r="H3" s="2" t="str">
        <f>IF(MIN(Class_0!H3,Class_1!H3,Class_2!H3)&gt;0,CHAR(43),CHAR(45))</f>
        <v>+</v>
      </c>
      <c r="I3" s="2" t="str">
        <f>IF(MIN(Class_0!I3,Class_1!I3,Class_2!I3)&gt;0,CHAR(43),CHAR(45))</f>
        <v>-</v>
      </c>
      <c r="J3" s="2" t="str">
        <f>IF(MIN(Class_0!J3,Class_1!J3,Class_2!J3)&gt;0,CHAR(43),CHAR(45))</f>
        <v>-</v>
      </c>
      <c r="K3" s="2" t="str">
        <f>IF(MIN(Class_0!K3,Class_1!K3,Class_2!K3)&gt;0,CHAR(43),CHAR(45))</f>
        <v>-</v>
      </c>
      <c r="L3" s="2" t="str">
        <f>IF(MIN(Class_0!L3,Class_1!L3,Class_2!L3)&gt;0,CHAR(43),CHAR(45))</f>
        <v>-</v>
      </c>
      <c r="M3" s="2" t="str">
        <f>IF(MIN(Class_0!M3,Class_1!M3,Class_2!M3)&gt;0,CHAR(43),CHAR(45))</f>
        <v>-</v>
      </c>
    </row>
    <row r="4" spans="1:13" x14ac:dyDescent="0.35">
      <c r="A4" t="str">
        <f>Class_0!A4</f>
        <v>layer1.0.conv3</v>
      </c>
      <c r="B4" s="2" t="str">
        <f>IF(MIN(Class_0!B4,Class_1!B4,Class_2!B4)&gt;0,CHAR(43),CHAR(45))</f>
        <v>+</v>
      </c>
      <c r="C4" s="2" t="str">
        <f>IF(MIN(Class_0!C4,Class_1!C4,Class_2!C4)&gt;0,CHAR(43),CHAR(45))</f>
        <v>+</v>
      </c>
      <c r="D4" s="2" t="str">
        <f>IF(MIN(Class_0!D4,Class_1!D4,Class_2!D4)&gt;0,CHAR(43),CHAR(45))</f>
        <v>+</v>
      </c>
      <c r="E4" s="2" t="str">
        <f>IF(MIN(Class_0!E4,Class_1!E4,Class_2!E4)&gt;0,CHAR(43),CHAR(45))</f>
        <v>-</v>
      </c>
      <c r="F4" s="2" t="str">
        <f>IF(MIN(Class_0!F4,Class_1!F4,Class_2!F4)&gt;0,CHAR(43),CHAR(45))</f>
        <v>-</v>
      </c>
      <c r="G4" s="2" t="str">
        <f>IF(MIN(Class_0!G4,Class_1!G4,Class_2!G4)&gt;0,CHAR(43),CHAR(45))</f>
        <v>-</v>
      </c>
      <c r="H4" s="2" t="str">
        <f>IF(MIN(Class_0!H4,Class_1!H4,Class_2!H4)&gt;0,CHAR(43),CHAR(45))</f>
        <v>-</v>
      </c>
      <c r="I4" s="2" t="str">
        <f>IF(MIN(Class_0!I4,Class_1!I4,Class_2!I4)&gt;0,CHAR(43),CHAR(45))</f>
        <v>-</v>
      </c>
      <c r="J4" s="2" t="str">
        <f>IF(MIN(Class_0!J4,Class_1!J4,Class_2!J4)&gt;0,CHAR(43),CHAR(45))</f>
        <v>-</v>
      </c>
      <c r="K4" s="2" t="str">
        <f>IF(MIN(Class_0!K4,Class_1!K4,Class_2!K4)&gt;0,CHAR(43),CHAR(45))</f>
        <v>-</v>
      </c>
      <c r="L4" s="2" t="str">
        <f>IF(MIN(Class_0!L4,Class_1!L4,Class_2!L4)&gt;0,CHAR(43),CHAR(45))</f>
        <v>-</v>
      </c>
      <c r="M4" s="2" t="str">
        <f>IF(MIN(Class_0!M4,Class_1!M4,Class_2!M4)&gt;0,CHAR(43),CHAR(45))</f>
        <v>-</v>
      </c>
    </row>
    <row r="5" spans="1:13" x14ac:dyDescent="0.35">
      <c r="A5" t="str">
        <f>Class_0!A5</f>
        <v>layer4.0.conv1</v>
      </c>
      <c r="B5" s="2" t="str">
        <f>IF(MIN(Class_0!B5,Class_1!B5,Class_2!B5)&gt;0,CHAR(43),CHAR(45))</f>
        <v>+</v>
      </c>
      <c r="C5" s="2" t="str">
        <f>IF(MIN(Class_0!C5,Class_1!C5,Class_2!C5)&gt;0,CHAR(43),CHAR(45))</f>
        <v>-</v>
      </c>
      <c r="D5" s="2" t="str">
        <f>IF(MIN(Class_0!D5,Class_1!D5,Class_2!D5)&gt;0,CHAR(43),CHAR(45))</f>
        <v>-</v>
      </c>
      <c r="E5" s="2" t="str">
        <f>IF(MIN(Class_0!E5,Class_1!E5,Class_2!E5)&gt;0,CHAR(43),CHAR(45))</f>
        <v>+</v>
      </c>
      <c r="F5" s="2" t="str">
        <f>IF(MIN(Class_0!F5,Class_1!F5,Class_2!F5)&gt;0,CHAR(43),CHAR(45))</f>
        <v>+</v>
      </c>
      <c r="G5" s="2" t="str">
        <f>IF(MIN(Class_0!G5,Class_1!G5,Class_2!G5)&gt;0,CHAR(43),CHAR(45))</f>
        <v>+</v>
      </c>
      <c r="H5" s="2" t="str">
        <f>IF(MIN(Class_0!H5,Class_1!H5,Class_2!H5)&gt;0,CHAR(43),CHAR(45))</f>
        <v>+</v>
      </c>
      <c r="I5" s="2" t="str">
        <f>IF(MIN(Class_0!I5,Class_1!I5,Class_2!I5)&gt;0,CHAR(43),CHAR(45))</f>
        <v>+</v>
      </c>
      <c r="J5" s="2" t="str">
        <f>IF(MIN(Class_0!J5,Class_1!J5,Class_2!J5)&gt;0,CHAR(43),CHAR(45))</f>
        <v>-</v>
      </c>
      <c r="K5" s="2" t="str">
        <f>IF(MIN(Class_0!K5,Class_1!K5,Class_2!K5)&gt;0,CHAR(43),CHAR(45))</f>
        <v>+</v>
      </c>
      <c r="L5" s="2" t="str">
        <f>IF(MIN(Class_0!L5,Class_1!L5,Class_2!L5)&gt;0,CHAR(43),CHAR(45))</f>
        <v>+</v>
      </c>
      <c r="M5" s="2" t="str">
        <f>IF(MIN(Class_0!M5,Class_1!M5,Class_2!M5)&gt;0,CHAR(43),CHAR(45))</f>
        <v>+</v>
      </c>
    </row>
    <row r="6" spans="1:13" x14ac:dyDescent="0.35">
      <c r="A6" t="str">
        <f>Class_0!A6</f>
        <v>layer4.0.conv2</v>
      </c>
      <c r="B6" s="2" t="str">
        <f>IF(MIN(Class_0!B6,Class_1!B6,Class_2!B6)&gt;0,CHAR(43),CHAR(45))</f>
        <v>+</v>
      </c>
      <c r="C6" s="2" t="str">
        <f>IF(MIN(Class_0!C6,Class_1!C6,Class_2!C6)&gt;0,CHAR(43),CHAR(45))</f>
        <v>-</v>
      </c>
      <c r="D6" s="2" t="str">
        <f>IF(MIN(Class_0!D6,Class_1!D6,Class_2!D6)&gt;0,CHAR(43),CHAR(45))</f>
        <v>-</v>
      </c>
      <c r="E6" s="2" t="str">
        <f>IF(MIN(Class_0!E6,Class_1!E6,Class_2!E6)&gt;0,CHAR(43),CHAR(45))</f>
        <v>+</v>
      </c>
      <c r="F6" s="2" t="str">
        <f>IF(MIN(Class_0!F6,Class_1!F6,Class_2!F6)&gt;0,CHAR(43),CHAR(45))</f>
        <v>+</v>
      </c>
      <c r="G6" s="2" t="str">
        <f>IF(MIN(Class_0!G6,Class_1!G6,Class_2!G6)&gt;0,CHAR(43),CHAR(45))</f>
        <v>+</v>
      </c>
      <c r="H6" s="2" t="str">
        <f>IF(MIN(Class_0!H6,Class_1!H6,Class_2!H6)&gt;0,CHAR(43),CHAR(45))</f>
        <v>+</v>
      </c>
      <c r="I6" s="2" t="str">
        <f>IF(MIN(Class_0!I6,Class_1!I6,Class_2!I6)&gt;0,CHAR(43),CHAR(45))</f>
        <v>+</v>
      </c>
      <c r="J6" s="2" t="str">
        <f>IF(MIN(Class_0!J6,Class_1!J6,Class_2!J6)&gt;0,CHAR(43),CHAR(45))</f>
        <v>+</v>
      </c>
      <c r="K6" s="2" t="str">
        <f>IF(MIN(Class_0!K6,Class_1!K6,Class_2!K6)&gt;0,CHAR(43),CHAR(45))</f>
        <v>+</v>
      </c>
      <c r="L6" s="2" t="str">
        <f>IF(MIN(Class_0!L6,Class_1!L6,Class_2!L6)&gt;0,CHAR(43),CHAR(45))</f>
        <v>+</v>
      </c>
      <c r="M6" s="2" t="str">
        <f>IF(MIN(Class_0!M6,Class_1!M6,Class_2!M6)&gt;0,CHAR(43),CHAR(45))</f>
        <v>-</v>
      </c>
    </row>
    <row r="7" spans="1:13" x14ac:dyDescent="0.35">
      <c r="A7" t="str">
        <f>Class_0!A7</f>
        <v>layer4.0.conv3</v>
      </c>
      <c r="B7" s="2" t="str">
        <f>IF(MIN(Class_0!B7,Class_1!B7,Class_2!B7)&gt;0,CHAR(43),CHAR(45))</f>
        <v>-</v>
      </c>
      <c r="C7" s="2" t="str">
        <f>IF(MIN(Class_0!C7,Class_1!C7,Class_2!C7)&gt;0,CHAR(43),CHAR(45))</f>
        <v>-</v>
      </c>
      <c r="D7" s="2" t="str">
        <f>IF(MIN(Class_0!D7,Class_1!D7,Class_2!D7)&gt;0,CHAR(43),CHAR(45))</f>
        <v>-</v>
      </c>
      <c r="E7" s="2" t="str">
        <f>IF(MIN(Class_0!E7,Class_1!E7,Class_2!E7)&gt;0,CHAR(43),CHAR(45))</f>
        <v>+</v>
      </c>
      <c r="F7" s="2" t="str">
        <f>IF(MIN(Class_0!F7,Class_1!F7,Class_2!F7)&gt;0,CHAR(43),CHAR(45))</f>
        <v>+</v>
      </c>
      <c r="G7" s="2" t="str">
        <f>IF(MIN(Class_0!G7,Class_1!G7,Class_2!G7)&gt;0,CHAR(43),CHAR(45))</f>
        <v>+</v>
      </c>
      <c r="H7" s="2" t="str">
        <f>IF(MIN(Class_0!H7,Class_1!H7,Class_2!H7)&gt;0,CHAR(43),CHAR(45))</f>
        <v>+</v>
      </c>
      <c r="I7" s="2" t="str">
        <f>IF(MIN(Class_0!I7,Class_1!I7,Class_2!I7)&gt;0,CHAR(43),CHAR(45))</f>
        <v>+</v>
      </c>
      <c r="J7" s="2" t="str">
        <f>IF(MIN(Class_0!J7,Class_1!J7,Class_2!J7)&gt;0,CHAR(43),CHAR(45))</f>
        <v>-</v>
      </c>
      <c r="K7" s="2" t="str">
        <f>IF(MIN(Class_0!K7,Class_1!K7,Class_2!K7)&gt;0,CHAR(43),CHAR(45))</f>
        <v>+</v>
      </c>
      <c r="L7" s="2" t="str">
        <f>IF(MIN(Class_0!L7,Class_1!L7,Class_2!L7)&gt;0,CHAR(43),CHAR(45))</f>
        <v>-</v>
      </c>
      <c r="M7" s="2" t="str">
        <f>IF(MIN(Class_0!M7,Class_1!M7,Class_2!M7)&gt;0,CHAR(43),CHAR(45))</f>
        <v>-</v>
      </c>
    </row>
    <row r="8" spans="1:13" x14ac:dyDescent="0.35">
      <c r="A8" t="str">
        <f>Class_0!A8</f>
        <v>layer4.1.conv1</v>
      </c>
      <c r="B8" s="2" t="str">
        <f>IF(MIN(Class_0!B8,Class_1!B8,Class_2!B8)&gt;0,CHAR(43),CHAR(45))</f>
        <v>-</v>
      </c>
      <c r="C8" s="2" t="str">
        <f>IF(MIN(Class_0!C8,Class_1!C8,Class_2!C8)&gt;0,CHAR(43),CHAR(45))</f>
        <v>+</v>
      </c>
      <c r="D8" s="2" t="str">
        <f>IF(MIN(Class_0!D8,Class_1!D8,Class_2!D8)&gt;0,CHAR(43),CHAR(45))</f>
        <v>-</v>
      </c>
      <c r="E8" s="2" t="str">
        <f>IF(MIN(Class_0!E8,Class_1!E8,Class_2!E8)&gt;0,CHAR(43),CHAR(45))</f>
        <v>+</v>
      </c>
      <c r="F8" s="2" t="str">
        <f>IF(MIN(Class_0!F8,Class_1!F8,Class_2!F8)&gt;0,CHAR(43),CHAR(45))</f>
        <v>+</v>
      </c>
      <c r="G8" s="2" t="str">
        <f>IF(MIN(Class_0!G8,Class_1!G8,Class_2!G8)&gt;0,CHAR(43),CHAR(45))</f>
        <v>+</v>
      </c>
      <c r="H8" s="2" t="str">
        <f>IF(MIN(Class_0!H8,Class_1!H8,Class_2!H8)&gt;0,CHAR(43),CHAR(45))</f>
        <v>+</v>
      </c>
      <c r="I8" s="2" t="str">
        <f>IF(MIN(Class_0!I8,Class_1!I8,Class_2!I8)&gt;0,CHAR(43),CHAR(45))</f>
        <v>+</v>
      </c>
      <c r="J8" s="2" t="str">
        <f>IF(MIN(Class_0!J8,Class_1!J8,Class_2!J8)&gt;0,CHAR(43),CHAR(45))</f>
        <v>+</v>
      </c>
      <c r="K8" s="2" t="str">
        <f>IF(MIN(Class_0!K8,Class_1!K8,Class_2!K8)&gt;0,CHAR(43),CHAR(45))</f>
        <v>+</v>
      </c>
      <c r="L8" s="2" t="str">
        <f>IF(MIN(Class_0!L8,Class_1!L8,Class_2!L8)&gt;0,CHAR(43),CHAR(45))</f>
        <v>+</v>
      </c>
      <c r="M8" s="2" t="str">
        <f>IF(MIN(Class_0!M8,Class_1!M8,Class_2!M8)&gt;0,CHAR(43),CHAR(45))</f>
        <v>-</v>
      </c>
    </row>
    <row r="9" spans="1:13" x14ac:dyDescent="0.35">
      <c r="A9" t="str">
        <f>Class_0!A9</f>
        <v>layer4.1.conv2</v>
      </c>
      <c r="B9" s="2" t="str">
        <f>IF(MIN(Class_0!B9,Class_1!B9,Class_2!B9)&gt;0,CHAR(43),CHAR(45))</f>
        <v>-</v>
      </c>
      <c r="C9" s="2" t="str">
        <f>IF(MIN(Class_0!C9,Class_1!C9,Class_2!C9)&gt;0,CHAR(43),CHAR(45))</f>
        <v>-</v>
      </c>
      <c r="D9" s="2" t="str">
        <f>IF(MIN(Class_0!D9,Class_1!D9,Class_2!D9)&gt;0,CHAR(43),CHAR(45))</f>
        <v>-</v>
      </c>
      <c r="E9" s="2" t="str">
        <f>IF(MIN(Class_0!E9,Class_1!E9,Class_2!E9)&gt;0,CHAR(43),CHAR(45))</f>
        <v>+</v>
      </c>
      <c r="F9" s="2" t="str">
        <f>IF(MIN(Class_0!F9,Class_1!F9,Class_2!F9)&gt;0,CHAR(43),CHAR(45))</f>
        <v>+</v>
      </c>
      <c r="G9" s="2" t="str">
        <f>IF(MIN(Class_0!G9,Class_1!G9,Class_2!G9)&gt;0,CHAR(43),CHAR(45))</f>
        <v>+</v>
      </c>
      <c r="H9" s="2" t="str">
        <f>IF(MIN(Class_0!H9,Class_1!H9,Class_2!H9)&gt;0,CHAR(43),CHAR(45))</f>
        <v>+</v>
      </c>
      <c r="I9" s="2" t="str">
        <f>IF(MIN(Class_0!I9,Class_1!I9,Class_2!I9)&gt;0,CHAR(43),CHAR(45))</f>
        <v>+</v>
      </c>
      <c r="J9" s="2" t="str">
        <f>IF(MIN(Class_0!J9,Class_1!J9,Class_2!J9)&gt;0,CHAR(43),CHAR(45))</f>
        <v>+</v>
      </c>
      <c r="K9" s="2" t="str">
        <f>IF(MIN(Class_0!K9,Class_1!K9,Class_2!K9)&gt;0,CHAR(43),CHAR(45))</f>
        <v>+</v>
      </c>
      <c r="L9" s="2" t="str">
        <f>IF(MIN(Class_0!L9,Class_1!L9,Class_2!L9)&gt;0,CHAR(43),CHAR(45))</f>
        <v>+</v>
      </c>
      <c r="M9" s="2" t="str">
        <f>IF(MIN(Class_0!M9,Class_1!M9,Class_2!M9)&gt;0,CHAR(43),CHAR(45))</f>
        <v>+</v>
      </c>
    </row>
    <row r="10" spans="1:13" x14ac:dyDescent="0.35">
      <c r="A10" t="str">
        <f>Class_0!A10</f>
        <v>layer4.1.conv3</v>
      </c>
      <c r="B10" s="2" t="str">
        <f>IF(MIN(Class_0!B10,Class_1!B10,Class_2!B10)&gt;0,CHAR(43),CHAR(45))</f>
        <v>-</v>
      </c>
      <c r="C10" s="2" t="str">
        <f>IF(MIN(Class_0!C10,Class_1!C10,Class_2!C10)&gt;0,CHAR(43),CHAR(45))</f>
        <v>-</v>
      </c>
      <c r="D10" s="2" t="str">
        <f>IF(MIN(Class_0!D10,Class_1!D10,Class_2!D10)&gt;0,CHAR(43),CHAR(45))</f>
        <v>-</v>
      </c>
      <c r="E10" s="2" t="str">
        <f>IF(MIN(Class_0!E10,Class_1!E10,Class_2!E10)&gt;0,CHAR(43),CHAR(45))</f>
        <v>-</v>
      </c>
      <c r="F10" s="2" t="str">
        <f>IF(MIN(Class_0!F10,Class_1!F10,Class_2!F10)&gt;0,CHAR(43),CHAR(45))</f>
        <v>+</v>
      </c>
      <c r="G10" s="2" t="str">
        <f>IF(MIN(Class_0!G10,Class_1!G10,Class_2!G10)&gt;0,CHAR(43),CHAR(45))</f>
        <v>-</v>
      </c>
      <c r="H10" s="2" t="str">
        <f>IF(MIN(Class_0!H10,Class_1!H10,Class_2!H10)&gt;0,CHAR(43),CHAR(45))</f>
        <v>+</v>
      </c>
      <c r="I10" s="2" t="str">
        <f>IF(MIN(Class_0!I10,Class_1!I10,Class_2!I10)&gt;0,CHAR(43),CHAR(45))</f>
        <v>+</v>
      </c>
      <c r="J10" s="2" t="str">
        <f>IF(MIN(Class_0!J10,Class_1!J10,Class_2!J10)&gt;0,CHAR(43),CHAR(45))</f>
        <v>+</v>
      </c>
      <c r="K10" s="2" t="str">
        <f>IF(MIN(Class_0!K10,Class_1!K10,Class_2!K10)&gt;0,CHAR(43),CHAR(45))</f>
        <v>-</v>
      </c>
      <c r="L10" s="2" t="str">
        <f>IF(MIN(Class_0!L10,Class_1!L10,Class_2!L10)&gt;0,CHAR(43),CHAR(45))</f>
        <v>-</v>
      </c>
      <c r="M10" s="2" t="str">
        <f>IF(MIN(Class_0!M10,Class_1!M10,Class_2!M10)&gt;0,CHAR(43),CHAR(45))</f>
        <v>-</v>
      </c>
    </row>
    <row r="11" spans="1:13" x14ac:dyDescent="0.35">
      <c r="A11" t="str">
        <f>Class_0!A11</f>
        <v>layer4.2.conv1</v>
      </c>
      <c r="B11" s="2" t="str">
        <f>IF(MIN(Class_0!B11,Class_1!B11,Class_2!B11)&gt;0,CHAR(43),CHAR(45))</f>
        <v>-</v>
      </c>
      <c r="C11" s="2" t="str">
        <f>IF(MIN(Class_0!C11,Class_1!C11,Class_2!C11)&gt;0,CHAR(43),CHAR(45))</f>
        <v>-</v>
      </c>
      <c r="D11" s="2" t="str">
        <f>IF(MIN(Class_0!D11,Class_1!D11,Class_2!D11)&gt;0,CHAR(43),CHAR(45))</f>
        <v>-</v>
      </c>
      <c r="E11" s="2" t="str">
        <f>IF(MIN(Class_0!E11,Class_1!E11,Class_2!E11)&gt;0,CHAR(43),CHAR(45))</f>
        <v>+</v>
      </c>
      <c r="F11" s="2" t="str">
        <f>IF(MIN(Class_0!F11,Class_1!F11,Class_2!F11)&gt;0,CHAR(43),CHAR(45))</f>
        <v>+</v>
      </c>
      <c r="G11" s="2" t="str">
        <f>IF(MIN(Class_0!G11,Class_1!G11,Class_2!G11)&gt;0,CHAR(43),CHAR(45))</f>
        <v>+</v>
      </c>
      <c r="H11" s="2" t="str">
        <f>IF(MIN(Class_0!H11,Class_1!H11,Class_2!H11)&gt;0,CHAR(43),CHAR(45))</f>
        <v>+</v>
      </c>
      <c r="I11" s="2" t="str">
        <f>IF(MIN(Class_0!I11,Class_1!I11,Class_2!I11)&gt;0,CHAR(43),CHAR(45))</f>
        <v>+</v>
      </c>
      <c r="J11" s="2" t="str">
        <f>IF(MIN(Class_0!J11,Class_1!J11,Class_2!J11)&gt;0,CHAR(43),CHAR(45))</f>
        <v>-</v>
      </c>
      <c r="K11" s="2" t="str">
        <f>IF(MIN(Class_0!K11,Class_1!K11,Class_2!K11)&gt;0,CHAR(43),CHAR(45))</f>
        <v>+</v>
      </c>
      <c r="L11" s="2" t="str">
        <f>IF(MIN(Class_0!L11,Class_1!L11,Class_2!L11)&gt;0,CHAR(43),CHAR(45))</f>
        <v>+</v>
      </c>
      <c r="M11" s="2" t="str">
        <f>IF(MIN(Class_0!M11,Class_1!M11,Class_2!M11)&gt;0,CHAR(43),CHAR(45))</f>
        <v>-</v>
      </c>
    </row>
    <row r="12" spans="1:13" x14ac:dyDescent="0.35">
      <c r="A12" t="str">
        <f>Class_0!A12</f>
        <v>layer4.2.conv2</v>
      </c>
      <c r="B12" s="2" t="str">
        <f>IF(MIN(Class_0!B12,Class_1!B12,Class_2!B12)&gt;0,CHAR(43),CHAR(45))</f>
        <v>-</v>
      </c>
      <c r="C12" s="2" t="str">
        <f>IF(MIN(Class_0!C12,Class_1!C12,Class_2!C12)&gt;0,CHAR(43),CHAR(45))</f>
        <v>-</v>
      </c>
      <c r="D12" s="2" t="str">
        <f>IF(MIN(Class_0!D12,Class_1!D12,Class_2!D12)&gt;0,CHAR(43),CHAR(45))</f>
        <v>-</v>
      </c>
      <c r="E12" s="2" t="str">
        <f>IF(MIN(Class_0!E12,Class_1!E12,Class_2!E12)&gt;0,CHAR(43),CHAR(45))</f>
        <v>+</v>
      </c>
      <c r="F12" s="2" t="str">
        <f>IF(MIN(Class_0!F12,Class_1!F12,Class_2!F12)&gt;0,CHAR(43),CHAR(45))</f>
        <v>+</v>
      </c>
      <c r="G12" s="2" t="str">
        <f>IF(MIN(Class_0!G12,Class_1!G12,Class_2!G12)&gt;0,CHAR(43),CHAR(45))</f>
        <v>-</v>
      </c>
      <c r="H12" s="2" t="str">
        <f>IF(MIN(Class_0!H12,Class_1!H12,Class_2!H12)&gt;0,CHAR(43),CHAR(45))</f>
        <v>+</v>
      </c>
      <c r="I12" s="2" t="str">
        <f>IF(MIN(Class_0!I12,Class_1!I12,Class_2!I12)&gt;0,CHAR(43),CHAR(45))</f>
        <v>+</v>
      </c>
      <c r="J12" s="2" t="str">
        <f>IF(MIN(Class_0!J12,Class_1!J12,Class_2!J12)&gt;0,CHAR(43),CHAR(45))</f>
        <v>-</v>
      </c>
      <c r="K12" s="2" t="str">
        <f>IF(MIN(Class_0!K12,Class_1!K12,Class_2!K12)&gt;0,CHAR(43),CHAR(45))</f>
        <v>+</v>
      </c>
      <c r="L12" s="2" t="str">
        <f>IF(MIN(Class_0!L12,Class_1!L12,Class_2!L12)&gt;0,CHAR(43),CHAR(45))</f>
        <v>+</v>
      </c>
      <c r="M12" s="2" t="str">
        <f>IF(MIN(Class_0!M12,Class_1!M12,Class_2!M12)&gt;0,CHAR(43),CHAR(45))</f>
        <v>+</v>
      </c>
    </row>
    <row r="13" spans="1:13" x14ac:dyDescent="0.35">
      <c r="A13" t="str">
        <f>Class_0!A13</f>
        <v>layer4.2.conv3</v>
      </c>
      <c r="B13" s="2" t="str">
        <f>IF(MIN(Class_0!B13,Class_1!B13,Class_2!B13)&gt;0,CHAR(43),CHAR(45))</f>
        <v>-</v>
      </c>
      <c r="C13" s="2" t="str">
        <f>IF(MIN(Class_0!C13,Class_1!C13,Class_2!C13)&gt;0,CHAR(43),CHAR(45))</f>
        <v>-</v>
      </c>
      <c r="D13" s="2" t="str">
        <f>IF(MIN(Class_0!D13,Class_1!D13,Class_2!D13)&gt;0,CHAR(43),CHAR(45))</f>
        <v>-</v>
      </c>
      <c r="E13" s="2" t="str">
        <f>IF(MIN(Class_0!E13,Class_1!E13,Class_2!E13)&gt;0,CHAR(43),CHAR(45))</f>
        <v>+</v>
      </c>
      <c r="F13" s="2" t="str">
        <f>IF(MIN(Class_0!F13,Class_1!F13,Class_2!F13)&gt;0,CHAR(43),CHAR(45))</f>
        <v>-</v>
      </c>
      <c r="G13" s="2" t="str">
        <f>IF(MIN(Class_0!G13,Class_1!G13,Class_2!G13)&gt;0,CHAR(43),CHAR(45))</f>
        <v>-</v>
      </c>
      <c r="H13" s="2" t="str">
        <f>IF(MIN(Class_0!H13,Class_1!H13,Class_2!H13)&gt;0,CHAR(43),CHAR(45))</f>
        <v>-</v>
      </c>
      <c r="I13" s="2" t="str">
        <f>IF(MIN(Class_0!I13,Class_1!I13,Class_2!I13)&gt;0,CHAR(43),CHAR(45))</f>
        <v>+</v>
      </c>
      <c r="J13" s="2" t="str">
        <f>IF(MIN(Class_0!J13,Class_1!J13,Class_2!J13)&gt;0,CHAR(43),CHAR(45))</f>
        <v>-</v>
      </c>
      <c r="K13" s="2" t="str">
        <f>IF(MIN(Class_0!K13,Class_1!K13,Class_2!K13)&gt;0,CHAR(43),CHAR(45))</f>
        <v>-</v>
      </c>
      <c r="L13" s="2" t="str">
        <f>IF(MIN(Class_0!L13,Class_1!L13,Class_2!L13)&gt;0,CHAR(43),CHAR(45))</f>
        <v>+</v>
      </c>
      <c r="M13" s="2" t="str">
        <f>IF(MIN(Class_0!M13,Class_1!M13,Class_2!M13)&gt;0,CHAR(43),CHAR(45))</f>
        <v>+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7"/>
  <sheetViews>
    <sheetView workbookViewId="0"/>
  </sheetViews>
  <sheetFormatPr defaultRowHeight="14.5" x14ac:dyDescent="0.35"/>
  <sheetData>
    <row r="1" spans="1:17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x14ac:dyDescent="0.35">
      <c r="A2" s="1" t="s">
        <v>0</v>
      </c>
      <c r="B2">
        <v>1</v>
      </c>
      <c r="C2">
        <v>0.65409982939926881</v>
      </c>
      <c r="D2">
        <v>0.60172177180828923</v>
      </c>
      <c r="E2">
        <v>0.28435185746412672</v>
      </c>
      <c r="F2">
        <v>0.20870703578023339</v>
      </c>
      <c r="G2">
        <v>0.15714323364817101</v>
      </c>
      <c r="H2">
        <v>-1.755380767668412E-2</v>
      </c>
      <c r="I2">
        <v>-0.13587211019667711</v>
      </c>
      <c r="J2">
        <v>5.3563488236940272E-2</v>
      </c>
      <c r="K2">
        <v>-3.1418957966329861E-2</v>
      </c>
      <c r="L2">
        <v>0.1036160521210578</v>
      </c>
      <c r="M2">
        <v>-4.7850816273035217E-2</v>
      </c>
      <c r="N2">
        <v>3.4777842088080671E-2</v>
      </c>
      <c r="O2">
        <v>9.0597503649126873E-2</v>
      </c>
      <c r="P2">
        <v>3.446726803406519E-2</v>
      </c>
      <c r="Q2">
        <v>0.1272583513060794</v>
      </c>
    </row>
    <row r="3" spans="1:17" x14ac:dyDescent="0.35">
      <c r="A3" s="1" t="s">
        <v>1</v>
      </c>
      <c r="B3">
        <v>0.65409982939926881</v>
      </c>
      <c r="C3">
        <v>1</v>
      </c>
      <c r="D3">
        <v>0.6929132884425746</v>
      </c>
      <c r="E3">
        <v>0.30328383147489912</v>
      </c>
      <c r="F3">
        <v>-6.5474243429048881E-2</v>
      </c>
      <c r="G3">
        <v>-0.1197826874153984</v>
      </c>
      <c r="H3">
        <v>2.5463835438462961E-2</v>
      </c>
      <c r="I3">
        <v>-6.4448674362697661E-2</v>
      </c>
      <c r="J3">
        <v>3.7990996156895197E-2</v>
      </c>
      <c r="K3">
        <v>0.12557111480244151</v>
      </c>
      <c r="L3">
        <v>0.22664411866237441</v>
      </c>
      <c r="M3">
        <v>-0.13243362993445909</v>
      </c>
      <c r="N3">
        <v>5.2628522083530568E-2</v>
      </c>
      <c r="O3">
        <v>0.14520938001466069</v>
      </c>
      <c r="P3">
        <v>0.1010059269740765</v>
      </c>
      <c r="Q3">
        <v>4.1276119905226873E-2</v>
      </c>
    </row>
    <row r="4" spans="1:17" x14ac:dyDescent="0.35">
      <c r="A4" s="1" t="s">
        <v>2</v>
      </c>
      <c r="B4">
        <v>0.60172177180828923</v>
      </c>
      <c r="C4">
        <v>0.6929132884425746</v>
      </c>
      <c r="D4">
        <v>1</v>
      </c>
      <c r="E4">
        <v>0.34154800547135078</v>
      </c>
      <c r="F4">
        <v>6.5469161130990217E-2</v>
      </c>
      <c r="G4">
        <v>3.3867594768315759E-2</v>
      </c>
      <c r="H4">
        <v>-3.6074617987512771E-3</v>
      </c>
      <c r="I4">
        <v>-5.7133602473379563E-2</v>
      </c>
      <c r="J4">
        <v>-0.15815664608310459</v>
      </c>
      <c r="K4">
        <v>0.18654584937878391</v>
      </c>
      <c r="L4">
        <v>0.23353191104717241</v>
      </c>
      <c r="M4">
        <v>7.2657918443513075E-2</v>
      </c>
      <c r="N4">
        <v>7.3551877279560779E-2</v>
      </c>
      <c r="O4">
        <v>3.1956072914378353E-2</v>
      </c>
      <c r="P4">
        <v>4.9160635462604567E-2</v>
      </c>
      <c r="Q4">
        <v>0.1360678418534822</v>
      </c>
    </row>
    <row r="5" spans="1:17" x14ac:dyDescent="0.35">
      <c r="A5" s="1" t="s">
        <v>3</v>
      </c>
      <c r="B5">
        <v>0.28435185746412672</v>
      </c>
      <c r="C5">
        <v>0.30328383147489912</v>
      </c>
      <c r="D5">
        <v>0.34154800547135078</v>
      </c>
      <c r="E5">
        <v>1</v>
      </c>
      <c r="F5">
        <v>0.33739785691856178</v>
      </c>
      <c r="G5">
        <v>0.18824639612974919</v>
      </c>
      <c r="H5">
        <v>0.31272773015533628</v>
      </c>
      <c r="I5">
        <v>0.2153629257295965</v>
      </c>
      <c r="J5">
        <v>-0.18538027177221991</v>
      </c>
      <c r="K5">
        <v>0.31753314118782089</v>
      </c>
      <c r="L5">
        <v>0.24430561546811561</v>
      </c>
      <c r="M5">
        <v>6.4662865708137424E-2</v>
      </c>
      <c r="N5">
        <v>-3.2137557112037248E-3</v>
      </c>
      <c r="O5">
        <v>0.15268357515324851</v>
      </c>
      <c r="P5">
        <v>7.6312122942623989E-2</v>
      </c>
      <c r="Q5">
        <v>7.9670799586863864E-2</v>
      </c>
    </row>
    <row r="6" spans="1:17" x14ac:dyDescent="0.35">
      <c r="A6" s="1" t="s">
        <v>4</v>
      </c>
      <c r="B6">
        <v>0.20870703578023339</v>
      </c>
      <c r="C6">
        <v>-6.5474243429048881E-2</v>
      </c>
      <c r="D6">
        <v>6.5469161130990217E-2</v>
      </c>
      <c r="E6">
        <v>0.33739785691856178</v>
      </c>
      <c r="F6">
        <v>1</v>
      </c>
      <c r="G6">
        <v>0.54258402657620974</v>
      </c>
      <c r="H6">
        <v>0.48034835902623813</v>
      </c>
      <c r="I6">
        <v>0.18615198999167851</v>
      </c>
      <c r="J6">
        <v>0.17195455299483051</v>
      </c>
      <c r="K6">
        <v>0.1330033638067788</v>
      </c>
      <c r="L6">
        <v>1.8220771889853309E-2</v>
      </c>
      <c r="M6">
        <v>0.22319522064497141</v>
      </c>
      <c r="N6">
        <v>0.1001909782350292</v>
      </c>
      <c r="O6">
        <v>0.23962923644956921</v>
      </c>
      <c r="P6">
        <v>0.22430992985620171</v>
      </c>
      <c r="Q6">
        <v>0.26555096985456578</v>
      </c>
    </row>
    <row r="7" spans="1:17" x14ac:dyDescent="0.35">
      <c r="A7" s="1" t="s">
        <v>5</v>
      </c>
      <c r="B7">
        <v>0.15714323364817101</v>
      </c>
      <c r="C7">
        <v>-0.1197826874153984</v>
      </c>
      <c r="D7">
        <v>3.3867594768315759E-2</v>
      </c>
      <c r="E7">
        <v>0.18824639612974919</v>
      </c>
      <c r="F7">
        <v>0.54258402657620974</v>
      </c>
      <c r="G7">
        <v>1</v>
      </c>
      <c r="H7">
        <v>0.62486741581689098</v>
      </c>
      <c r="I7">
        <v>0.32991418711358578</v>
      </c>
      <c r="J7">
        <v>-2.646308802438219E-2</v>
      </c>
      <c r="K7">
        <v>0.1137855186761441</v>
      </c>
      <c r="L7">
        <v>2.4737128530890131E-2</v>
      </c>
      <c r="M7">
        <v>0.26531082042456522</v>
      </c>
      <c r="N7">
        <v>9.693402482633718E-3</v>
      </c>
      <c r="O7">
        <v>0.25664972743817022</v>
      </c>
      <c r="P7">
        <v>0.15256190033945291</v>
      </c>
      <c r="Q7">
        <v>0.27191321359078241</v>
      </c>
    </row>
    <row r="8" spans="1:17" x14ac:dyDescent="0.35">
      <c r="A8" s="1" t="s">
        <v>6</v>
      </c>
      <c r="B8">
        <v>-1.755380767668412E-2</v>
      </c>
      <c r="C8">
        <v>2.5463835438462961E-2</v>
      </c>
      <c r="D8">
        <v>-3.6074617987512771E-3</v>
      </c>
      <c r="E8">
        <v>0.31272773015533628</v>
      </c>
      <c r="F8">
        <v>0.48034835902623813</v>
      </c>
      <c r="G8">
        <v>0.62486741581689098</v>
      </c>
      <c r="H8">
        <v>1</v>
      </c>
      <c r="I8">
        <v>0.70025390074617377</v>
      </c>
      <c r="J8">
        <v>9.4236901153364985E-2</v>
      </c>
      <c r="K8">
        <v>0.31387585402835733</v>
      </c>
      <c r="L8">
        <v>0.18690598255430099</v>
      </c>
      <c r="M8">
        <v>0.24336261289243749</v>
      </c>
      <c r="N8">
        <v>8.1028408440928221E-2</v>
      </c>
      <c r="O8">
        <v>0.35932770129138181</v>
      </c>
      <c r="P8">
        <v>0.2089160868191271</v>
      </c>
      <c r="Q8">
        <v>0.3193956248538774</v>
      </c>
    </row>
    <row r="9" spans="1:17" x14ac:dyDescent="0.35">
      <c r="A9" s="1" t="s">
        <v>7</v>
      </c>
      <c r="B9">
        <v>-0.13587211019667711</v>
      </c>
      <c r="C9">
        <v>-6.4448674362697661E-2</v>
      </c>
      <c r="D9">
        <v>-5.7133602473379563E-2</v>
      </c>
      <c r="E9">
        <v>0.2153629257295965</v>
      </c>
      <c r="F9">
        <v>0.18615198999167851</v>
      </c>
      <c r="G9">
        <v>0.32991418711358578</v>
      </c>
      <c r="H9">
        <v>0.70025390074617377</v>
      </c>
      <c r="I9">
        <v>1</v>
      </c>
      <c r="J9">
        <v>0.1657719386518178</v>
      </c>
      <c r="K9">
        <v>0.1045340125931956</v>
      </c>
      <c r="L9">
        <v>6.1898732239177238E-2</v>
      </c>
      <c r="M9">
        <v>0.2173668097359541</v>
      </c>
      <c r="N9">
        <v>0.2238948939851936</v>
      </c>
      <c r="O9">
        <v>0.27929559344158872</v>
      </c>
      <c r="P9">
        <v>0.2231010345101144</v>
      </c>
      <c r="Q9">
        <v>0.27058549708300172</v>
      </c>
    </row>
    <row r="10" spans="1:17" x14ac:dyDescent="0.35">
      <c r="A10" s="1" t="s">
        <v>8</v>
      </c>
      <c r="B10">
        <v>5.3563488236940272E-2</v>
      </c>
      <c r="C10">
        <v>3.7990996156895197E-2</v>
      </c>
      <c r="D10">
        <v>-0.15815664608310459</v>
      </c>
      <c r="E10">
        <v>-0.18538027177221991</v>
      </c>
      <c r="F10">
        <v>0.17195455299483051</v>
      </c>
      <c r="G10">
        <v>-2.646308802438219E-2</v>
      </c>
      <c r="H10">
        <v>9.4236901153364985E-2</v>
      </c>
      <c r="I10">
        <v>0.1657719386518178</v>
      </c>
      <c r="J10">
        <v>1</v>
      </c>
      <c r="K10">
        <v>-4.1949148374713648E-2</v>
      </c>
      <c r="L10">
        <v>-6.1980611067972813E-2</v>
      </c>
      <c r="M10">
        <v>-0.12659092812526879</v>
      </c>
      <c r="N10">
        <v>0.197325564641398</v>
      </c>
      <c r="O10">
        <v>0.1756299045480457</v>
      </c>
      <c r="P10">
        <v>0.1833549704538848</v>
      </c>
      <c r="Q10">
        <v>0.22527333074757849</v>
      </c>
    </row>
    <row r="11" spans="1:17" x14ac:dyDescent="0.35">
      <c r="A11" s="1" t="s">
        <v>9</v>
      </c>
      <c r="B11">
        <v>-3.1418957966329861E-2</v>
      </c>
      <c r="C11">
        <v>0.12557111480244151</v>
      </c>
      <c r="D11">
        <v>0.18654584937878391</v>
      </c>
      <c r="E11">
        <v>0.31753314118782089</v>
      </c>
      <c r="F11">
        <v>0.1330033638067788</v>
      </c>
      <c r="G11">
        <v>0.1137855186761441</v>
      </c>
      <c r="H11">
        <v>0.31387585402835733</v>
      </c>
      <c r="I11">
        <v>0.1045340125931956</v>
      </c>
      <c r="J11">
        <v>-4.1949148374713648E-2</v>
      </c>
      <c r="K11">
        <v>1</v>
      </c>
      <c r="L11">
        <v>0.65373583572605254</v>
      </c>
      <c r="M11">
        <v>0.24380129996637001</v>
      </c>
      <c r="N11">
        <v>-5.1343898466394783E-2</v>
      </c>
      <c r="O11">
        <v>1.6528944774568951E-2</v>
      </c>
      <c r="P11">
        <v>-6.9251718297189879E-3</v>
      </c>
      <c r="Q11">
        <v>-5.6891400868431842E-2</v>
      </c>
    </row>
    <row r="12" spans="1:17" x14ac:dyDescent="0.35">
      <c r="A12" s="1" t="s">
        <v>10</v>
      </c>
      <c r="B12">
        <v>0.1036160521210578</v>
      </c>
      <c r="C12">
        <v>0.22664411866237441</v>
      </c>
      <c r="D12">
        <v>0.23353191104717241</v>
      </c>
      <c r="E12">
        <v>0.24430561546811561</v>
      </c>
      <c r="F12">
        <v>1.8220771889853309E-2</v>
      </c>
      <c r="G12">
        <v>2.4737128530890131E-2</v>
      </c>
      <c r="H12">
        <v>0.18690598255430099</v>
      </c>
      <c r="I12">
        <v>6.1898732239177238E-2</v>
      </c>
      <c r="J12">
        <v>-6.1980611067972813E-2</v>
      </c>
      <c r="K12">
        <v>0.65373583572605254</v>
      </c>
      <c r="L12">
        <v>1</v>
      </c>
      <c r="M12">
        <v>0.28367138203677222</v>
      </c>
      <c r="N12">
        <v>3.4575199610454577E-2</v>
      </c>
      <c r="O12">
        <v>-0.1153880603220277</v>
      </c>
      <c r="P12">
        <v>-1.993477196462216E-2</v>
      </c>
      <c r="Q12">
        <v>-7.7725196071841127E-2</v>
      </c>
    </row>
    <row r="13" spans="1:17" x14ac:dyDescent="0.35">
      <c r="A13" s="1" t="s">
        <v>11</v>
      </c>
      <c r="B13">
        <v>-4.7850816273035217E-2</v>
      </c>
      <c r="C13">
        <v>-0.13243362993445909</v>
      </c>
      <c r="D13">
        <v>7.2657918443513075E-2</v>
      </c>
      <c r="E13">
        <v>6.4662865708137424E-2</v>
      </c>
      <c r="F13">
        <v>0.22319522064497141</v>
      </c>
      <c r="G13">
        <v>0.26531082042456522</v>
      </c>
      <c r="H13">
        <v>0.24336261289243749</v>
      </c>
      <c r="I13">
        <v>0.2173668097359541</v>
      </c>
      <c r="J13">
        <v>-0.12659092812526879</v>
      </c>
      <c r="K13">
        <v>0.24380129996637001</v>
      </c>
      <c r="L13">
        <v>0.28367138203677222</v>
      </c>
      <c r="M13">
        <v>1</v>
      </c>
      <c r="N13">
        <v>0.12446744851314499</v>
      </c>
      <c r="O13">
        <v>-9.4157272007234893E-2</v>
      </c>
      <c r="P13">
        <v>0.12208372958777219</v>
      </c>
      <c r="Q13">
        <v>0.2056965859938589</v>
      </c>
    </row>
    <row r="14" spans="1:17" x14ac:dyDescent="0.35">
      <c r="A14" s="1" t="s">
        <v>12</v>
      </c>
      <c r="B14">
        <v>3.4777842088080671E-2</v>
      </c>
      <c r="C14">
        <v>5.2628522083530568E-2</v>
      </c>
      <c r="D14">
        <v>7.3551877279560779E-2</v>
      </c>
      <c r="E14">
        <v>-3.2137557112037248E-3</v>
      </c>
      <c r="F14">
        <v>0.1001909782350292</v>
      </c>
      <c r="G14">
        <v>9.693402482633718E-3</v>
      </c>
      <c r="H14">
        <v>8.1028408440928221E-2</v>
      </c>
      <c r="I14">
        <v>0.2238948939851936</v>
      </c>
      <c r="J14">
        <v>0.197325564641398</v>
      </c>
      <c r="K14">
        <v>-5.1343898466394783E-2</v>
      </c>
      <c r="L14">
        <v>3.4575199610454577E-2</v>
      </c>
      <c r="M14">
        <v>0.12446744851314499</v>
      </c>
      <c r="N14">
        <v>1</v>
      </c>
      <c r="O14">
        <v>0.67753327547382958</v>
      </c>
      <c r="P14">
        <v>0.85967773479978893</v>
      </c>
      <c r="Q14">
        <v>0.70060879796280451</v>
      </c>
    </row>
    <row r="15" spans="1:17" x14ac:dyDescent="0.35">
      <c r="A15" s="1" t="s">
        <v>13</v>
      </c>
      <c r="B15">
        <v>9.0597503649126873E-2</v>
      </c>
      <c r="C15">
        <v>0.14520938001466069</v>
      </c>
      <c r="D15">
        <v>3.1956072914378353E-2</v>
      </c>
      <c r="E15">
        <v>0.15268357515324851</v>
      </c>
      <c r="F15">
        <v>0.23962923644956921</v>
      </c>
      <c r="G15">
        <v>0.25664972743817022</v>
      </c>
      <c r="H15">
        <v>0.35932770129138181</v>
      </c>
      <c r="I15">
        <v>0.27929559344158872</v>
      </c>
      <c r="J15">
        <v>0.1756299045480457</v>
      </c>
      <c r="K15">
        <v>1.6528944774568951E-2</v>
      </c>
      <c r="L15">
        <v>-0.1153880603220277</v>
      </c>
      <c r="M15">
        <v>-9.4157272007234893E-2</v>
      </c>
      <c r="N15">
        <v>0.67753327547382958</v>
      </c>
      <c r="O15">
        <v>1</v>
      </c>
      <c r="P15">
        <v>0.76027229726897083</v>
      </c>
      <c r="Q15">
        <v>0.69910306718620319</v>
      </c>
    </row>
    <row r="16" spans="1:17" x14ac:dyDescent="0.35">
      <c r="A16" s="1" t="s">
        <v>14</v>
      </c>
      <c r="B16">
        <v>3.446726803406519E-2</v>
      </c>
      <c r="C16">
        <v>0.1010059269740765</v>
      </c>
      <c r="D16">
        <v>4.9160635462604567E-2</v>
      </c>
      <c r="E16">
        <v>7.6312122942623989E-2</v>
      </c>
      <c r="F16">
        <v>0.22430992985620171</v>
      </c>
      <c r="G16">
        <v>0.15256190033945291</v>
      </c>
      <c r="H16">
        <v>0.2089160868191271</v>
      </c>
      <c r="I16">
        <v>0.2231010345101144</v>
      </c>
      <c r="J16">
        <v>0.1833549704538848</v>
      </c>
      <c r="K16">
        <v>-6.9251718297189879E-3</v>
      </c>
      <c r="L16">
        <v>-1.993477196462216E-2</v>
      </c>
      <c r="M16">
        <v>0.12208372958777219</v>
      </c>
      <c r="N16">
        <v>0.85967773479978893</v>
      </c>
      <c r="O16">
        <v>0.76027229726897083</v>
      </c>
      <c r="P16">
        <v>1</v>
      </c>
      <c r="Q16">
        <v>0.76425397233202153</v>
      </c>
    </row>
    <row r="17" spans="1:17" x14ac:dyDescent="0.35">
      <c r="A17" s="1" t="s">
        <v>15</v>
      </c>
      <c r="B17">
        <v>0.1272583513060794</v>
      </c>
      <c r="C17">
        <v>4.1276119905226873E-2</v>
      </c>
      <c r="D17">
        <v>0.1360678418534822</v>
      </c>
      <c r="E17">
        <v>7.9670799586863864E-2</v>
      </c>
      <c r="F17">
        <v>0.26555096985456578</v>
      </c>
      <c r="G17">
        <v>0.27191321359078241</v>
      </c>
      <c r="H17">
        <v>0.3193956248538774</v>
      </c>
      <c r="I17">
        <v>0.27058549708300172</v>
      </c>
      <c r="J17">
        <v>0.22527333074757849</v>
      </c>
      <c r="K17">
        <v>-5.6891400868431842E-2</v>
      </c>
      <c r="L17">
        <v>-7.7725196071841127E-2</v>
      </c>
      <c r="M17">
        <v>0.2056965859938589</v>
      </c>
      <c r="N17">
        <v>0.70060879796280451</v>
      </c>
      <c r="O17">
        <v>0.69910306718620319</v>
      </c>
      <c r="P17">
        <v>0.76425397233202153</v>
      </c>
      <c r="Q17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7"/>
  <sheetViews>
    <sheetView workbookViewId="0"/>
  </sheetViews>
  <sheetFormatPr defaultRowHeight="14.5" x14ac:dyDescent="0.35"/>
  <sheetData>
    <row r="1" spans="1:17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x14ac:dyDescent="0.35">
      <c r="A2" s="1" t="s">
        <v>0</v>
      </c>
      <c r="B2">
        <v>1</v>
      </c>
      <c r="C2">
        <v>0.37247931344728241</v>
      </c>
      <c r="D2">
        <v>0.34677255989174038</v>
      </c>
      <c r="E2">
        <v>0.1160817230541014</v>
      </c>
      <c r="F2">
        <v>0.23181846068562581</v>
      </c>
      <c r="G2">
        <v>4.9097923280587361E-2</v>
      </c>
      <c r="H2">
        <v>3.1500400494734841E-2</v>
      </c>
      <c r="I2">
        <v>-0.11861134353513141</v>
      </c>
      <c r="J2">
        <v>-0.1486512621623127</v>
      </c>
      <c r="K2">
        <v>-0.1431140966058044</v>
      </c>
      <c r="L2">
        <v>-7.3665896381882146E-2</v>
      </c>
      <c r="M2">
        <v>-8.809787707376357E-2</v>
      </c>
      <c r="N2">
        <v>-5.26591565346433E-2</v>
      </c>
      <c r="O2">
        <v>-5.1322925031812034E-3</v>
      </c>
      <c r="P2">
        <v>-0.2300900948419457</v>
      </c>
      <c r="Q2">
        <v>-8.9634700054810862E-2</v>
      </c>
    </row>
    <row r="3" spans="1:17" x14ac:dyDescent="0.35">
      <c r="A3" s="1" t="s">
        <v>1</v>
      </c>
      <c r="B3">
        <v>0.37247931344728241</v>
      </c>
      <c r="C3">
        <v>1</v>
      </c>
      <c r="D3">
        <v>0.54541895064863855</v>
      </c>
      <c r="E3">
        <v>-0.1217360116684396</v>
      </c>
      <c r="F3">
        <v>-0.13083297717110751</v>
      </c>
      <c r="G3">
        <v>-0.144675155820367</v>
      </c>
      <c r="H3">
        <v>2.1143401472288621E-2</v>
      </c>
      <c r="I3">
        <v>-0.1038604500659252</v>
      </c>
      <c r="J3">
        <v>-9.5985050831934732E-2</v>
      </c>
      <c r="K3">
        <v>-7.1344868115047394E-2</v>
      </c>
      <c r="L3">
        <v>-7.0029552465241729E-2</v>
      </c>
      <c r="M3">
        <v>-5.2817635109768273E-2</v>
      </c>
      <c r="N3">
        <v>-4.9738655372400221E-2</v>
      </c>
      <c r="O3">
        <v>-2.1406430467723971E-2</v>
      </c>
      <c r="P3">
        <v>-9.0022020257468291E-2</v>
      </c>
      <c r="Q3">
        <v>-1.1782557118807629E-2</v>
      </c>
    </row>
    <row r="4" spans="1:17" x14ac:dyDescent="0.35">
      <c r="A4" s="1" t="s">
        <v>2</v>
      </c>
      <c r="B4">
        <v>0.34677255989174038</v>
      </c>
      <c r="C4">
        <v>0.54541895064863855</v>
      </c>
      <c r="D4">
        <v>1</v>
      </c>
      <c r="E4">
        <v>-0.27982000800363171</v>
      </c>
      <c r="F4">
        <v>-0.1804803087128439</v>
      </c>
      <c r="G4">
        <v>-0.30056330933040321</v>
      </c>
      <c r="H4">
        <v>-0.2053458837732067</v>
      </c>
      <c r="I4">
        <v>-0.21280107615853591</v>
      </c>
      <c r="J4">
        <v>-0.36503813228215148</v>
      </c>
      <c r="K4">
        <v>-0.32384566313695989</v>
      </c>
      <c r="L4">
        <v>-0.1235251261981128</v>
      </c>
      <c r="M4">
        <v>-6.8396738709575189E-2</v>
      </c>
      <c r="N4">
        <v>0.19318098453593599</v>
      </c>
      <c r="O4">
        <v>0.27678363845439541</v>
      </c>
      <c r="P4">
        <v>3.9687760739388893E-2</v>
      </c>
      <c r="Q4">
        <v>0.31436191689462262</v>
      </c>
    </row>
    <row r="5" spans="1:17" x14ac:dyDescent="0.35">
      <c r="A5" s="1" t="s">
        <v>3</v>
      </c>
      <c r="B5">
        <v>0.1160817230541014</v>
      </c>
      <c r="C5">
        <v>-0.1217360116684396</v>
      </c>
      <c r="D5">
        <v>-0.27982000800363171</v>
      </c>
      <c r="E5">
        <v>1</v>
      </c>
      <c r="F5">
        <v>0.63426143800872081</v>
      </c>
      <c r="G5">
        <v>0.43287310861160028</v>
      </c>
      <c r="H5">
        <v>0.21919562281431479</v>
      </c>
      <c r="I5">
        <v>0.2515208965743751</v>
      </c>
      <c r="J5">
        <v>0.10344986616496719</v>
      </c>
      <c r="K5">
        <v>0.145387016210107</v>
      </c>
      <c r="L5">
        <v>7.5821396397530341E-2</v>
      </c>
      <c r="M5">
        <v>5.8185880384482067E-2</v>
      </c>
      <c r="N5">
        <v>7.0803235166329109E-2</v>
      </c>
      <c r="O5">
        <v>5.0347748131879692E-2</v>
      </c>
      <c r="P5">
        <v>0.19090523100125931</v>
      </c>
      <c r="Q5">
        <v>-4.5580202240867368E-2</v>
      </c>
    </row>
    <row r="6" spans="1:17" x14ac:dyDescent="0.35">
      <c r="A6" s="1" t="s">
        <v>4</v>
      </c>
      <c r="B6">
        <v>0.23181846068562581</v>
      </c>
      <c r="C6">
        <v>-0.13083297717110751</v>
      </c>
      <c r="D6">
        <v>-0.1804803087128439</v>
      </c>
      <c r="E6">
        <v>0.63426143800872081</v>
      </c>
      <c r="F6">
        <v>1</v>
      </c>
      <c r="G6">
        <v>0.55242633962348464</v>
      </c>
      <c r="H6">
        <v>0.39359004438142581</v>
      </c>
      <c r="I6">
        <v>0.33119359808964111</v>
      </c>
      <c r="J6">
        <v>0.12527364452794021</v>
      </c>
      <c r="K6">
        <v>0.23127504164102741</v>
      </c>
      <c r="L6">
        <v>9.8829970457252572E-2</v>
      </c>
      <c r="M6">
        <v>-0.1666338255527646</v>
      </c>
      <c r="N6">
        <v>-9.0893226893666509E-2</v>
      </c>
      <c r="O6">
        <v>6.7475957420714425E-2</v>
      </c>
      <c r="P6">
        <v>3.1261215925806843E-2</v>
      </c>
      <c r="Q6">
        <v>7.6487703452437106E-2</v>
      </c>
    </row>
    <row r="7" spans="1:17" x14ac:dyDescent="0.35">
      <c r="A7" s="1" t="s">
        <v>5</v>
      </c>
      <c r="B7">
        <v>4.9097923280587361E-2</v>
      </c>
      <c r="C7">
        <v>-0.144675155820367</v>
      </c>
      <c r="D7">
        <v>-0.30056330933040321</v>
      </c>
      <c r="E7">
        <v>0.43287310861160028</v>
      </c>
      <c r="F7">
        <v>0.55242633962348464</v>
      </c>
      <c r="G7">
        <v>1</v>
      </c>
      <c r="H7">
        <v>0.34499459422608048</v>
      </c>
      <c r="I7">
        <v>0.35304783572503279</v>
      </c>
      <c r="J7">
        <v>0.2439192205831989</v>
      </c>
      <c r="K7">
        <v>0.29258167551253861</v>
      </c>
      <c r="L7">
        <v>0.20394675324999251</v>
      </c>
      <c r="M7">
        <v>-0.21067017307074201</v>
      </c>
      <c r="N7">
        <v>-0.11355629858927201</v>
      </c>
      <c r="O7">
        <v>-8.6388454152355895E-2</v>
      </c>
      <c r="P7">
        <v>1.0850482969342899E-2</v>
      </c>
      <c r="Q7">
        <v>4.0943806935047081E-2</v>
      </c>
    </row>
    <row r="8" spans="1:17" x14ac:dyDescent="0.35">
      <c r="A8" s="1" t="s">
        <v>6</v>
      </c>
      <c r="B8">
        <v>3.1500400494734841E-2</v>
      </c>
      <c r="C8">
        <v>2.1143401472288621E-2</v>
      </c>
      <c r="D8">
        <v>-0.2053458837732067</v>
      </c>
      <c r="E8">
        <v>0.21919562281431479</v>
      </c>
      <c r="F8">
        <v>0.39359004438142581</v>
      </c>
      <c r="G8">
        <v>0.34499459422608048</v>
      </c>
      <c r="H8">
        <v>1</v>
      </c>
      <c r="I8">
        <v>0.62023801122775568</v>
      </c>
      <c r="J8">
        <v>0.33049549497041603</v>
      </c>
      <c r="K8">
        <v>0.59102709456705582</v>
      </c>
      <c r="L8">
        <v>0.45477154036295492</v>
      </c>
      <c r="M8">
        <v>-1.527381585961848E-2</v>
      </c>
      <c r="N8">
        <v>-8.6687127894290256E-2</v>
      </c>
      <c r="O8">
        <v>-3.3348884170066491E-2</v>
      </c>
      <c r="P8">
        <v>-8.8506934594264328E-2</v>
      </c>
      <c r="Q8">
        <v>1.181134622199676E-3</v>
      </c>
    </row>
    <row r="9" spans="1:17" x14ac:dyDescent="0.35">
      <c r="A9" s="1" t="s">
        <v>7</v>
      </c>
      <c r="B9">
        <v>-0.11861134353513141</v>
      </c>
      <c r="C9">
        <v>-0.1038604500659252</v>
      </c>
      <c r="D9">
        <v>-0.21280107615853591</v>
      </c>
      <c r="E9">
        <v>0.2515208965743751</v>
      </c>
      <c r="F9">
        <v>0.33119359808964111</v>
      </c>
      <c r="G9">
        <v>0.35304783572503279</v>
      </c>
      <c r="H9">
        <v>0.62023801122775568</v>
      </c>
      <c r="I9">
        <v>1</v>
      </c>
      <c r="J9">
        <v>0.2234858622937371</v>
      </c>
      <c r="K9">
        <v>0.66957250482160591</v>
      </c>
      <c r="L9">
        <v>0.40731948374750637</v>
      </c>
      <c r="M9">
        <v>3.130666021341248E-3</v>
      </c>
      <c r="N9">
        <v>-8.0014794812737794E-2</v>
      </c>
      <c r="O9">
        <v>4.6090046846622761E-2</v>
      </c>
      <c r="P9">
        <v>3.733673361257905E-3</v>
      </c>
      <c r="Q9">
        <v>-6.516556437719126E-2</v>
      </c>
    </row>
    <row r="10" spans="1:17" x14ac:dyDescent="0.35">
      <c r="A10" s="1" t="s">
        <v>8</v>
      </c>
      <c r="B10">
        <v>-0.1486512621623127</v>
      </c>
      <c r="C10">
        <v>-9.5985050831934732E-2</v>
      </c>
      <c r="D10">
        <v>-0.36503813228215148</v>
      </c>
      <c r="E10">
        <v>0.10344986616496719</v>
      </c>
      <c r="F10">
        <v>0.12527364452794021</v>
      </c>
      <c r="G10">
        <v>0.2439192205831989</v>
      </c>
      <c r="H10">
        <v>0.33049549497041603</v>
      </c>
      <c r="I10">
        <v>0.2234858622937371</v>
      </c>
      <c r="J10">
        <v>1</v>
      </c>
      <c r="K10">
        <v>0.43639538825782259</v>
      </c>
      <c r="L10">
        <v>0.24269165169250079</v>
      </c>
      <c r="M10">
        <v>0.18753196332916999</v>
      </c>
      <c r="N10">
        <v>-0.44891152769201659</v>
      </c>
      <c r="O10">
        <v>-0.46708583523641989</v>
      </c>
      <c r="P10">
        <v>-0.18789419765154211</v>
      </c>
      <c r="Q10">
        <v>-0.49729120380470287</v>
      </c>
    </row>
    <row r="11" spans="1:17" x14ac:dyDescent="0.35">
      <c r="A11" s="1" t="s">
        <v>9</v>
      </c>
      <c r="B11">
        <v>-0.1431140966058044</v>
      </c>
      <c r="C11">
        <v>-7.1344868115047394E-2</v>
      </c>
      <c r="D11">
        <v>-0.32384566313695989</v>
      </c>
      <c r="E11">
        <v>0.145387016210107</v>
      </c>
      <c r="F11">
        <v>0.23127504164102741</v>
      </c>
      <c r="G11">
        <v>0.29258167551253861</v>
      </c>
      <c r="H11">
        <v>0.59102709456705582</v>
      </c>
      <c r="I11">
        <v>0.66957250482160591</v>
      </c>
      <c r="J11">
        <v>0.43639538825782259</v>
      </c>
      <c r="K11">
        <v>1</v>
      </c>
      <c r="L11">
        <v>0.63227589563275122</v>
      </c>
      <c r="M11">
        <v>-1.106640894943656E-2</v>
      </c>
      <c r="N11">
        <v>-0.20126182459135331</v>
      </c>
      <c r="O11">
        <v>-5.4539617292337333E-2</v>
      </c>
      <c r="P11">
        <v>-0.25280914802679327</v>
      </c>
      <c r="Q11">
        <v>-9.0168126390846481E-2</v>
      </c>
    </row>
    <row r="12" spans="1:17" x14ac:dyDescent="0.35">
      <c r="A12" s="1" t="s">
        <v>10</v>
      </c>
      <c r="B12">
        <v>-7.3665896381882146E-2</v>
      </c>
      <c r="C12">
        <v>-7.0029552465241729E-2</v>
      </c>
      <c r="D12">
        <v>-0.1235251261981128</v>
      </c>
      <c r="E12">
        <v>7.5821396397530341E-2</v>
      </c>
      <c r="F12">
        <v>9.8829970457252572E-2</v>
      </c>
      <c r="G12">
        <v>0.20394675324999251</v>
      </c>
      <c r="H12">
        <v>0.45477154036295492</v>
      </c>
      <c r="I12">
        <v>0.40731948374750637</v>
      </c>
      <c r="J12">
        <v>0.24269165169250079</v>
      </c>
      <c r="K12">
        <v>0.63227589563275122</v>
      </c>
      <c r="L12">
        <v>1</v>
      </c>
      <c r="M12">
        <v>0.31990689912372172</v>
      </c>
      <c r="N12">
        <v>0.17057224972224361</v>
      </c>
      <c r="O12">
        <v>3.3706397476915631E-2</v>
      </c>
      <c r="P12">
        <v>4.3188718297908907E-2</v>
      </c>
      <c r="Q12">
        <v>2.0222399821828201E-2</v>
      </c>
    </row>
    <row r="13" spans="1:17" x14ac:dyDescent="0.35">
      <c r="A13" s="1" t="s">
        <v>11</v>
      </c>
      <c r="B13">
        <v>-8.809787707376357E-2</v>
      </c>
      <c r="C13">
        <v>-5.2817635109768273E-2</v>
      </c>
      <c r="D13">
        <v>-6.8396738709575189E-2</v>
      </c>
      <c r="E13">
        <v>5.8185880384482067E-2</v>
      </c>
      <c r="F13">
        <v>-0.1666338255527646</v>
      </c>
      <c r="G13">
        <v>-0.21067017307074201</v>
      </c>
      <c r="H13">
        <v>-1.527381585961848E-2</v>
      </c>
      <c r="I13">
        <v>3.130666021341248E-3</v>
      </c>
      <c r="J13">
        <v>0.18753196332916999</v>
      </c>
      <c r="K13">
        <v>-1.106640894943656E-2</v>
      </c>
      <c r="L13">
        <v>0.31990689912372172</v>
      </c>
      <c r="M13">
        <v>1</v>
      </c>
      <c r="N13">
        <v>0.32087599052704502</v>
      </c>
      <c r="O13">
        <v>1.3714279269410689E-2</v>
      </c>
      <c r="P13">
        <v>0.32568283060912812</v>
      </c>
      <c r="Q13">
        <v>-2.3042268593840079E-2</v>
      </c>
    </row>
    <row r="14" spans="1:17" x14ac:dyDescent="0.35">
      <c r="A14" s="1" t="s">
        <v>12</v>
      </c>
      <c r="B14">
        <v>-5.26591565346433E-2</v>
      </c>
      <c r="C14">
        <v>-4.9738655372400221E-2</v>
      </c>
      <c r="D14">
        <v>0.19318098453593599</v>
      </c>
      <c r="E14">
        <v>7.0803235166329109E-2</v>
      </c>
      <c r="F14">
        <v>-9.0893226893666509E-2</v>
      </c>
      <c r="G14">
        <v>-0.11355629858927201</v>
      </c>
      <c r="H14">
        <v>-8.6687127894290256E-2</v>
      </c>
      <c r="I14">
        <v>-8.0014794812737794E-2</v>
      </c>
      <c r="J14">
        <v>-0.44891152769201659</v>
      </c>
      <c r="K14">
        <v>-0.20126182459135331</v>
      </c>
      <c r="L14">
        <v>0.17057224972224361</v>
      </c>
      <c r="M14">
        <v>0.32087599052704502</v>
      </c>
      <c r="N14">
        <v>1</v>
      </c>
      <c r="O14">
        <v>0.48068729417147082</v>
      </c>
      <c r="P14">
        <v>0.64444242469724333</v>
      </c>
      <c r="Q14">
        <v>0.48621539917422202</v>
      </c>
    </row>
    <row r="15" spans="1:17" x14ac:dyDescent="0.35">
      <c r="A15" s="1" t="s">
        <v>13</v>
      </c>
      <c r="B15">
        <v>-5.1322925031812034E-3</v>
      </c>
      <c r="C15">
        <v>-2.1406430467723971E-2</v>
      </c>
      <c r="D15">
        <v>0.27678363845439541</v>
      </c>
      <c r="E15">
        <v>5.0347748131879692E-2</v>
      </c>
      <c r="F15">
        <v>6.7475957420714425E-2</v>
      </c>
      <c r="G15">
        <v>-8.6388454152355895E-2</v>
      </c>
      <c r="H15">
        <v>-3.3348884170066491E-2</v>
      </c>
      <c r="I15">
        <v>4.6090046846622761E-2</v>
      </c>
      <c r="J15">
        <v>-0.46708583523641989</v>
      </c>
      <c r="K15">
        <v>-5.4539617292337333E-2</v>
      </c>
      <c r="L15">
        <v>3.3706397476915631E-2</v>
      </c>
      <c r="M15">
        <v>1.3714279269410689E-2</v>
      </c>
      <c r="N15">
        <v>0.48068729417147082</v>
      </c>
      <c r="O15">
        <v>1</v>
      </c>
      <c r="P15">
        <v>0.48839566548125518</v>
      </c>
      <c r="Q15">
        <v>0.67881742932360034</v>
      </c>
    </row>
    <row r="16" spans="1:17" x14ac:dyDescent="0.35">
      <c r="A16" s="1" t="s">
        <v>14</v>
      </c>
      <c r="B16">
        <v>-0.2300900948419457</v>
      </c>
      <c r="C16">
        <v>-9.0022020257468291E-2</v>
      </c>
      <c r="D16">
        <v>3.9687760739388893E-2</v>
      </c>
      <c r="E16">
        <v>0.19090523100125931</v>
      </c>
      <c r="F16">
        <v>3.1261215925806843E-2</v>
      </c>
      <c r="G16">
        <v>1.0850482969342899E-2</v>
      </c>
      <c r="H16">
        <v>-8.8506934594264328E-2</v>
      </c>
      <c r="I16">
        <v>3.733673361257905E-3</v>
      </c>
      <c r="J16">
        <v>-0.18789419765154211</v>
      </c>
      <c r="K16">
        <v>-0.25280914802679327</v>
      </c>
      <c r="L16">
        <v>4.3188718297908907E-2</v>
      </c>
      <c r="M16">
        <v>0.32568283060912812</v>
      </c>
      <c r="N16">
        <v>0.64444242469724333</v>
      </c>
      <c r="O16">
        <v>0.48839566548125518</v>
      </c>
      <c r="P16">
        <v>1</v>
      </c>
      <c r="Q16">
        <v>0.49161379208831152</v>
      </c>
    </row>
    <row r="17" spans="1:17" x14ac:dyDescent="0.35">
      <c r="A17" s="1" t="s">
        <v>15</v>
      </c>
      <c r="B17">
        <v>-8.9634700054810862E-2</v>
      </c>
      <c r="C17">
        <v>-1.1782557118807629E-2</v>
      </c>
      <c r="D17">
        <v>0.31436191689462262</v>
      </c>
      <c r="E17">
        <v>-4.5580202240867368E-2</v>
      </c>
      <c r="F17">
        <v>7.6487703452437106E-2</v>
      </c>
      <c r="G17">
        <v>4.0943806935047081E-2</v>
      </c>
      <c r="H17">
        <v>1.181134622199676E-3</v>
      </c>
      <c r="I17">
        <v>-6.516556437719126E-2</v>
      </c>
      <c r="J17">
        <v>-0.49729120380470287</v>
      </c>
      <c r="K17">
        <v>-9.0168126390846481E-2</v>
      </c>
      <c r="L17">
        <v>2.0222399821828201E-2</v>
      </c>
      <c r="M17">
        <v>-2.3042268593840079E-2</v>
      </c>
      <c r="N17">
        <v>0.48621539917422202</v>
      </c>
      <c r="O17">
        <v>0.67881742932360034</v>
      </c>
      <c r="P17">
        <v>0.49161379208831152</v>
      </c>
      <c r="Q17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Class_0</vt:lpstr>
      <vt:lpstr>Sheet2</vt:lpstr>
      <vt:lpstr>Class_1</vt:lpstr>
      <vt:lpstr>Class_2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Srinivasan, Srikanth Kaniyanoor</cp:lastModifiedBy>
  <dcterms:created xsi:type="dcterms:W3CDTF">2025-10-04T10:39:28Z</dcterms:created>
  <dcterms:modified xsi:type="dcterms:W3CDTF">2025-10-08T04:47:53Z</dcterms:modified>
</cp:coreProperties>
</file>