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4E91D562-FBDB-40AD-B837-BADE66D7954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ensitivity" sheetId="4" r:id="rId1"/>
    <sheet name="Class_0" sheetId="1" r:id="rId2"/>
    <sheet name="Class_1" sheetId="2" r:id="rId3"/>
    <sheet name="Class_2" sheetId="3" r:id="rId4"/>
    <sheet name="Model pat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4" l="1"/>
  <c r="S7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" i="4"/>
  <c r="B3" i="4"/>
  <c r="B2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<sst xmlns="http://schemas.openxmlformats.org/spreadsheetml/2006/main" count="144" uniqueCount="44">
  <si>
    <t>Deer</t>
  </si>
  <si>
    <t>Horse</t>
  </si>
  <si>
    <t>Zebra</t>
  </si>
  <si>
    <t>Mixed_6b.branch7x7dbl_4.conv</t>
  </si>
  <si>
    <t>Mixed_6c.branch1x1.conv</t>
  </si>
  <si>
    <t>Mixed_6c.branch7x7_2.conv</t>
  </si>
  <si>
    <t>Mixed_6c.branch7x7_3.conv</t>
  </si>
  <si>
    <t>Mixed_6c.branch7x7dbl_1.conv</t>
  </si>
  <si>
    <t>Mixed_6c.branch7x7dbl_2.conv</t>
  </si>
  <si>
    <t>Mixed_6c.branch_pool.conv</t>
  </si>
  <si>
    <t>Mixed_6d.branch7x7dbl_1.conv</t>
  </si>
  <si>
    <t>Mixed_6d.branch7x7dbl_2.conv</t>
  </si>
  <si>
    <t>Mixed_6d.branch7x7dbl_4.conv</t>
  </si>
  <si>
    <t>Mixed_6e.branch1x1.conv</t>
  </si>
  <si>
    <t>Mixed_6e.branch7x7_1.conv</t>
  </si>
  <si>
    <t>Mixed_6e.branch7x7_2.conv</t>
  </si>
  <si>
    <t>Mixed_6e.branch7x7dbl_2.conv</t>
  </si>
  <si>
    <t>Mixed_6e.branch7x7dbl_5.conv</t>
  </si>
  <si>
    <t>Mixed_7a.branch3x3_2.conv</t>
  </si>
  <si>
    <t>Mixed_7a.branch7x7x3_1.conv</t>
  </si>
  <si>
    <t>Mixed_7b.branch3x3_1.conv</t>
  </si>
  <si>
    <t>Mixed_7b.branch3x3dbl_1.conv</t>
  </si>
  <si>
    <t>Mixed_7b.branch3x3dbl_2.conv</t>
  </si>
  <si>
    <t>Overall corelation</t>
  </si>
  <si>
    <t>Affects 3 classes</t>
  </si>
  <si>
    <t>Affects 2 classes</t>
  </si>
  <si>
    <t>P2</t>
  </si>
  <si>
    <t>/mnt/sdc/Results_backup/trained_models_transfer_learning/inception_v3</t>
  </si>
  <si>
    <t>P1</t>
  </si>
  <si>
    <t>/mnt/sdd/basics/inception_v3/</t>
  </si>
  <si>
    <t>loss_inception_v3_Mixed_6e.branch1x1.conv_0.5.pth    loss_inception_v3_Mixed_6e.branch7x7_3.conv_0.7.pth</t>
  </si>
  <si>
    <t>loss_inception_v3_Mixed_6e.branch1x1.conv_0.6.pth    loss_inception_v3_Mixed_6e.branch7x7_3.conv_0.8.pth</t>
  </si>
  <si>
    <t>loss_inception_v3_Mixed_6e.branch1x1.conv_0.7.pth    loss_inception_v3_Mixed_6e.branch7x7dbl_1.conv_0.5.pth</t>
  </si>
  <si>
    <t>loss_inception_v3_Mixed_6e.branch1x1.conv_0.8.pth    loss_inception_v3_Mixed_6e.branch7x7dbl_1.conv_0.6.pth</t>
  </si>
  <si>
    <t>loss_inception_v3_Mixed_6e.branch7x7_1.conv_0.5.pth  loss_inception_v3_Mixed_6e.branch7x7dbl_1.conv_0.7.pth</t>
  </si>
  <si>
    <t>loss_inception_v3_Mixed_6e.branch7x7_1.conv_0.6.pth  loss_inception_v3_Mixed_6e.branch7x7dbl_1.conv_0.8.pth</t>
  </si>
  <si>
    <t>loss_inception_v3_Mixed_6e.branch7x7_1.conv_0.7.pth  loss_inception_v3_Mixed_6e.branch7x7dbl_2.conv_0.5.pth</t>
  </si>
  <si>
    <t>loss_inception_v3_Mixed_6e.branch7x7_1.conv_0.8.pth  loss_inception_v3_Mixed_6e.branch7x7dbl_2.conv_0.6.pth</t>
  </si>
  <si>
    <t>loss_inception_v3_Mixed_6e.branch7x7_2.conv_0.5.pth  loss_inception_v3_Mixed_6e.branch7x7dbl_2.conv_0.7.pth</t>
  </si>
  <si>
    <t>loss_inception_v3_Mixed_6e.branch7x7_2.conv_0.6.pth  loss_inception_v3_Mixed_6e.branch7x7dbl_2.conv_0.8.pth</t>
  </si>
  <si>
    <t>loss_inception_v3_Mixed_6e.branch7x7_2.conv_0.7.pth  loss_inception_v3_Mixed_6e.branch7x7dbl_3.conv_0.5.pth</t>
  </si>
  <si>
    <t>loss_inception_v3_Mixed_6e.branch7x7_2.conv_0.8.pth  loss_inception_v3_Mixed_6e.branch7x7dbl_3.conv_0.6.pth</t>
  </si>
  <si>
    <t>loss_inception_v3_Mixed_6e.branch7x7_3.conv_0.5.pth  loss_inception_v3_Mixed_6e.branch7x7dbl_3.conv_0.7.pth</t>
  </si>
  <si>
    <t>loss_inception_v3_Mixed_6e.branch7x7_3.conv_0.6.pth  loss_inception_v3_Mixed_6e.branch7x7dbl_3.conv_0.8.pth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</si>
</sst>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458C-7C41-4EAF-AE37-5693C35E05AC}">
  <dimension ref="A1:U9"/>
  <sheetViews>
    <sheetView workbookViewId="0">
      <selection activeCell="D28" sqref="D28"/>
    </sheetView>
  </sheetViews>
  <sheetFormatPr defaultRowHeight="14.5" x14ac:dyDescent="0.35"/>
  <cols>
    <col min="1" max="1" width="16.1796875" bestFit="1" customWidth="1"/>
    <col min="2" max="2" width="31.6328125" bestFit="1" customWidth="1"/>
    <col min="3" max="3" width="26.54296875" bestFit="1" customWidth="1"/>
    <col min="4" max="5" width="28.6328125" bestFit="1" customWidth="1"/>
    <col min="6" max="7" width="31.36328125" bestFit="1" customWidth="1"/>
    <col min="8" max="8" width="28.6328125" bestFit="1" customWidth="1"/>
    <col min="9" max="11" width="31.6328125" bestFit="1" customWidth="1"/>
    <col min="12" max="12" width="26.81640625" bestFit="1" customWidth="1"/>
    <col min="13" max="14" width="28.90625" bestFit="1" customWidth="1"/>
    <col min="15" max="16" width="31.6328125" bestFit="1" customWidth="1"/>
    <col min="17" max="17" width="28.7265625" bestFit="1" customWidth="1"/>
    <col min="18" max="18" width="30.6328125" bestFit="1" customWidth="1"/>
    <col min="19" max="19" width="28.90625" bestFit="1" customWidth="1"/>
    <col min="20" max="21" width="31.6328125" bestFit="1" customWidth="1"/>
  </cols>
  <sheetData>
    <row r="1" spans="1:21" x14ac:dyDescent="0.35">
      <c r="B1" t="str">
        <f>Class_0!B1</f>
        <v>Mixed_6b.branch7x7dbl_4.conv</v>
      </c>
      <c r="C1" t="str">
        <f>Class_0!C1</f>
        <v>Mixed_6c.branch1x1.conv</v>
      </c>
      <c r="D1" t="str">
        <f>Class_0!D1</f>
        <v>Mixed_6c.branch7x7_2.conv</v>
      </c>
      <c r="E1" t="str">
        <f>Class_0!E1</f>
        <v>Mixed_6c.branch7x7_3.conv</v>
      </c>
      <c r="F1" t="str">
        <f>Class_0!F1</f>
        <v>Mixed_6c.branch7x7dbl_1.conv</v>
      </c>
      <c r="G1" t="str">
        <f>Class_0!G1</f>
        <v>Mixed_6c.branch7x7dbl_2.conv</v>
      </c>
      <c r="H1" t="str">
        <f>Class_0!H1</f>
        <v>Mixed_6c.branch_pool.conv</v>
      </c>
      <c r="I1" t="str">
        <f>Class_0!I1</f>
        <v>Mixed_6d.branch7x7dbl_1.conv</v>
      </c>
      <c r="J1" t="str">
        <f>Class_0!J1</f>
        <v>Mixed_6d.branch7x7dbl_2.conv</v>
      </c>
      <c r="K1" t="str">
        <f>Class_0!K1</f>
        <v>Mixed_6d.branch7x7dbl_4.conv</v>
      </c>
      <c r="L1" t="str">
        <f>Class_0!L1</f>
        <v>Mixed_6e.branch1x1.conv</v>
      </c>
      <c r="M1" t="str">
        <f>Class_0!M1</f>
        <v>Mixed_6e.branch7x7_1.conv</v>
      </c>
      <c r="N1" t="str">
        <f>Class_0!N1</f>
        <v>Mixed_6e.branch7x7_2.conv</v>
      </c>
      <c r="O1" t="str">
        <f>Class_0!O1</f>
        <v>Mixed_6e.branch7x7dbl_2.conv</v>
      </c>
      <c r="P1" t="str">
        <f>Class_0!P1</f>
        <v>Mixed_6e.branch7x7dbl_5.conv</v>
      </c>
      <c r="Q1" t="str">
        <f>Class_0!Q1</f>
        <v>Mixed_7a.branch3x3_2.conv</v>
      </c>
      <c r="R1" t="str">
        <f>Class_0!R1</f>
        <v>Mixed_7a.branch7x7x3_1.conv</v>
      </c>
      <c r="S1" t="str">
        <f>Class_0!S1</f>
        <v>Mixed_7b.branch3x3_1.conv</v>
      </c>
      <c r="T1" t="str">
        <f>Class_0!T1</f>
        <v>Mixed_7b.branch3x3dbl_1.conv</v>
      </c>
      <c r="U1" t="str">
        <f>Class_0!U1</f>
        <v>Mixed_7b.branch3x3dbl_2.conv</v>
      </c>
    </row>
    <row r="2" spans="1:21" x14ac:dyDescent="0.35">
      <c r="A2" t="s">
        <v>0</v>
      </c>
      <c r="B2">
        <f>Class_0!B21</f>
        <v>8.4114754204776071E-2</v>
      </c>
      <c r="C2">
        <f>Class_0!C21</f>
        <v>0.12925727947292989</v>
      </c>
      <c r="D2">
        <f>Class_0!D21</f>
        <v>7.74675415496868E-3</v>
      </c>
      <c r="E2">
        <f>Class_0!E21</f>
        <v>2.980679333069608E-2</v>
      </c>
      <c r="F2">
        <f>Class_0!F21</f>
        <v>-3.4109828651512381E-2</v>
      </c>
      <c r="G2">
        <f>Class_0!G21</f>
        <v>-8.961692854197105E-2</v>
      </c>
      <c r="H2">
        <f>Class_0!H21</f>
        <v>-2.2295305838328599E-2</v>
      </c>
      <c r="I2">
        <f>Class_0!I21</f>
        <v>-1.151596550037811E-2</v>
      </c>
      <c r="J2">
        <f>Class_0!J21</f>
        <v>-8.6362630171661799E-3</v>
      </c>
      <c r="K2">
        <f>Class_0!K21</f>
        <v>0.11502823325286821</v>
      </c>
      <c r="L2">
        <f>Class_0!L21</f>
        <v>0.21228292634008289</v>
      </c>
      <c r="M2">
        <f>Class_0!M21</f>
        <v>0.15168894734214461</v>
      </c>
      <c r="N2">
        <f>Class_0!N21</f>
        <v>0.20675539127660481</v>
      </c>
      <c r="O2">
        <f>Class_0!O21</f>
        <v>0.12827851323022449</v>
      </c>
      <c r="P2">
        <f>Class_0!P21</f>
        <v>2.036867840974942E-2</v>
      </c>
      <c r="Q2">
        <f>Class_0!Q21</f>
        <v>9.4475795087378009E-2</v>
      </c>
      <c r="R2">
        <f>Class_0!R21</f>
        <v>5.7430246982299288E-2</v>
      </c>
      <c r="S2">
        <f>Class_0!S21</f>
        <v>0.1109934317965563</v>
      </c>
      <c r="T2">
        <f>Class_0!T21</f>
        <v>0.54170200669178048</v>
      </c>
      <c r="U2">
        <f>Class_0!U21</f>
        <v>1</v>
      </c>
    </row>
    <row r="3" spans="1:21" x14ac:dyDescent="0.35">
      <c r="A3" t="s">
        <v>1</v>
      </c>
      <c r="B3">
        <f>Class_1!B21</f>
        <v>6.2741487061260551E-2</v>
      </c>
      <c r="C3">
        <f>Class_1!C21</f>
        <v>9.400110830298268E-2</v>
      </c>
      <c r="D3">
        <f>Class_1!D21</f>
        <v>-6.0666913842365999E-3</v>
      </c>
      <c r="E3">
        <f>Class_1!E21</f>
        <v>1.4133561951553899E-2</v>
      </c>
      <c r="F3">
        <f>Class_1!F21</f>
        <v>6.8830279908247721E-2</v>
      </c>
      <c r="G3">
        <f>Class_1!G21</f>
        <v>0.10933606744142819</v>
      </c>
      <c r="H3">
        <f>Class_1!H21</f>
        <v>1.8362098296854559E-2</v>
      </c>
      <c r="I3">
        <f>Class_1!I21</f>
        <v>5.4648950816809608E-2</v>
      </c>
      <c r="J3">
        <f>Class_1!J21</f>
        <v>0.1040034232550018</v>
      </c>
      <c r="K3">
        <f>Class_1!K21</f>
        <v>0.134539408817582</v>
      </c>
      <c r="L3">
        <f>Class_1!L21</f>
        <v>7.0759866274594518E-2</v>
      </c>
      <c r="M3">
        <f>Class_1!M21</f>
        <v>0.1118302172950186</v>
      </c>
      <c r="N3">
        <f>Class_1!N21</f>
        <v>0.17813205016647979</v>
      </c>
      <c r="O3">
        <f>Class_1!O21</f>
        <v>3.2864660882924189E-2</v>
      </c>
      <c r="P3">
        <f>Class_1!P21</f>
        <v>0.1799664153275671</v>
      </c>
      <c r="Q3">
        <f>Class_1!Q21</f>
        <v>-3.9358858957384037E-2</v>
      </c>
      <c r="R3">
        <f>Class_1!R21</f>
        <v>-2.248320275741222E-2</v>
      </c>
      <c r="S3">
        <f>Class_1!S21</f>
        <v>4.8191591759194378E-3</v>
      </c>
      <c r="T3">
        <f>Class_1!T21</f>
        <v>0.52429556388423781</v>
      </c>
      <c r="U3">
        <f>Class_1!U21</f>
        <v>1</v>
      </c>
    </row>
    <row r="4" spans="1:21" x14ac:dyDescent="0.35">
      <c r="A4" t="s">
        <v>2</v>
      </c>
      <c r="B4">
        <f>Class_2!B21</f>
        <v>-6.0121756198997262E-2</v>
      </c>
      <c r="C4">
        <f>Class_2!C21</f>
        <v>0.1296959470245844</v>
      </c>
      <c r="D4">
        <f>Class_2!D21</f>
        <v>-8.0066808700310077E-3</v>
      </c>
      <c r="E4">
        <f>Class_2!E21</f>
        <v>-1.4731556534236429E-2</v>
      </c>
      <c r="F4">
        <f>Class_2!F21</f>
        <v>4.1037283393106763E-2</v>
      </c>
      <c r="G4">
        <f>Class_2!G21</f>
        <v>1.2923175467880481E-3</v>
      </c>
      <c r="H4">
        <f>Class_2!H21</f>
        <v>-0.1434357997493054</v>
      </c>
      <c r="I4">
        <f>Class_2!I21</f>
        <v>-9.1505693546212991E-2</v>
      </c>
      <c r="J4">
        <f>Class_2!J21</f>
        <v>-1.540521458635691E-2</v>
      </c>
      <c r="K4">
        <f>Class_2!K21</f>
        <v>-8.3734818376006562E-2</v>
      </c>
      <c r="L4">
        <f>Class_2!L21</f>
        <v>0.1114813267133191</v>
      </c>
      <c r="M4">
        <f>Class_2!M21</f>
        <v>4.0960502678321679E-2</v>
      </c>
      <c r="N4">
        <f>Class_2!N21</f>
        <v>0.14597397159930939</v>
      </c>
      <c r="O4">
        <f>Class_2!O21</f>
        <v>5.12508194918588E-2</v>
      </c>
      <c r="P4">
        <f>Class_2!P21</f>
        <v>0.128895191275753</v>
      </c>
      <c r="Q4">
        <f>Class_2!Q21</f>
        <v>0.2158478599921087</v>
      </c>
      <c r="R4">
        <f>Class_2!R21</f>
        <v>9.8469354303946394E-3</v>
      </c>
      <c r="S4">
        <f>Class_2!S21</f>
        <v>6.0544737594529482E-2</v>
      </c>
      <c r="T4">
        <f>Class_2!T21</f>
        <v>0.37969100243554788</v>
      </c>
      <c r="U4">
        <f>Class_2!U21</f>
        <v>1</v>
      </c>
    </row>
    <row r="6" spans="1:21" x14ac:dyDescent="0.35">
      <c r="A6" t="s">
        <v>23</v>
      </c>
      <c r="B6">
        <f>MIN(B2:B4)</f>
        <v>-6.0121756198997262E-2</v>
      </c>
      <c r="C6">
        <f t="shared" ref="C6:R6" si="0">MIN(C2:C4)</f>
        <v>9.400110830298268E-2</v>
      </c>
      <c r="D6">
        <f t="shared" si="0"/>
        <v>-8.0066808700310077E-3</v>
      </c>
      <c r="E6">
        <f t="shared" si="0"/>
        <v>-1.4731556534236429E-2</v>
      </c>
      <c r="F6">
        <f t="shared" si="0"/>
        <v>-3.4109828651512381E-2</v>
      </c>
      <c r="G6">
        <f t="shared" si="0"/>
        <v>-8.961692854197105E-2</v>
      </c>
      <c r="H6">
        <f t="shared" si="0"/>
        <v>-0.1434357997493054</v>
      </c>
      <c r="I6">
        <f t="shared" si="0"/>
        <v>-9.1505693546212991E-2</v>
      </c>
      <c r="J6">
        <f t="shared" si="0"/>
        <v>-1.540521458635691E-2</v>
      </c>
      <c r="K6">
        <f t="shared" si="0"/>
        <v>-8.3734818376006562E-2</v>
      </c>
      <c r="L6" s="2">
        <f t="shared" si="0"/>
        <v>7.0759866274594518E-2</v>
      </c>
      <c r="M6" s="2">
        <f t="shared" si="0"/>
        <v>4.0960502678321679E-2</v>
      </c>
      <c r="N6" s="2">
        <f t="shared" si="0"/>
        <v>0.14597397159930939</v>
      </c>
      <c r="O6" s="2">
        <f t="shared" si="0"/>
        <v>3.2864660882924189E-2</v>
      </c>
      <c r="P6" s="2">
        <f t="shared" si="0"/>
        <v>2.036867840974942E-2</v>
      </c>
      <c r="Q6">
        <f t="shared" si="0"/>
        <v>-3.9358858957384037E-2</v>
      </c>
      <c r="R6">
        <f t="shared" si="0"/>
        <v>-2.248320275741222E-2</v>
      </c>
    </row>
    <row r="7" spans="1:21" x14ac:dyDescent="0.35">
      <c r="A7" t="s">
        <v>24</v>
      </c>
      <c r="B7" t="b">
        <f>IF(AND(B2&gt;0,B3&gt;0,B4&gt;0),TRUE,FALSE)</f>
        <v>0</v>
      </c>
      <c r="C7" t="b">
        <f t="shared" ref="B7:T7" si="1">IF(AND(C2&gt;0,C3&gt;0,C4&gt;0),TRUE,FALSE)</f>
        <v>1</v>
      </c>
      <c r="D7" t="b">
        <f t="shared" si="1"/>
        <v>0</v>
      </c>
      <c r="E7" t="b">
        <f t="shared" si="1"/>
        <v>0</v>
      </c>
      <c r="F7" t="b">
        <f t="shared" si="1"/>
        <v>0</v>
      </c>
      <c r="G7" t="b">
        <f t="shared" si="1"/>
        <v>0</v>
      </c>
      <c r="H7" t="b">
        <f t="shared" si="1"/>
        <v>0</v>
      </c>
      <c r="I7" t="b">
        <f t="shared" si="1"/>
        <v>0</v>
      </c>
      <c r="J7" t="b">
        <f t="shared" si="1"/>
        <v>0</v>
      </c>
      <c r="K7" t="b">
        <f t="shared" si="1"/>
        <v>0</v>
      </c>
      <c r="L7" s="2" t="b">
        <f t="shared" si="1"/>
        <v>1</v>
      </c>
      <c r="M7" s="2" t="b">
        <f t="shared" si="1"/>
        <v>1</v>
      </c>
      <c r="N7" s="2" t="b">
        <f t="shared" si="1"/>
        <v>1</v>
      </c>
      <c r="O7" s="2" t="b">
        <f t="shared" si="1"/>
        <v>1</v>
      </c>
      <c r="P7" s="2" t="b">
        <f t="shared" si="1"/>
        <v>1</v>
      </c>
      <c r="Q7" t="b">
        <f t="shared" si="1"/>
        <v>0</v>
      </c>
      <c r="R7" t="b">
        <f t="shared" si="1"/>
        <v>0</v>
      </c>
      <c r="S7" s="2" t="b">
        <f t="shared" si="1"/>
        <v>1</v>
      </c>
      <c r="T7" s="2" t="b">
        <f t="shared" si="1"/>
        <v>1</v>
      </c>
    </row>
    <row r="9" spans="1:21" x14ac:dyDescent="0.35">
      <c r="A9" t="s">
        <v>25</v>
      </c>
      <c r="B9" s="2" t="b">
        <f>IF(OR(AND(B2&gt;0,B3&gt;0), AND(B2&gt;0,B4&gt;0), AND(B3&gt;0,B4&gt;0)), TRUE, FALSE)</f>
        <v>1</v>
      </c>
      <c r="C9" s="2" t="b">
        <f t="shared" ref="C9:T9" si="2">IF(OR(AND(C2&gt;0,C3&gt;0), AND(C2&gt;0,C4&gt;0), AND(C3&gt;0,C4&gt;0)), TRUE, FALSE)</f>
        <v>1</v>
      </c>
      <c r="D9" t="b">
        <f t="shared" si="2"/>
        <v>0</v>
      </c>
      <c r="E9" s="2" t="b">
        <f t="shared" si="2"/>
        <v>1</v>
      </c>
      <c r="F9" s="2" t="b">
        <f t="shared" si="2"/>
        <v>1</v>
      </c>
      <c r="G9" s="2" t="b">
        <f t="shared" si="2"/>
        <v>1</v>
      </c>
      <c r="H9" t="b">
        <f t="shared" si="2"/>
        <v>0</v>
      </c>
      <c r="I9" t="b">
        <f t="shared" si="2"/>
        <v>0</v>
      </c>
      <c r="J9" t="b">
        <f t="shared" si="2"/>
        <v>0</v>
      </c>
      <c r="K9" s="2" t="b">
        <f t="shared" si="2"/>
        <v>1</v>
      </c>
      <c r="L9" s="2" t="b">
        <f t="shared" si="2"/>
        <v>1</v>
      </c>
      <c r="M9" s="2" t="b">
        <f t="shared" si="2"/>
        <v>1</v>
      </c>
      <c r="N9" s="2" t="b">
        <f t="shared" si="2"/>
        <v>1</v>
      </c>
      <c r="O9" s="2" t="b">
        <f t="shared" si="2"/>
        <v>1</v>
      </c>
      <c r="P9" s="2" t="b">
        <f t="shared" si="2"/>
        <v>1</v>
      </c>
      <c r="Q9" s="2" t="b">
        <f t="shared" si="2"/>
        <v>1</v>
      </c>
      <c r="R9" s="2" t="b">
        <f t="shared" si="2"/>
        <v>1</v>
      </c>
      <c r="S9" s="2" t="b">
        <f t="shared" si="2"/>
        <v>1</v>
      </c>
      <c r="T9" s="2" t="b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>
      <selection activeCell="B1" sqref="B1"/>
    </sheetView>
  </sheetViews>
  <sheetFormatPr defaultRowHeight="14.5" x14ac:dyDescent="0.35"/>
  <sheetData>
    <row r="1" spans="1:21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35">
      <c r="A2" s="1" t="s">
        <v>3</v>
      </c>
      <c r="B2">
        <v>1</v>
      </c>
      <c r="C2">
        <v>0.23564960425545589</v>
      </c>
      <c r="D2">
        <v>0.1251947207585192</v>
      </c>
      <c r="E2">
        <v>0.10427995523111799</v>
      </c>
      <c r="F2">
        <v>0.1640412761940124</v>
      </c>
      <c r="G2">
        <v>6.0854226475296598E-2</v>
      </c>
      <c r="H2">
        <v>0.22916109177254509</v>
      </c>
      <c r="I2">
        <v>0.1993086540998095</v>
      </c>
      <c r="J2">
        <v>0.15982451257044061</v>
      </c>
      <c r="K2">
        <v>0.20930821590461091</v>
      </c>
      <c r="L2">
        <v>0.18235473743773381</v>
      </c>
      <c r="M2">
        <v>0.16767354515633101</v>
      </c>
      <c r="N2">
        <v>0.1925917598206093</v>
      </c>
      <c r="O2">
        <v>3.042386088120231E-2</v>
      </c>
      <c r="P2">
        <v>-2.1268172674484321E-2</v>
      </c>
      <c r="Q2">
        <v>-1.1426524024739241E-2</v>
      </c>
      <c r="R2">
        <v>0.1231848904919494</v>
      </c>
      <c r="S2">
        <v>-1.555165604894551E-2</v>
      </c>
      <c r="T2">
        <v>0.1034568628024871</v>
      </c>
      <c r="U2">
        <v>8.4114754204776071E-2</v>
      </c>
    </row>
    <row r="3" spans="1:21" x14ac:dyDescent="0.35">
      <c r="A3" s="1" t="s">
        <v>4</v>
      </c>
      <c r="B3">
        <v>0.23564960425545589</v>
      </c>
      <c r="C3">
        <v>1</v>
      </c>
      <c r="D3">
        <v>0.1152134524183836</v>
      </c>
      <c r="E3">
        <v>-5.7429478918764824E-3</v>
      </c>
      <c r="F3">
        <v>-3.6454052540683082E-2</v>
      </c>
      <c r="G3">
        <v>2.305358368042788E-2</v>
      </c>
      <c r="H3">
        <v>0.1006373060827134</v>
      </c>
      <c r="I3">
        <v>0.18857597838509041</v>
      </c>
      <c r="J3">
        <v>0.1193636801149371</v>
      </c>
      <c r="K3">
        <v>0.1566066637087293</v>
      </c>
      <c r="L3">
        <v>0.26344123885523052</v>
      </c>
      <c r="M3">
        <v>0.24621107130466741</v>
      </c>
      <c r="N3">
        <v>0.19726809689405411</v>
      </c>
      <c r="O3">
        <v>0.12570870672630549</v>
      </c>
      <c r="P3">
        <v>0.1101600604322437</v>
      </c>
      <c r="Q3">
        <v>4.473635338341677E-2</v>
      </c>
      <c r="R3">
        <v>7.5503850881495721E-2</v>
      </c>
      <c r="S3">
        <v>0.1207415868371952</v>
      </c>
      <c r="T3">
        <v>0.1381698262998832</v>
      </c>
      <c r="U3">
        <v>0.12925727947292989</v>
      </c>
    </row>
    <row r="4" spans="1:21" x14ac:dyDescent="0.35">
      <c r="A4" s="1" t="s">
        <v>5</v>
      </c>
      <c r="B4">
        <v>0.1251947207585192</v>
      </c>
      <c r="C4">
        <v>0.1152134524183836</v>
      </c>
      <c r="D4">
        <v>1</v>
      </c>
      <c r="E4">
        <v>0.48363619966119109</v>
      </c>
      <c r="F4">
        <v>6.865964688841826E-2</v>
      </c>
      <c r="G4">
        <v>4.2043513191493867E-2</v>
      </c>
      <c r="H4">
        <v>4.6940274722497732E-2</v>
      </c>
      <c r="I4">
        <v>0.22786004709808541</v>
      </c>
      <c r="J4">
        <v>0.14946821739609259</v>
      </c>
      <c r="K4">
        <v>0.1596029290281685</v>
      </c>
      <c r="L4">
        <v>5.3423495063568679E-2</v>
      </c>
      <c r="M4">
        <v>0.13410822235985509</v>
      </c>
      <c r="N4">
        <v>0.18882635560550759</v>
      </c>
      <c r="O4">
        <v>1.3538893867479401E-2</v>
      </c>
      <c r="P4">
        <v>-4.3850988021668317E-3</v>
      </c>
      <c r="Q4">
        <v>7.8776032416144892E-2</v>
      </c>
      <c r="R4">
        <v>0.1251438059682092</v>
      </c>
      <c r="S4">
        <v>2.1534684812996571E-2</v>
      </c>
      <c r="T4">
        <v>-6.0428818075671138E-3</v>
      </c>
      <c r="U4">
        <v>7.74675415496868E-3</v>
      </c>
    </row>
    <row r="5" spans="1:21" x14ac:dyDescent="0.35">
      <c r="A5" s="1" t="s">
        <v>6</v>
      </c>
      <c r="B5">
        <v>0.10427995523111799</v>
      </c>
      <c r="C5">
        <v>-5.7429478918764824E-3</v>
      </c>
      <c r="D5">
        <v>0.48363619966119109</v>
      </c>
      <c r="E5">
        <v>1</v>
      </c>
      <c r="F5">
        <v>0.10741002675832011</v>
      </c>
      <c r="G5">
        <v>9.7625297275300602E-2</v>
      </c>
      <c r="H5">
        <v>3.522303798058395E-3</v>
      </c>
      <c r="I5">
        <v>0.21829757467512281</v>
      </c>
      <c r="J5">
        <v>7.6676233758463927E-2</v>
      </c>
      <c r="K5">
        <v>0.10420400579841629</v>
      </c>
      <c r="L5">
        <v>2.1209178857199858E-2</v>
      </c>
      <c r="M5">
        <v>8.4888559079837528E-2</v>
      </c>
      <c r="N5">
        <v>9.3769369716552725E-2</v>
      </c>
      <c r="O5">
        <v>4.5648308099793797E-2</v>
      </c>
      <c r="P5">
        <v>-2.432160288252817E-2</v>
      </c>
      <c r="Q5">
        <v>8.3140188721181313E-2</v>
      </c>
      <c r="R5">
        <v>0.12246350122838701</v>
      </c>
      <c r="S5">
        <v>-1.113425886461117E-2</v>
      </c>
      <c r="T5">
        <v>-2.1682339075275361E-2</v>
      </c>
      <c r="U5">
        <v>2.980679333069608E-2</v>
      </c>
    </row>
    <row r="6" spans="1:21" x14ac:dyDescent="0.35">
      <c r="A6" s="1" t="s">
        <v>7</v>
      </c>
      <c r="B6">
        <v>0.1640412761940124</v>
      </c>
      <c r="C6">
        <v>-3.6454052540683082E-2</v>
      </c>
      <c r="D6">
        <v>6.865964688841826E-2</v>
      </c>
      <c r="E6">
        <v>0.10741002675832011</v>
      </c>
      <c r="F6">
        <v>1</v>
      </c>
      <c r="G6">
        <v>0.60360826341834417</v>
      </c>
      <c r="H6">
        <v>3.413480531073633E-2</v>
      </c>
      <c r="I6">
        <v>0.13102544106457059</v>
      </c>
      <c r="J6">
        <v>0.10284328983589321</v>
      </c>
      <c r="K6">
        <v>0.1122265988224805</v>
      </c>
      <c r="L6">
        <v>7.0389061099913108E-2</v>
      </c>
      <c r="M6">
        <v>5.2400795707830808E-2</v>
      </c>
      <c r="N6">
        <v>-2.2154989143187882E-2</v>
      </c>
      <c r="O6">
        <v>1.711746403660766E-2</v>
      </c>
      <c r="P6">
        <v>-9.7421928832945412E-2</v>
      </c>
      <c r="Q6">
        <v>3.4606523689223408E-2</v>
      </c>
      <c r="R6">
        <v>6.7067805702843722E-2</v>
      </c>
      <c r="S6">
        <v>-1.5145081698842889E-2</v>
      </c>
      <c r="T6">
        <v>-4.2747115081576838E-2</v>
      </c>
      <c r="U6">
        <v>-3.4109828651512381E-2</v>
      </c>
    </row>
    <row r="7" spans="1:21" x14ac:dyDescent="0.35">
      <c r="A7" s="1" t="s">
        <v>8</v>
      </c>
      <c r="B7">
        <v>6.0854226475296598E-2</v>
      </c>
      <c r="C7">
        <v>2.305358368042788E-2</v>
      </c>
      <c r="D7">
        <v>4.2043513191493867E-2</v>
      </c>
      <c r="E7">
        <v>9.7625297275300602E-2</v>
      </c>
      <c r="F7">
        <v>0.60360826341834417</v>
      </c>
      <c r="G7">
        <v>1</v>
      </c>
      <c r="H7">
        <v>-4.7997466641393038E-2</v>
      </c>
      <c r="I7">
        <v>0.17519943957171741</v>
      </c>
      <c r="J7">
        <v>0.1242728495019018</v>
      </c>
      <c r="K7">
        <v>0.1462290051087729</v>
      </c>
      <c r="L7">
        <v>1.2512901008378831E-2</v>
      </c>
      <c r="M7">
        <v>-9.5365942314756744E-3</v>
      </c>
      <c r="N7">
        <v>-0.11899096435299721</v>
      </c>
      <c r="O7">
        <v>4.6694265771684097E-2</v>
      </c>
      <c r="P7">
        <v>1.598595539438367E-3</v>
      </c>
      <c r="Q7">
        <v>-7.0808853821285262E-3</v>
      </c>
      <c r="R7">
        <v>2.5858666091864071E-2</v>
      </c>
      <c r="S7">
        <v>-1.5058973190594069E-3</v>
      </c>
      <c r="T7">
        <v>-1.5445980240198699E-2</v>
      </c>
      <c r="U7">
        <v>-8.961692854197105E-2</v>
      </c>
    </row>
    <row r="8" spans="1:21" x14ac:dyDescent="0.35">
      <c r="A8" s="1" t="s">
        <v>9</v>
      </c>
      <c r="B8">
        <v>0.22916109177254509</v>
      </c>
      <c r="C8">
        <v>0.1006373060827134</v>
      </c>
      <c r="D8">
        <v>4.6940274722497732E-2</v>
      </c>
      <c r="E8">
        <v>3.522303798058395E-3</v>
      </c>
      <c r="F8">
        <v>3.413480531073633E-2</v>
      </c>
      <c r="G8">
        <v>-4.7997466641393038E-2</v>
      </c>
      <c r="H8">
        <v>1</v>
      </c>
      <c r="I8">
        <v>0.21889501023864349</v>
      </c>
      <c r="J8">
        <v>0.15775997974832481</v>
      </c>
      <c r="K8">
        <v>9.1660672931243831E-2</v>
      </c>
      <c r="L8">
        <v>0.11624451707080399</v>
      </c>
      <c r="M8">
        <v>0.11222529070552061</v>
      </c>
      <c r="N8">
        <v>7.4624912758813403E-2</v>
      </c>
      <c r="O8">
        <v>-2.767232467438889E-2</v>
      </c>
      <c r="P8">
        <v>1.8684705830993079E-2</v>
      </c>
      <c r="Q8">
        <v>8.0672179169861327E-3</v>
      </c>
      <c r="R8">
        <v>0.1241619077919268</v>
      </c>
      <c r="S8">
        <v>-0.10119610519369281</v>
      </c>
      <c r="T8">
        <v>5.3106976192475702E-2</v>
      </c>
      <c r="U8">
        <v>-2.2295305838328599E-2</v>
      </c>
    </row>
    <row r="9" spans="1:21" x14ac:dyDescent="0.35">
      <c r="A9" s="1" t="s">
        <v>10</v>
      </c>
      <c r="B9">
        <v>0.1993086540998095</v>
      </c>
      <c r="C9">
        <v>0.18857597838509041</v>
      </c>
      <c r="D9">
        <v>0.22786004709808541</v>
      </c>
      <c r="E9">
        <v>0.21829757467512281</v>
      </c>
      <c r="F9">
        <v>0.13102544106457059</v>
      </c>
      <c r="G9">
        <v>0.17519943957171741</v>
      </c>
      <c r="H9">
        <v>0.21889501023864349</v>
      </c>
      <c r="I9">
        <v>1</v>
      </c>
      <c r="J9">
        <v>0.64000397740520087</v>
      </c>
      <c r="K9">
        <v>0.46520303352156472</v>
      </c>
      <c r="L9">
        <v>0.12903631946898769</v>
      </c>
      <c r="M9">
        <v>0.16356149344761509</v>
      </c>
      <c r="N9">
        <v>0.20254823674153591</v>
      </c>
      <c r="O9">
        <v>5.0886118974111258E-2</v>
      </c>
      <c r="P9">
        <v>2.99640042976933E-2</v>
      </c>
      <c r="Q9">
        <v>7.3960486143571799E-2</v>
      </c>
      <c r="R9">
        <v>0.19751202157867109</v>
      </c>
      <c r="S9">
        <v>2.383186540907058E-2</v>
      </c>
      <c r="T9">
        <v>2.9003437402063289E-2</v>
      </c>
      <c r="U9">
        <v>-1.151596550037811E-2</v>
      </c>
    </row>
    <row r="10" spans="1:21" x14ac:dyDescent="0.35">
      <c r="A10" s="1" t="s">
        <v>11</v>
      </c>
      <c r="B10">
        <v>0.15982451257044061</v>
      </c>
      <c r="C10">
        <v>0.1193636801149371</v>
      </c>
      <c r="D10">
        <v>0.14946821739609259</v>
      </c>
      <c r="E10">
        <v>7.6676233758463927E-2</v>
      </c>
      <c r="F10">
        <v>0.10284328983589321</v>
      </c>
      <c r="G10">
        <v>0.1242728495019018</v>
      </c>
      <c r="H10">
        <v>0.15775997974832481</v>
      </c>
      <c r="I10">
        <v>0.64000397740520087</v>
      </c>
      <c r="J10">
        <v>1</v>
      </c>
      <c r="K10">
        <v>0.5091043318940266</v>
      </c>
      <c r="L10">
        <v>5.4103153328454757E-2</v>
      </c>
      <c r="M10">
        <v>0.13121694010276319</v>
      </c>
      <c r="N10">
        <v>0.19499741980788121</v>
      </c>
      <c r="O10">
        <v>-2.104037191729349E-2</v>
      </c>
      <c r="P10">
        <v>1.4187442029181039E-2</v>
      </c>
      <c r="Q10">
        <v>-1.4677921450133901E-2</v>
      </c>
      <c r="R10">
        <v>0.10866322964483929</v>
      </c>
      <c r="S10">
        <v>2.6997901001334829E-2</v>
      </c>
      <c r="T10">
        <v>3.0789687616351188E-2</v>
      </c>
      <c r="U10">
        <v>-8.6362630171661799E-3</v>
      </c>
    </row>
    <row r="11" spans="1:21" x14ac:dyDescent="0.35">
      <c r="A11" s="1" t="s">
        <v>12</v>
      </c>
      <c r="B11">
        <v>0.20930821590461091</v>
      </c>
      <c r="C11">
        <v>0.1566066637087293</v>
      </c>
      <c r="D11">
        <v>0.1596029290281685</v>
      </c>
      <c r="E11">
        <v>0.10420400579841629</v>
      </c>
      <c r="F11">
        <v>0.1122265988224805</v>
      </c>
      <c r="G11">
        <v>0.1462290051087729</v>
      </c>
      <c r="H11">
        <v>9.1660672931243831E-2</v>
      </c>
      <c r="I11">
        <v>0.46520303352156472</v>
      </c>
      <c r="J11">
        <v>0.5091043318940266</v>
      </c>
      <c r="K11">
        <v>1</v>
      </c>
      <c r="L11">
        <v>0.1503434935651283</v>
      </c>
      <c r="M11">
        <v>0.25478293992637108</v>
      </c>
      <c r="N11">
        <v>0.33234300768619601</v>
      </c>
      <c r="O11">
        <v>0.12812564931167189</v>
      </c>
      <c r="P11">
        <v>3.4835146280520868E-2</v>
      </c>
      <c r="Q11">
        <v>6.1728251466179371E-2</v>
      </c>
      <c r="R11">
        <v>0.2321212708202125</v>
      </c>
      <c r="S11">
        <v>0.1027903633567238</v>
      </c>
      <c r="T11">
        <v>0.1121064399273807</v>
      </c>
      <c r="U11">
        <v>0.11502823325286821</v>
      </c>
    </row>
    <row r="12" spans="1:21" x14ac:dyDescent="0.35">
      <c r="A12" s="1" t="s">
        <v>13</v>
      </c>
      <c r="B12">
        <v>0.18235473743773381</v>
      </c>
      <c r="C12">
        <v>0.26344123885523052</v>
      </c>
      <c r="D12">
        <v>5.3423495063568679E-2</v>
      </c>
      <c r="E12">
        <v>2.1209178857199858E-2</v>
      </c>
      <c r="F12">
        <v>7.0389061099913108E-2</v>
      </c>
      <c r="G12">
        <v>1.2512901008378831E-2</v>
      </c>
      <c r="H12">
        <v>0.11624451707080399</v>
      </c>
      <c r="I12">
        <v>0.12903631946898769</v>
      </c>
      <c r="J12">
        <v>5.4103153328454757E-2</v>
      </c>
      <c r="K12">
        <v>0.1503434935651283</v>
      </c>
      <c r="L12">
        <v>1</v>
      </c>
      <c r="M12">
        <v>0.17734951031739651</v>
      </c>
      <c r="N12">
        <v>0.13345135250042631</v>
      </c>
      <c r="O12">
        <v>0.14339125781468251</v>
      </c>
      <c r="P12">
        <v>1.929572339216996E-2</v>
      </c>
      <c r="Q12">
        <v>0.19927305698877251</v>
      </c>
      <c r="R12">
        <v>0.38486041025438439</v>
      </c>
      <c r="S12">
        <v>0.15685051745830661</v>
      </c>
      <c r="T12">
        <v>0.13756240958562779</v>
      </c>
      <c r="U12">
        <v>0.21228292634008289</v>
      </c>
    </row>
    <row r="13" spans="1:21" x14ac:dyDescent="0.35">
      <c r="A13" s="1" t="s">
        <v>14</v>
      </c>
      <c r="B13">
        <v>0.16767354515633101</v>
      </c>
      <c r="C13">
        <v>0.24621107130466741</v>
      </c>
      <c r="D13">
        <v>0.13410822235985509</v>
      </c>
      <c r="E13">
        <v>8.4888559079837528E-2</v>
      </c>
      <c r="F13">
        <v>5.2400795707830808E-2</v>
      </c>
      <c r="G13">
        <v>-9.5365942314756744E-3</v>
      </c>
      <c r="H13">
        <v>0.11222529070552061</v>
      </c>
      <c r="I13">
        <v>0.16356149344761509</v>
      </c>
      <c r="J13">
        <v>0.13121694010276319</v>
      </c>
      <c r="K13">
        <v>0.25478293992637108</v>
      </c>
      <c r="L13">
        <v>0.17734951031739651</v>
      </c>
      <c r="M13">
        <v>1</v>
      </c>
      <c r="N13">
        <v>0.50297065410845854</v>
      </c>
      <c r="O13">
        <v>4.0600000827357263E-2</v>
      </c>
      <c r="P13">
        <v>9.0766617551542202E-3</v>
      </c>
      <c r="Q13">
        <v>2.6778860355033941E-2</v>
      </c>
      <c r="R13">
        <v>0.29850162092916882</v>
      </c>
      <c r="S13">
        <v>3.6621348346136548E-2</v>
      </c>
      <c r="T13">
        <v>0.11823532392856979</v>
      </c>
      <c r="U13">
        <v>0.15168894734214461</v>
      </c>
    </row>
    <row r="14" spans="1:21" x14ac:dyDescent="0.35">
      <c r="A14" s="1" t="s">
        <v>15</v>
      </c>
      <c r="B14">
        <v>0.1925917598206093</v>
      </c>
      <c r="C14">
        <v>0.19726809689405411</v>
      </c>
      <c r="D14">
        <v>0.18882635560550759</v>
      </c>
      <c r="E14">
        <v>9.3769369716552725E-2</v>
      </c>
      <c r="F14">
        <v>-2.2154989143187882E-2</v>
      </c>
      <c r="G14">
        <v>-0.11899096435299721</v>
      </c>
      <c r="H14">
        <v>7.4624912758813403E-2</v>
      </c>
      <c r="I14">
        <v>0.20254823674153591</v>
      </c>
      <c r="J14">
        <v>0.19499741980788121</v>
      </c>
      <c r="K14">
        <v>0.33234300768619601</v>
      </c>
      <c r="L14">
        <v>0.13345135250042631</v>
      </c>
      <c r="M14">
        <v>0.50297065410845854</v>
      </c>
      <c r="N14">
        <v>1</v>
      </c>
      <c r="O14">
        <v>7.9585982650490827E-2</v>
      </c>
      <c r="P14">
        <v>5.6990907389837628E-2</v>
      </c>
      <c r="Q14">
        <v>0.11995702660677079</v>
      </c>
      <c r="R14">
        <v>0.30613285592303341</v>
      </c>
      <c r="S14">
        <v>7.751299674145147E-2</v>
      </c>
      <c r="T14">
        <v>0.18039554010017311</v>
      </c>
      <c r="U14">
        <v>0.20675539127660481</v>
      </c>
    </row>
    <row r="15" spans="1:21" x14ac:dyDescent="0.35">
      <c r="A15" s="1" t="s">
        <v>16</v>
      </c>
      <c r="B15">
        <v>3.042386088120231E-2</v>
      </c>
      <c r="C15">
        <v>0.12570870672630549</v>
      </c>
      <c r="D15">
        <v>1.3538893867479401E-2</v>
      </c>
      <c r="E15">
        <v>4.5648308099793797E-2</v>
      </c>
      <c r="F15">
        <v>1.711746403660766E-2</v>
      </c>
      <c r="G15">
        <v>4.6694265771684097E-2</v>
      </c>
      <c r="H15">
        <v>-2.767232467438889E-2</v>
      </c>
      <c r="I15">
        <v>5.0886118974111258E-2</v>
      </c>
      <c r="J15">
        <v>-2.104037191729349E-2</v>
      </c>
      <c r="K15">
        <v>0.12812564931167189</v>
      </c>
      <c r="L15">
        <v>0.14339125781468251</v>
      </c>
      <c r="M15">
        <v>4.0600000827357263E-2</v>
      </c>
      <c r="N15">
        <v>7.9585982650490827E-2</v>
      </c>
      <c r="O15">
        <v>1</v>
      </c>
      <c r="P15">
        <v>0.21682547954443651</v>
      </c>
      <c r="Q15">
        <v>6.4723026027614594E-2</v>
      </c>
      <c r="R15">
        <v>0.12516775287796481</v>
      </c>
      <c r="S15">
        <v>4.6279934226901402E-2</v>
      </c>
      <c r="T15">
        <v>0.18023324683439759</v>
      </c>
      <c r="U15">
        <v>0.12827851323022449</v>
      </c>
    </row>
    <row r="16" spans="1:21" x14ac:dyDescent="0.35">
      <c r="A16" s="1" t="s">
        <v>17</v>
      </c>
      <c r="B16">
        <v>-2.1268172674484321E-2</v>
      </c>
      <c r="C16">
        <v>0.1101600604322437</v>
      </c>
      <c r="D16">
        <v>-4.3850988021668317E-3</v>
      </c>
      <c r="E16">
        <v>-2.432160288252817E-2</v>
      </c>
      <c r="F16">
        <v>-9.7421928832945412E-2</v>
      </c>
      <c r="G16">
        <v>1.598595539438367E-3</v>
      </c>
      <c r="H16">
        <v>1.8684705830993079E-2</v>
      </c>
      <c r="I16">
        <v>2.99640042976933E-2</v>
      </c>
      <c r="J16">
        <v>1.4187442029181039E-2</v>
      </c>
      <c r="K16">
        <v>3.4835146280520868E-2</v>
      </c>
      <c r="L16">
        <v>1.929572339216996E-2</v>
      </c>
      <c r="M16">
        <v>9.0766617551542202E-3</v>
      </c>
      <c r="N16">
        <v>5.6990907389837628E-2</v>
      </c>
      <c r="O16">
        <v>0.21682547954443651</v>
      </c>
      <c r="P16">
        <v>1</v>
      </c>
      <c r="Q16">
        <v>-6.7100684866043328E-2</v>
      </c>
      <c r="R16">
        <v>0.1164980970237415</v>
      </c>
      <c r="S16">
        <v>9.2879862494709545E-2</v>
      </c>
      <c r="T16">
        <v>0.1048211641790549</v>
      </c>
      <c r="U16">
        <v>2.036867840974942E-2</v>
      </c>
    </row>
    <row r="17" spans="1:21" x14ac:dyDescent="0.35">
      <c r="A17" s="1" t="s">
        <v>18</v>
      </c>
      <c r="B17">
        <v>-1.1426524024739241E-2</v>
      </c>
      <c r="C17">
        <v>4.473635338341677E-2</v>
      </c>
      <c r="D17">
        <v>7.8776032416144892E-2</v>
      </c>
      <c r="E17">
        <v>8.3140188721181313E-2</v>
      </c>
      <c r="F17">
        <v>3.4606523689223408E-2</v>
      </c>
      <c r="G17">
        <v>-7.0808853821285262E-3</v>
      </c>
      <c r="H17">
        <v>8.0672179169861327E-3</v>
      </c>
      <c r="I17">
        <v>7.3960486143571799E-2</v>
      </c>
      <c r="J17">
        <v>-1.4677921450133901E-2</v>
      </c>
      <c r="K17">
        <v>6.1728251466179371E-2</v>
      </c>
      <c r="L17">
        <v>0.19927305698877251</v>
      </c>
      <c r="M17">
        <v>2.6778860355033941E-2</v>
      </c>
      <c r="N17">
        <v>0.11995702660677079</v>
      </c>
      <c r="O17">
        <v>6.4723026027614594E-2</v>
      </c>
      <c r="P17">
        <v>-6.7100684866043328E-2</v>
      </c>
      <c r="Q17">
        <v>1</v>
      </c>
      <c r="R17">
        <v>0.19485397290544121</v>
      </c>
      <c r="S17">
        <v>1.6091642076918791E-2</v>
      </c>
      <c r="T17">
        <v>-6.0208446727500191E-2</v>
      </c>
      <c r="U17">
        <v>9.4475795087378009E-2</v>
      </c>
    </row>
    <row r="18" spans="1:21" x14ac:dyDescent="0.35">
      <c r="A18" s="1" t="s">
        <v>19</v>
      </c>
      <c r="B18">
        <v>0.1231848904919494</v>
      </c>
      <c r="C18">
        <v>7.5503850881495721E-2</v>
      </c>
      <c r="D18">
        <v>0.1251438059682092</v>
      </c>
      <c r="E18">
        <v>0.12246350122838701</v>
      </c>
      <c r="F18">
        <v>6.7067805702843722E-2</v>
      </c>
      <c r="G18">
        <v>2.5858666091864071E-2</v>
      </c>
      <c r="H18">
        <v>0.1241619077919268</v>
      </c>
      <c r="I18">
        <v>0.19751202157867109</v>
      </c>
      <c r="J18">
        <v>0.10866322964483929</v>
      </c>
      <c r="K18">
        <v>0.2321212708202125</v>
      </c>
      <c r="L18">
        <v>0.38486041025438439</v>
      </c>
      <c r="M18">
        <v>0.29850162092916882</v>
      </c>
      <c r="N18">
        <v>0.30613285592303341</v>
      </c>
      <c r="O18">
        <v>0.12516775287796481</v>
      </c>
      <c r="P18">
        <v>0.1164980970237415</v>
      </c>
      <c r="Q18">
        <v>0.19485397290544121</v>
      </c>
      <c r="R18">
        <v>1</v>
      </c>
      <c r="S18">
        <v>5.4367758455341419E-2</v>
      </c>
      <c r="T18">
        <v>-5.8166978426916961E-2</v>
      </c>
      <c r="U18">
        <v>5.7430246982299288E-2</v>
      </c>
    </row>
    <row r="19" spans="1:21" x14ac:dyDescent="0.35">
      <c r="A19" s="1" t="s">
        <v>20</v>
      </c>
      <c r="B19">
        <v>-1.555165604894551E-2</v>
      </c>
      <c r="C19">
        <v>0.1207415868371952</v>
      </c>
      <c r="D19">
        <v>2.1534684812996571E-2</v>
      </c>
      <c r="E19">
        <v>-1.113425886461117E-2</v>
      </c>
      <c r="F19">
        <v>-1.5145081698842889E-2</v>
      </c>
      <c r="G19">
        <v>-1.5058973190594069E-3</v>
      </c>
      <c r="H19">
        <v>-0.10119610519369281</v>
      </c>
      <c r="I19">
        <v>2.383186540907058E-2</v>
      </c>
      <c r="J19">
        <v>2.6997901001334829E-2</v>
      </c>
      <c r="K19">
        <v>0.1027903633567238</v>
      </c>
      <c r="L19">
        <v>0.15685051745830661</v>
      </c>
      <c r="M19">
        <v>3.6621348346136548E-2</v>
      </c>
      <c r="N19">
        <v>7.751299674145147E-2</v>
      </c>
      <c r="O19">
        <v>4.6279934226901402E-2</v>
      </c>
      <c r="P19">
        <v>9.2879862494709545E-2</v>
      </c>
      <c r="Q19">
        <v>1.6091642076918791E-2</v>
      </c>
      <c r="R19">
        <v>5.4367758455341419E-2</v>
      </c>
      <c r="S19">
        <v>1</v>
      </c>
      <c r="T19">
        <v>1.2700087504569E-2</v>
      </c>
      <c r="U19">
        <v>0.1109934317965563</v>
      </c>
    </row>
    <row r="20" spans="1:21" x14ac:dyDescent="0.35">
      <c r="A20" s="1" t="s">
        <v>21</v>
      </c>
      <c r="B20">
        <v>0.1034568628024871</v>
      </c>
      <c r="C20">
        <v>0.1381698262998832</v>
      </c>
      <c r="D20">
        <v>-6.0428818075671138E-3</v>
      </c>
      <c r="E20">
        <v>-2.1682339075275361E-2</v>
      </c>
      <c r="F20">
        <v>-4.2747115081576838E-2</v>
      </c>
      <c r="G20">
        <v>-1.5445980240198699E-2</v>
      </c>
      <c r="H20">
        <v>5.3106976192475702E-2</v>
      </c>
      <c r="I20">
        <v>2.9003437402063289E-2</v>
      </c>
      <c r="J20">
        <v>3.0789687616351188E-2</v>
      </c>
      <c r="K20">
        <v>0.1121064399273807</v>
      </c>
      <c r="L20">
        <v>0.13756240958562779</v>
      </c>
      <c r="M20">
        <v>0.11823532392856979</v>
      </c>
      <c r="N20">
        <v>0.18039554010017311</v>
      </c>
      <c r="O20">
        <v>0.18023324683439759</v>
      </c>
      <c r="P20">
        <v>0.1048211641790549</v>
      </c>
      <c r="Q20">
        <v>-6.0208446727500191E-2</v>
      </c>
      <c r="R20">
        <v>-5.8166978426916961E-2</v>
      </c>
      <c r="S20">
        <v>1.2700087504569E-2</v>
      </c>
      <c r="T20">
        <v>1</v>
      </c>
      <c r="U20">
        <v>0.54170200669178048</v>
      </c>
    </row>
    <row r="21" spans="1:21" x14ac:dyDescent="0.35">
      <c r="A21" s="1" t="s">
        <v>22</v>
      </c>
      <c r="B21">
        <v>8.4114754204776071E-2</v>
      </c>
      <c r="C21">
        <v>0.12925727947292989</v>
      </c>
      <c r="D21">
        <v>7.74675415496868E-3</v>
      </c>
      <c r="E21">
        <v>2.980679333069608E-2</v>
      </c>
      <c r="F21">
        <v>-3.4109828651512381E-2</v>
      </c>
      <c r="G21">
        <v>-8.961692854197105E-2</v>
      </c>
      <c r="H21">
        <v>-2.2295305838328599E-2</v>
      </c>
      <c r="I21">
        <v>-1.151596550037811E-2</v>
      </c>
      <c r="J21">
        <v>-8.6362630171661799E-3</v>
      </c>
      <c r="K21">
        <v>0.11502823325286821</v>
      </c>
      <c r="L21">
        <v>0.21228292634008289</v>
      </c>
      <c r="M21">
        <v>0.15168894734214461</v>
      </c>
      <c r="N21">
        <v>0.20675539127660481</v>
      </c>
      <c r="O21">
        <v>0.12827851323022449</v>
      </c>
      <c r="P21">
        <v>2.036867840974942E-2</v>
      </c>
      <c r="Q21">
        <v>9.4475795087378009E-2</v>
      </c>
      <c r="R21">
        <v>5.7430246982299288E-2</v>
      </c>
      <c r="S21">
        <v>0.1109934317965563</v>
      </c>
      <c r="T21">
        <v>0.54170200669178048</v>
      </c>
      <c r="U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/>
  </sheetViews>
  <sheetFormatPr defaultRowHeight="14.5" x14ac:dyDescent="0.35"/>
  <sheetData>
    <row r="1" spans="1:21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35">
      <c r="A2" s="1" t="s">
        <v>3</v>
      </c>
      <c r="B2">
        <v>1</v>
      </c>
      <c r="C2">
        <v>0.25237978039391662</v>
      </c>
      <c r="D2">
        <v>8.4801786179302022E-2</v>
      </c>
      <c r="E2">
        <v>5.8466241737424339E-2</v>
      </c>
      <c r="F2">
        <v>0.17811048808265839</v>
      </c>
      <c r="G2">
        <v>0.1409861401068262</v>
      </c>
      <c r="H2">
        <v>0.1286755857102109</v>
      </c>
      <c r="I2">
        <v>0.26907237849790688</v>
      </c>
      <c r="J2">
        <v>0.24325495552992499</v>
      </c>
      <c r="K2">
        <v>0.23456870898599849</v>
      </c>
      <c r="L2">
        <v>0.1115550484349582</v>
      </c>
      <c r="M2">
        <v>8.6541197912455861E-2</v>
      </c>
      <c r="N2">
        <v>0.1073387318833839</v>
      </c>
      <c r="O2">
        <v>0.115165645103497</v>
      </c>
      <c r="P2">
        <v>9.3767018760512355E-2</v>
      </c>
      <c r="Q2">
        <v>7.7217099192882551E-3</v>
      </c>
      <c r="R2">
        <v>0.20239979534333291</v>
      </c>
      <c r="S2">
        <v>-0.10085884746300081</v>
      </c>
      <c r="T2">
        <v>0.19732992513327291</v>
      </c>
      <c r="U2">
        <v>6.2741487061260551E-2</v>
      </c>
    </row>
    <row r="3" spans="1:21" x14ac:dyDescent="0.35">
      <c r="A3" s="1" t="s">
        <v>4</v>
      </c>
      <c r="B3">
        <v>0.25237978039391662</v>
      </c>
      <c r="C3">
        <v>1</v>
      </c>
      <c r="D3">
        <v>0.1228805968241292</v>
      </c>
      <c r="E3">
        <v>2.6733953726843191E-2</v>
      </c>
      <c r="F3">
        <v>3.6200747973180201E-2</v>
      </c>
      <c r="G3">
        <v>2.59718707680116E-2</v>
      </c>
      <c r="H3">
        <v>0.1028691040784757</v>
      </c>
      <c r="I3">
        <v>0.30751762702663921</v>
      </c>
      <c r="J3">
        <v>0.2087371223791096</v>
      </c>
      <c r="K3">
        <v>0.17251820504012111</v>
      </c>
      <c r="L3">
        <v>0.1713669174436121</v>
      </c>
      <c r="M3">
        <v>0.26913718779545182</v>
      </c>
      <c r="N3">
        <v>0.2026322971687641</v>
      </c>
      <c r="O3">
        <v>0.1102554316496855</v>
      </c>
      <c r="P3">
        <v>0.1638441723090043</v>
      </c>
      <c r="Q3">
        <v>6.4207969890914193E-2</v>
      </c>
      <c r="R3">
        <v>0.19370639935459349</v>
      </c>
      <c r="S3">
        <v>-4.8091733693342138E-2</v>
      </c>
      <c r="T3">
        <v>0.1855550133564717</v>
      </c>
      <c r="U3">
        <v>9.400110830298268E-2</v>
      </c>
    </row>
    <row r="4" spans="1:21" x14ac:dyDescent="0.35">
      <c r="A4" s="1" t="s">
        <v>5</v>
      </c>
      <c r="B4">
        <v>8.4801786179302022E-2</v>
      </c>
      <c r="C4">
        <v>0.1228805968241292</v>
      </c>
      <c r="D4">
        <v>1</v>
      </c>
      <c r="E4">
        <v>0.42530806932794729</v>
      </c>
      <c r="F4">
        <v>0.11285872736126271</v>
      </c>
      <c r="G4">
        <v>8.5127748102660772E-2</v>
      </c>
      <c r="H4">
        <v>-5.9275935512749803E-2</v>
      </c>
      <c r="I4">
        <v>0.1216303643988699</v>
      </c>
      <c r="J4">
        <v>9.248806360578038E-2</v>
      </c>
      <c r="K4">
        <v>0.1045452839099482</v>
      </c>
      <c r="L4">
        <v>6.5884926902004138E-3</v>
      </c>
      <c r="M4">
        <v>4.9612109124550142E-2</v>
      </c>
      <c r="N4">
        <v>-5.7420617621152657E-2</v>
      </c>
      <c r="O4">
        <v>9.4748426713012826E-2</v>
      </c>
      <c r="P4">
        <v>-4.928326758158303E-2</v>
      </c>
      <c r="Q4">
        <v>3.9559538671359322E-4</v>
      </c>
      <c r="R4">
        <v>0.1063535587395187</v>
      </c>
      <c r="S4">
        <v>-1.071478519160449E-2</v>
      </c>
      <c r="T4">
        <v>-6.647357093727313E-2</v>
      </c>
      <c r="U4">
        <v>-6.0666913842365999E-3</v>
      </c>
    </row>
    <row r="5" spans="1:21" x14ac:dyDescent="0.35">
      <c r="A5" s="1" t="s">
        <v>6</v>
      </c>
      <c r="B5">
        <v>5.8466241737424339E-2</v>
      </c>
      <c r="C5">
        <v>2.6733953726843191E-2</v>
      </c>
      <c r="D5">
        <v>0.42530806932794729</v>
      </c>
      <c r="E5">
        <v>1</v>
      </c>
      <c r="F5">
        <v>0.16616252298095591</v>
      </c>
      <c r="G5">
        <v>0.1238144274007571</v>
      </c>
      <c r="H5">
        <v>-7.6728217135963103E-3</v>
      </c>
      <c r="I5">
        <v>0.1932306649611982</v>
      </c>
      <c r="J5">
        <v>0.1314268761230088</v>
      </c>
      <c r="K5">
        <v>0.1648919918211697</v>
      </c>
      <c r="L5">
        <v>0.1177161748023493</v>
      </c>
      <c r="M5">
        <v>8.6202627271153007E-2</v>
      </c>
      <c r="N5">
        <v>-4.8090323714532188E-2</v>
      </c>
      <c r="O5">
        <v>1.0022472158365251E-2</v>
      </c>
      <c r="P5">
        <v>-7.7392886119841728E-2</v>
      </c>
      <c r="Q5">
        <v>5.724623598087784E-3</v>
      </c>
      <c r="R5">
        <v>0.15918294794473439</v>
      </c>
      <c r="S5">
        <v>-1.3007626894141771E-2</v>
      </c>
      <c r="T5">
        <v>-5.828339100918041E-2</v>
      </c>
      <c r="U5">
        <v>1.4133561951553899E-2</v>
      </c>
    </row>
    <row r="6" spans="1:21" x14ac:dyDescent="0.35">
      <c r="A6" s="1" t="s">
        <v>7</v>
      </c>
      <c r="B6">
        <v>0.17811048808265839</v>
      </c>
      <c r="C6">
        <v>3.6200747973180201E-2</v>
      </c>
      <c r="D6">
        <v>0.11285872736126271</v>
      </c>
      <c r="E6">
        <v>0.16616252298095591</v>
      </c>
      <c r="F6">
        <v>1</v>
      </c>
      <c r="G6">
        <v>0.69574231248538942</v>
      </c>
      <c r="H6">
        <v>1.1830457818821831E-2</v>
      </c>
      <c r="I6">
        <v>0.21995719859110979</v>
      </c>
      <c r="J6">
        <v>0.15773121100515361</v>
      </c>
      <c r="K6">
        <v>0.16687277467292241</v>
      </c>
      <c r="L6">
        <v>4.4501538873630633E-2</v>
      </c>
      <c r="M6">
        <v>4.5301116747216291E-2</v>
      </c>
      <c r="N6">
        <v>4.0618199137549903E-2</v>
      </c>
      <c r="O6">
        <v>3.3632816007256011E-2</v>
      </c>
      <c r="P6">
        <v>3.2395443409759223E-2</v>
      </c>
      <c r="Q6">
        <v>-5.9208354650049769E-2</v>
      </c>
      <c r="R6">
        <v>4.8601948846237947E-2</v>
      </c>
      <c r="S6">
        <v>-6.4218846018855455E-2</v>
      </c>
      <c r="T6">
        <v>2.4681370743259129E-2</v>
      </c>
      <c r="U6">
        <v>6.8830279908247721E-2</v>
      </c>
    </row>
    <row r="7" spans="1:21" x14ac:dyDescent="0.35">
      <c r="A7" s="1" t="s">
        <v>8</v>
      </c>
      <c r="B7">
        <v>0.1409861401068262</v>
      </c>
      <c r="C7">
        <v>2.59718707680116E-2</v>
      </c>
      <c r="D7">
        <v>8.5127748102660772E-2</v>
      </c>
      <c r="E7">
        <v>0.1238144274007571</v>
      </c>
      <c r="F7">
        <v>0.69574231248538942</v>
      </c>
      <c r="G7">
        <v>1</v>
      </c>
      <c r="H7">
        <v>6.7611884049874928E-3</v>
      </c>
      <c r="I7">
        <v>0.24781148136466499</v>
      </c>
      <c r="J7">
        <v>0.15352837981000661</v>
      </c>
      <c r="K7">
        <v>0.1102883298740534</v>
      </c>
      <c r="L7">
        <v>4.0756774405228839E-2</v>
      </c>
      <c r="M7">
        <v>7.2042085557255178E-2</v>
      </c>
      <c r="N7">
        <v>0.1259372955643617</v>
      </c>
      <c r="O7">
        <v>-1.4470684535451139E-2</v>
      </c>
      <c r="P7">
        <v>7.5934454740027219E-2</v>
      </c>
      <c r="Q7">
        <v>-4.6992394495012253E-2</v>
      </c>
      <c r="R7">
        <v>4.8750676035816953E-2</v>
      </c>
      <c r="S7">
        <v>-1.047143825656238E-2</v>
      </c>
      <c r="T7">
        <v>6.916591457862821E-2</v>
      </c>
      <c r="U7">
        <v>0.10933606744142819</v>
      </c>
    </row>
    <row r="8" spans="1:21" x14ac:dyDescent="0.35">
      <c r="A8" s="1" t="s">
        <v>9</v>
      </c>
      <c r="B8">
        <v>0.1286755857102109</v>
      </c>
      <c r="C8">
        <v>0.1028691040784757</v>
      </c>
      <c r="D8">
        <v>-5.9275935512749803E-2</v>
      </c>
      <c r="E8">
        <v>-7.6728217135963103E-3</v>
      </c>
      <c r="F8">
        <v>1.1830457818821831E-2</v>
      </c>
      <c r="G8">
        <v>6.7611884049874928E-3</v>
      </c>
      <c r="H8">
        <v>1</v>
      </c>
      <c r="I8">
        <v>0.18629427073090929</v>
      </c>
      <c r="J8">
        <v>0.19915504151588229</v>
      </c>
      <c r="K8">
        <v>6.1422315007203653E-2</v>
      </c>
      <c r="L8">
        <v>0.145243819027326</v>
      </c>
      <c r="M8">
        <v>5.730695556686162E-2</v>
      </c>
      <c r="N8">
        <v>5.0604978390508162E-2</v>
      </c>
      <c r="O8">
        <v>0.1032786356177131</v>
      </c>
      <c r="P8">
        <v>8.1016515270375844E-2</v>
      </c>
      <c r="Q8">
        <v>-4.6823634322309786E-3</v>
      </c>
      <c r="R8">
        <v>1.412743394605291E-2</v>
      </c>
      <c r="S8">
        <v>-5.3322623529681992E-2</v>
      </c>
      <c r="T8">
        <v>0.1082793501856931</v>
      </c>
      <c r="U8">
        <v>1.8362098296854559E-2</v>
      </c>
    </row>
    <row r="9" spans="1:21" x14ac:dyDescent="0.35">
      <c r="A9" s="1" t="s">
        <v>10</v>
      </c>
      <c r="B9">
        <v>0.26907237849790688</v>
      </c>
      <c r="C9">
        <v>0.30751762702663921</v>
      </c>
      <c r="D9">
        <v>0.1216303643988699</v>
      </c>
      <c r="E9">
        <v>0.1932306649611982</v>
      </c>
      <c r="F9">
        <v>0.21995719859110979</v>
      </c>
      <c r="G9">
        <v>0.24781148136466499</v>
      </c>
      <c r="H9">
        <v>0.18629427073090929</v>
      </c>
      <c r="I9">
        <v>1</v>
      </c>
      <c r="J9">
        <v>0.59017365524831145</v>
      </c>
      <c r="K9">
        <v>0.34887792304333759</v>
      </c>
      <c r="L9">
        <v>4.3883403631274923E-2</v>
      </c>
      <c r="M9">
        <v>0.14524286173737061</v>
      </c>
      <c r="N9">
        <v>8.0911674778817472E-2</v>
      </c>
      <c r="O9">
        <v>5.2555960137894049E-2</v>
      </c>
      <c r="P9">
        <v>0.12893103512112131</v>
      </c>
      <c r="Q9">
        <v>5.0354024670548912E-2</v>
      </c>
      <c r="R9">
        <v>0.1211508270211928</v>
      </c>
      <c r="S9">
        <v>-6.6766605252274125E-2</v>
      </c>
      <c r="T9">
        <v>0.1031187400328258</v>
      </c>
      <c r="U9">
        <v>5.4648950816809608E-2</v>
      </c>
    </row>
    <row r="10" spans="1:21" x14ac:dyDescent="0.35">
      <c r="A10" s="1" t="s">
        <v>11</v>
      </c>
      <c r="B10">
        <v>0.24325495552992499</v>
      </c>
      <c r="C10">
        <v>0.2087371223791096</v>
      </c>
      <c r="D10">
        <v>9.248806360578038E-2</v>
      </c>
      <c r="E10">
        <v>0.1314268761230088</v>
      </c>
      <c r="F10">
        <v>0.15773121100515361</v>
      </c>
      <c r="G10">
        <v>0.15352837981000661</v>
      </c>
      <c r="H10">
        <v>0.19915504151588229</v>
      </c>
      <c r="I10">
        <v>0.59017365524831145</v>
      </c>
      <c r="J10">
        <v>1</v>
      </c>
      <c r="K10">
        <v>0.39917807069877381</v>
      </c>
      <c r="L10">
        <v>7.4837125938333901E-2</v>
      </c>
      <c r="M10">
        <v>0.1778019107359427</v>
      </c>
      <c r="N10">
        <v>0.14276798607300409</v>
      </c>
      <c r="O10">
        <v>6.2899726397644129E-2</v>
      </c>
      <c r="P10">
        <v>0.1515506030782631</v>
      </c>
      <c r="Q10">
        <v>0.1090976916936866</v>
      </c>
      <c r="R10">
        <v>0.15099289615520101</v>
      </c>
      <c r="S10">
        <v>-9.2207137039507434E-2</v>
      </c>
      <c r="T10">
        <v>0.16212623356814371</v>
      </c>
      <c r="U10">
        <v>0.1040034232550018</v>
      </c>
    </row>
    <row r="11" spans="1:21" x14ac:dyDescent="0.35">
      <c r="A11" s="1" t="s">
        <v>12</v>
      </c>
      <c r="B11">
        <v>0.23456870898599849</v>
      </c>
      <c r="C11">
        <v>0.17251820504012111</v>
      </c>
      <c r="D11">
        <v>0.1045452839099482</v>
      </c>
      <c r="E11">
        <v>0.1648919918211697</v>
      </c>
      <c r="F11">
        <v>0.16687277467292241</v>
      </c>
      <c r="G11">
        <v>0.1102883298740534</v>
      </c>
      <c r="H11">
        <v>6.1422315007203653E-2</v>
      </c>
      <c r="I11">
        <v>0.34887792304333759</v>
      </c>
      <c r="J11">
        <v>0.39917807069877381</v>
      </c>
      <c r="K11">
        <v>1</v>
      </c>
      <c r="L11">
        <v>0.1295784952448521</v>
      </c>
      <c r="M11">
        <v>0.25934035999415289</v>
      </c>
      <c r="N11">
        <v>0.12670644763231109</v>
      </c>
      <c r="O11">
        <v>0.173773467019331</v>
      </c>
      <c r="P11">
        <v>0.10177485625026431</v>
      </c>
      <c r="Q11">
        <v>6.6645896671119448E-2</v>
      </c>
      <c r="R11">
        <v>0.25584464617411878</v>
      </c>
      <c r="S11">
        <v>-2.716318858716139E-2</v>
      </c>
      <c r="T11">
        <v>0.14896286021989949</v>
      </c>
      <c r="U11">
        <v>0.134539408817582</v>
      </c>
    </row>
    <row r="12" spans="1:21" x14ac:dyDescent="0.35">
      <c r="A12" s="1" t="s">
        <v>13</v>
      </c>
      <c r="B12">
        <v>0.1115550484349582</v>
      </c>
      <c r="C12">
        <v>0.1713669174436121</v>
      </c>
      <c r="D12">
        <v>6.5884926902004138E-3</v>
      </c>
      <c r="E12">
        <v>0.1177161748023493</v>
      </c>
      <c r="F12">
        <v>4.4501538873630633E-2</v>
      </c>
      <c r="G12">
        <v>4.0756774405228839E-2</v>
      </c>
      <c r="H12">
        <v>0.145243819027326</v>
      </c>
      <c r="I12">
        <v>4.3883403631274923E-2</v>
      </c>
      <c r="J12">
        <v>7.4837125938333901E-2</v>
      </c>
      <c r="K12">
        <v>0.1295784952448521</v>
      </c>
      <c r="L12">
        <v>1</v>
      </c>
      <c r="M12">
        <v>0.10387335821663619</v>
      </c>
      <c r="N12">
        <v>0.12646674261612481</v>
      </c>
      <c r="O12">
        <v>8.1476583650109305E-2</v>
      </c>
      <c r="P12">
        <v>-4.7194148208220772E-2</v>
      </c>
      <c r="Q12">
        <v>2.6902398637457161E-2</v>
      </c>
      <c r="R12">
        <v>0.28012970442203627</v>
      </c>
      <c r="S12">
        <v>7.9406622223542694E-2</v>
      </c>
      <c r="T12">
        <v>6.1226093573118763E-2</v>
      </c>
      <c r="U12">
        <v>7.0759866274594518E-2</v>
      </c>
    </row>
    <row r="13" spans="1:21" x14ac:dyDescent="0.35">
      <c r="A13" s="1" t="s">
        <v>14</v>
      </c>
      <c r="B13">
        <v>8.6541197912455861E-2</v>
      </c>
      <c r="C13">
        <v>0.26913718779545182</v>
      </c>
      <c r="D13">
        <v>4.9612109124550142E-2</v>
      </c>
      <c r="E13">
        <v>8.6202627271153007E-2</v>
      </c>
      <c r="F13">
        <v>4.5301116747216291E-2</v>
      </c>
      <c r="G13">
        <v>7.2042085557255178E-2</v>
      </c>
      <c r="H13">
        <v>5.730695556686162E-2</v>
      </c>
      <c r="I13">
        <v>0.14524286173737061</v>
      </c>
      <c r="J13">
        <v>0.1778019107359427</v>
      </c>
      <c r="K13">
        <v>0.25934035999415289</v>
      </c>
      <c r="L13">
        <v>0.10387335821663619</v>
      </c>
      <c r="M13">
        <v>1</v>
      </c>
      <c r="N13">
        <v>0.50246867393589356</v>
      </c>
      <c r="O13">
        <v>0.16449580973519351</v>
      </c>
      <c r="P13">
        <v>4.8866547635727918E-2</v>
      </c>
      <c r="Q13">
        <v>4.8173449149736862E-2</v>
      </c>
      <c r="R13">
        <v>0.24285444249738941</v>
      </c>
      <c r="S13">
        <v>8.2754172845712362E-2</v>
      </c>
      <c r="T13">
        <v>0.1559410950942727</v>
      </c>
      <c r="U13">
        <v>0.1118302172950186</v>
      </c>
    </row>
    <row r="14" spans="1:21" x14ac:dyDescent="0.35">
      <c r="A14" s="1" t="s">
        <v>15</v>
      </c>
      <c r="B14">
        <v>0.1073387318833839</v>
      </c>
      <c r="C14">
        <v>0.2026322971687641</v>
      </c>
      <c r="D14">
        <v>-5.7420617621152657E-2</v>
      </c>
      <c r="E14">
        <v>-4.8090323714532188E-2</v>
      </c>
      <c r="F14">
        <v>4.0618199137549903E-2</v>
      </c>
      <c r="G14">
        <v>0.1259372955643617</v>
      </c>
      <c r="H14">
        <v>5.0604978390508162E-2</v>
      </c>
      <c r="I14">
        <v>8.0911674778817472E-2</v>
      </c>
      <c r="J14">
        <v>0.14276798607300409</v>
      </c>
      <c r="K14">
        <v>0.12670644763231109</v>
      </c>
      <c r="L14">
        <v>0.12646674261612481</v>
      </c>
      <c r="M14">
        <v>0.50246867393589356</v>
      </c>
      <c r="N14">
        <v>1</v>
      </c>
      <c r="O14">
        <v>9.73859528268297E-2</v>
      </c>
      <c r="P14">
        <v>0.185565232977846</v>
      </c>
      <c r="Q14">
        <v>1.1574759238419949E-2</v>
      </c>
      <c r="R14">
        <v>0.17831268228022579</v>
      </c>
      <c r="S14">
        <v>0.17259632548045639</v>
      </c>
      <c r="T14">
        <v>0.30194332514256172</v>
      </c>
      <c r="U14">
        <v>0.17813205016647979</v>
      </c>
    </row>
    <row r="15" spans="1:21" x14ac:dyDescent="0.35">
      <c r="A15" s="1" t="s">
        <v>16</v>
      </c>
      <c r="B15">
        <v>0.115165645103497</v>
      </c>
      <c r="C15">
        <v>0.1102554316496855</v>
      </c>
      <c r="D15">
        <v>9.4748426713012826E-2</v>
      </c>
      <c r="E15">
        <v>1.0022472158365251E-2</v>
      </c>
      <c r="F15">
        <v>3.3632816007256011E-2</v>
      </c>
      <c r="G15">
        <v>-1.4470684535451139E-2</v>
      </c>
      <c r="H15">
        <v>0.1032786356177131</v>
      </c>
      <c r="I15">
        <v>5.2555960137894049E-2</v>
      </c>
      <c r="J15">
        <v>6.2899726397644129E-2</v>
      </c>
      <c r="K15">
        <v>0.173773467019331</v>
      </c>
      <c r="L15">
        <v>8.1476583650109305E-2</v>
      </c>
      <c r="M15">
        <v>0.16449580973519351</v>
      </c>
      <c r="N15">
        <v>9.73859528268297E-2</v>
      </c>
      <c r="O15">
        <v>1</v>
      </c>
      <c r="P15">
        <v>2.128211834729692E-2</v>
      </c>
      <c r="Q15">
        <v>-1.3747695792930841E-3</v>
      </c>
      <c r="R15">
        <v>0.24096962933518781</v>
      </c>
      <c r="S15">
        <v>4.2675293174233048E-2</v>
      </c>
      <c r="T15">
        <v>0.11209993004633351</v>
      </c>
      <c r="U15">
        <v>3.2864660882924189E-2</v>
      </c>
    </row>
    <row r="16" spans="1:21" x14ac:dyDescent="0.35">
      <c r="A16" s="1" t="s">
        <v>17</v>
      </c>
      <c r="B16">
        <v>9.3767018760512355E-2</v>
      </c>
      <c r="C16">
        <v>0.1638441723090043</v>
      </c>
      <c r="D16">
        <v>-4.928326758158303E-2</v>
      </c>
      <c r="E16">
        <v>-7.7392886119841728E-2</v>
      </c>
      <c r="F16">
        <v>3.2395443409759223E-2</v>
      </c>
      <c r="G16">
        <v>7.5934454740027219E-2</v>
      </c>
      <c r="H16">
        <v>8.1016515270375844E-2</v>
      </c>
      <c r="I16">
        <v>0.12893103512112131</v>
      </c>
      <c r="J16">
        <v>0.1515506030782631</v>
      </c>
      <c r="K16">
        <v>0.10177485625026431</v>
      </c>
      <c r="L16">
        <v>-4.7194148208220772E-2</v>
      </c>
      <c r="M16">
        <v>4.8866547635727918E-2</v>
      </c>
      <c r="N16">
        <v>0.185565232977846</v>
      </c>
      <c r="O16">
        <v>2.128211834729692E-2</v>
      </c>
      <c r="P16">
        <v>1</v>
      </c>
      <c r="Q16">
        <v>2.3405067486851911E-2</v>
      </c>
      <c r="R16">
        <v>3.0942707587559331E-2</v>
      </c>
      <c r="S16">
        <v>-1.6769410269850741E-2</v>
      </c>
      <c r="T16">
        <v>0.25467078190161019</v>
      </c>
      <c r="U16">
        <v>0.1799664153275671</v>
      </c>
    </row>
    <row r="17" spans="1:21" x14ac:dyDescent="0.35">
      <c r="A17" s="1" t="s">
        <v>18</v>
      </c>
      <c r="B17">
        <v>7.7217099192882551E-3</v>
      </c>
      <c r="C17">
        <v>6.4207969890914193E-2</v>
      </c>
      <c r="D17">
        <v>3.9559538671359322E-4</v>
      </c>
      <c r="E17">
        <v>5.724623598087784E-3</v>
      </c>
      <c r="F17">
        <v>-5.9208354650049769E-2</v>
      </c>
      <c r="G17">
        <v>-4.6992394495012253E-2</v>
      </c>
      <c r="H17">
        <v>-4.6823634322309786E-3</v>
      </c>
      <c r="I17">
        <v>5.0354024670548912E-2</v>
      </c>
      <c r="J17">
        <v>0.1090976916936866</v>
      </c>
      <c r="K17">
        <v>6.6645896671119448E-2</v>
      </c>
      <c r="L17">
        <v>2.6902398637457161E-2</v>
      </c>
      <c r="M17">
        <v>4.8173449149736862E-2</v>
      </c>
      <c r="N17">
        <v>1.1574759238419949E-2</v>
      </c>
      <c r="O17">
        <v>-1.3747695792930841E-3</v>
      </c>
      <c r="P17">
        <v>2.3405067486851911E-2</v>
      </c>
      <c r="Q17">
        <v>1</v>
      </c>
      <c r="R17">
        <v>7.452306181678893E-2</v>
      </c>
      <c r="S17">
        <v>-0.1027869868408498</v>
      </c>
      <c r="T17">
        <v>5.2515975540059677E-2</v>
      </c>
      <c r="U17">
        <v>-3.9358858957384037E-2</v>
      </c>
    </row>
    <row r="18" spans="1:21" x14ac:dyDescent="0.35">
      <c r="A18" s="1" t="s">
        <v>19</v>
      </c>
      <c r="B18">
        <v>0.20239979534333291</v>
      </c>
      <c r="C18">
        <v>0.19370639935459349</v>
      </c>
      <c r="D18">
        <v>0.1063535587395187</v>
      </c>
      <c r="E18">
        <v>0.15918294794473439</v>
      </c>
      <c r="F18">
        <v>4.8601948846237947E-2</v>
      </c>
      <c r="G18">
        <v>4.8750676035816953E-2</v>
      </c>
      <c r="H18">
        <v>1.412743394605291E-2</v>
      </c>
      <c r="I18">
        <v>0.1211508270211928</v>
      </c>
      <c r="J18">
        <v>0.15099289615520101</v>
      </c>
      <c r="K18">
        <v>0.25584464617411878</v>
      </c>
      <c r="L18">
        <v>0.28012970442203627</v>
      </c>
      <c r="M18">
        <v>0.24285444249738941</v>
      </c>
      <c r="N18">
        <v>0.17831268228022579</v>
      </c>
      <c r="O18">
        <v>0.24096962933518781</v>
      </c>
      <c r="P18">
        <v>3.0942707587559331E-2</v>
      </c>
      <c r="Q18">
        <v>7.452306181678893E-2</v>
      </c>
      <c r="R18">
        <v>1</v>
      </c>
      <c r="S18">
        <v>-0.13958120976674079</v>
      </c>
      <c r="T18">
        <v>2.8895066663137289E-2</v>
      </c>
      <c r="U18">
        <v>-2.248320275741222E-2</v>
      </c>
    </row>
    <row r="19" spans="1:21" x14ac:dyDescent="0.35">
      <c r="A19" s="1" t="s">
        <v>20</v>
      </c>
      <c r="B19">
        <v>-0.10085884746300081</v>
      </c>
      <c r="C19">
        <v>-4.8091733693342138E-2</v>
      </c>
      <c r="D19">
        <v>-1.071478519160449E-2</v>
      </c>
      <c r="E19">
        <v>-1.3007626894141771E-2</v>
      </c>
      <c r="F19">
        <v>-6.4218846018855455E-2</v>
      </c>
      <c r="G19">
        <v>-1.047143825656238E-2</v>
      </c>
      <c r="H19">
        <v>-5.3322623529681992E-2</v>
      </c>
      <c r="I19">
        <v>-6.6766605252274125E-2</v>
      </c>
      <c r="J19">
        <v>-9.2207137039507434E-2</v>
      </c>
      <c r="K19">
        <v>-2.716318858716139E-2</v>
      </c>
      <c r="L19">
        <v>7.9406622223542694E-2</v>
      </c>
      <c r="M19">
        <v>8.2754172845712362E-2</v>
      </c>
      <c r="N19">
        <v>0.17259632548045639</v>
      </c>
      <c r="O19">
        <v>4.2675293174233048E-2</v>
      </c>
      <c r="P19">
        <v>-1.6769410269850741E-2</v>
      </c>
      <c r="Q19">
        <v>-0.1027869868408498</v>
      </c>
      <c r="R19">
        <v>-0.13958120976674079</v>
      </c>
      <c r="S19">
        <v>1</v>
      </c>
      <c r="T19">
        <v>-5.9937662326314881E-2</v>
      </c>
      <c r="U19">
        <v>4.8191591759194378E-3</v>
      </c>
    </row>
    <row r="20" spans="1:21" x14ac:dyDescent="0.35">
      <c r="A20" s="1" t="s">
        <v>21</v>
      </c>
      <c r="B20">
        <v>0.19732992513327291</v>
      </c>
      <c r="C20">
        <v>0.1855550133564717</v>
      </c>
      <c r="D20">
        <v>-6.647357093727313E-2</v>
      </c>
      <c r="E20">
        <v>-5.828339100918041E-2</v>
      </c>
      <c r="F20">
        <v>2.4681370743259129E-2</v>
      </c>
      <c r="G20">
        <v>6.916591457862821E-2</v>
      </c>
      <c r="H20">
        <v>0.1082793501856931</v>
      </c>
      <c r="I20">
        <v>0.1031187400328258</v>
      </c>
      <c r="J20">
        <v>0.16212623356814371</v>
      </c>
      <c r="K20">
        <v>0.14896286021989949</v>
      </c>
      <c r="L20">
        <v>6.1226093573118763E-2</v>
      </c>
      <c r="M20">
        <v>0.1559410950942727</v>
      </c>
      <c r="N20">
        <v>0.30194332514256172</v>
      </c>
      <c r="O20">
        <v>0.11209993004633351</v>
      </c>
      <c r="P20">
        <v>0.25467078190161019</v>
      </c>
      <c r="Q20">
        <v>5.2515975540059677E-2</v>
      </c>
      <c r="R20">
        <v>2.8895066663137289E-2</v>
      </c>
      <c r="S20">
        <v>-5.9937662326314881E-2</v>
      </c>
      <c r="T20">
        <v>1</v>
      </c>
      <c r="U20">
        <v>0.52429556388423781</v>
      </c>
    </row>
    <row r="21" spans="1:21" x14ac:dyDescent="0.35">
      <c r="A21" s="1" t="s">
        <v>22</v>
      </c>
      <c r="B21">
        <v>6.2741487061260551E-2</v>
      </c>
      <c r="C21">
        <v>9.400110830298268E-2</v>
      </c>
      <c r="D21">
        <v>-6.0666913842365999E-3</v>
      </c>
      <c r="E21">
        <v>1.4133561951553899E-2</v>
      </c>
      <c r="F21">
        <v>6.8830279908247721E-2</v>
      </c>
      <c r="G21">
        <v>0.10933606744142819</v>
      </c>
      <c r="H21">
        <v>1.8362098296854559E-2</v>
      </c>
      <c r="I21">
        <v>5.4648950816809608E-2</v>
      </c>
      <c r="J21">
        <v>0.1040034232550018</v>
      </c>
      <c r="K21">
        <v>0.134539408817582</v>
      </c>
      <c r="L21">
        <v>7.0759866274594518E-2</v>
      </c>
      <c r="M21">
        <v>0.1118302172950186</v>
      </c>
      <c r="N21">
        <v>0.17813205016647979</v>
      </c>
      <c r="O21">
        <v>3.2864660882924189E-2</v>
      </c>
      <c r="P21">
        <v>0.1799664153275671</v>
      </c>
      <c r="Q21">
        <v>-3.9358858957384037E-2</v>
      </c>
      <c r="R21">
        <v>-2.248320275741222E-2</v>
      </c>
      <c r="S21">
        <v>4.8191591759194378E-3</v>
      </c>
      <c r="T21">
        <v>0.52429556388423781</v>
      </c>
      <c r="U2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workbookViewId="0">
      <selection activeCell="B22" sqref="B22"/>
    </sheetView>
  </sheetViews>
  <sheetFormatPr defaultRowHeight="14.5" x14ac:dyDescent="0.35"/>
  <sheetData>
    <row r="1" spans="1:21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35">
      <c r="A2" s="1" t="s">
        <v>3</v>
      </c>
      <c r="B2">
        <v>1</v>
      </c>
      <c r="C2">
        <v>0.147036453357268</v>
      </c>
      <c r="D2">
        <v>0.1501241174276659</v>
      </c>
      <c r="E2">
        <v>0.14386730428357791</v>
      </c>
      <c r="F2">
        <v>0.22704092893587469</v>
      </c>
      <c r="G2">
        <v>0.25902531692920189</v>
      </c>
      <c r="H2">
        <v>0.17828550701359511</v>
      </c>
      <c r="I2">
        <v>0.1444030176836533</v>
      </c>
      <c r="J2">
        <v>0.27683950366933591</v>
      </c>
      <c r="K2">
        <v>0.25482506995848409</v>
      </c>
      <c r="L2">
        <v>9.50237375654088E-2</v>
      </c>
      <c r="M2">
        <v>2.399573073591631E-2</v>
      </c>
      <c r="N2">
        <v>-5.6303921457385719E-3</v>
      </c>
      <c r="O2">
        <v>7.975584395961921E-2</v>
      </c>
      <c r="P2">
        <v>-1.967438191419759E-2</v>
      </c>
      <c r="Q2">
        <v>-5.0477946419994812E-2</v>
      </c>
      <c r="R2">
        <v>-2.8025618138065199E-3</v>
      </c>
      <c r="S2">
        <v>0.12656244079599391</v>
      </c>
      <c r="T2">
        <v>6.4802275663211659E-2</v>
      </c>
      <c r="U2">
        <v>-6.0121756198997262E-2</v>
      </c>
    </row>
    <row r="3" spans="1:21" x14ac:dyDescent="0.35">
      <c r="A3" s="1" t="s">
        <v>4</v>
      </c>
      <c r="B3">
        <v>0.147036453357268</v>
      </c>
      <c r="C3">
        <v>1</v>
      </c>
      <c r="D3">
        <v>-3.18615376626942E-2</v>
      </c>
      <c r="E3">
        <v>-3.7815954185184283E-2</v>
      </c>
      <c r="F3">
        <v>8.4403911697725764E-2</v>
      </c>
      <c r="G3">
        <v>0.13413414757177691</v>
      </c>
      <c r="H3">
        <v>-9.2019473745082569E-2</v>
      </c>
      <c r="I3">
        <v>0.1048016703288787</v>
      </c>
      <c r="J3">
        <v>0.1573919480093334</v>
      </c>
      <c r="K3">
        <v>6.7655045753567067E-2</v>
      </c>
      <c r="L3">
        <v>0.21393505748500069</v>
      </c>
      <c r="M3">
        <v>0.16084491749183441</v>
      </c>
      <c r="N3">
        <v>0.10107746327426829</v>
      </c>
      <c r="O3">
        <v>0.19420309038069819</v>
      </c>
      <c r="P3">
        <v>0.22112532328313761</v>
      </c>
      <c r="Q3">
        <v>0.13567109906188371</v>
      </c>
      <c r="R3">
        <v>0.13478394824392581</v>
      </c>
      <c r="S3">
        <v>6.3353602716852156E-2</v>
      </c>
      <c r="T3">
        <v>5.8699157086504729E-2</v>
      </c>
      <c r="U3">
        <v>0.1296959470245844</v>
      </c>
    </row>
    <row r="4" spans="1:21" x14ac:dyDescent="0.35">
      <c r="A4" s="1" t="s">
        <v>5</v>
      </c>
      <c r="B4">
        <v>0.1501241174276659</v>
      </c>
      <c r="C4">
        <v>-3.18615376626942E-2</v>
      </c>
      <c r="D4">
        <v>1</v>
      </c>
      <c r="E4">
        <v>0.67179808461617163</v>
      </c>
      <c r="F4">
        <v>8.5288004063796524E-2</v>
      </c>
      <c r="G4">
        <v>0.11552823675638201</v>
      </c>
      <c r="H4">
        <v>9.7288562568339482E-2</v>
      </c>
      <c r="I4">
        <v>0.27261421084618048</v>
      </c>
      <c r="J4">
        <v>0.27455618894206779</v>
      </c>
      <c r="K4">
        <v>0.23213369597448771</v>
      </c>
      <c r="L4">
        <v>7.778425220577919E-3</v>
      </c>
      <c r="M4">
        <v>-9.9593655809726261E-2</v>
      </c>
      <c r="N4">
        <v>1.0529180606529871E-2</v>
      </c>
      <c r="O4">
        <v>-1.778079635808226E-2</v>
      </c>
      <c r="P4">
        <v>-6.5721974126740676E-2</v>
      </c>
      <c r="Q4">
        <v>-2.3046584601818951E-2</v>
      </c>
      <c r="R4">
        <v>-6.009627684050687E-2</v>
      </c>
      <c r="S4">
        <v>-4.4378443002270923E-2</v>
      </c>
      <c r="T4">
        <v>-4.312708421668953E-2</v>
      </c>
      <c r="U4">
        <v>-8.0066808700310077E-3</v>
      </c>
    </row>
    <row r="5" spans="1:21" x14ac:dyDescent="0.35">
      <c r="A5" s="1" t="s">
        <v>6</v>
      </c>
      <c r="B5">
        <v>0.14386730428357791</v>
      </c>
      <c r="C5">
        <v>-3.7815954185184283E-2</v>
      </c>
      <c r="D5">
        <v>0.67179808461617163</v>
      </c>
      <c r="E5">
        <v>1</v>
      </c>
      <c r="F5">
        <v>6.1083869017390588E-2</v>
      </c>
      <c r="G5">
        <v>0.1290972049299286</v>
      </c>
      <c r="H5">
        <v>0.1672430212931284</v>
      </c>
      <c r="I5">
        <v>0.37884383493674689</v>
      </c>
      <c r="J5">
        <v>0.33394429994331581</v>
      </c>
      <c r="K5">
        <v>0.27053199229358221</v>
      </c>
      <c r="L5">
        <v>-3.7397010253146339E-2</v>
      </c>
      <c r="M5">
        <v>-5.1249939188565193E-2</v>
      </c>
      <c r="N5">
        <v>3.3112263871599858E-2</v>
      </c>
      <c r="O5">
        <v>1.9490979227550331E-2</v>
      </c>
      <c r="P5">
        <v>-5.552529304215182E-2</v>
      </c>
      <c r="Q5">
        <v>-3.5670430378222262E-2</v>
      </c>
      <c r="R5">
        <v>-1.2312170108696631E-2</v>
      </c>
      <c r="S5">
        <v>-8.4918949703438204E-2</v>
      </c>
      <c r="T5">
        <v>-5.4788748810174759E-2</v>
      </c>
      <c r="U5">
        <v>-1.4731556534236429E-2</v>
      </c>
    </row>
    <row r="6" spans="1:21" x14ac:dyDescent="0.35">
      <c r="A6" s="1" t="s">
        <v>7</v>
      </c>
      <c r="B6">
        <v>0.22704092893587469</v>
      </c>
      <c r="C6">
        <v>8.4403911697725764E-2</v>
      </c>
      <c r="D6">
        <v>8.5288004063796524E-2</v>
      </c>
      <c r="E6">
        <v>6.1083869017390588E-2</v>
      </c>
      <c r="F6">
        <v>1</v>
      </c>
      <c r="G6">
        <v>0.63052828470424005</v>
      </c>
      <c r="H6">
        <v>5.1389966856841801E-2</v>
      </c>
      <c r="I6">
        <v>0.19613238487675819</v>
      </c>
      <c r="J6">
        <v>0.2162445279675814</v>
      </c>
      <c r="K6">
        <v>0.19939788223950539</v>
      </c>
      <c r="L6">
        <v>6.2115647133322828E-2</v>
      </c>
      <c r="M6">
        <v>3.2806016270211139E-2</v>
      </c>
      <c r="N6">
        <v>4.5428281782390133E-2</v>
      </c>
      <c r="O6">
        <v>7.9265028500667134E-2</v>
      </c>
      <c r="P6">
        <v>7.5626208656199949E-3</v>
      </c>
      <c r="Q6">
        <v>-1.3349685441026131E-2</v>
      </c>
      <c r="R6">
        <v>5.7630178654812833E-2</v>
      </c>
      <c r="S6">
        <v>2.1464035796161279E-2</v>
      </c>
      <c r="T6">
        <v>7.2328792470315637E-2</v>
      </c>
      <c r="U6">
        <v>4.1037283393106763E-2</v>
      </c>
    </row>
    <row r="7" spans="1:21" x14ac:dyDescent="0.35">
      <c r="A7" s="1" t="s">
        <v>8</v>
      </c>
      <c r="B7">
        <v>0.25902531692920189</v>
      </c>
      <c r="C7">
        <v>0.13413414757177691</v>
      </c>
      <c r="D7">
        <v>0.11552823675638201</v>
      </c>
      <c r="E7">
        <v>0.1290972049299286</v>
      </c>
      <c r="F7">
        <v>0.63052828470424005</v>
      </c>
      <c r="G7">
        <v>1</v>
      </c>
      <c r="H7">
        <v>8.2622911837319402E-2</v>
      </c>
      <c r="I7">
        <v>0.32282627727136021</v>
      </c>
      <c r="J7">
        <v>0.33374806907384968</v>
      </c>
      <c r="K7">
        <v>0.30028023676219451</v>
      </c>
      <c r="L7">
        <v>2.0208609995276051E-2</v>
      </c>
      <c r="M7">
        <v>6.1201810596066497E-2</v>
      </c>
      <c r="N7">
        <v>5.8438518775248138E-2</v>
      </c>
      <c r="O7">
        <v>9.1692596533273052E-2</v>
      </c>
      <c r="P7">
        <v>1.202854598885655E-3</v>
      </c>
      <c r="Q7">
        <v>1.786510369795777E-3</v>
      </c>
      <c r="R7">
        <v>0.13160157803179709</v>
      </c>
      <c r="S7">
        <v>-7.1260295293589349E-2</v>
      </c>
      <c r="T7">
        <v>-9.9299812230035246E-3</v>
      </c>
      <c r="U7">
        <v>1.2923175467880481E-3</v>
      </c>
    </row>
    <row r="8" spans="1:21" x14ac:dyDescent="0.35">
      <c r="A8" s="1" t="s">
        <v>9</v>
      </c>
      <c r="B8">
        <v>0.17828550701359511</v>
      </c>
      <c r="C8">
        <v>-9.2019473745082569E-2</v>
      </c>
      <c r="D8">
        <v>9.7288562568339482E-2</v>
      </c>
      <c r="E8">
        <v>0.1672430212931284</v>
      </c>
      <c r="F8">
        <v>5.1389966856841801E-2</v>
      </c>
      <c r="G8">
        <v>8.2622911837319402E-2</v>
      </c>
      <c r="H8">
        <v>1</v>
      </c>
      <c r="I8">
        <v>0.39327489339338378</v>
      </c>
      <c r="J8">
        <v>0.28357756889755631</v>
      </c>
      <c r="K8">
        <v>0.22611194841842619</v>
      </c>
      <c r="L8">
        <v>-0.12701003541182029</v>
      </c>
      <c r="M8">
        <v>4.151786639642701E-2</v>
      </c>
      <c r="N8">
        <v>-3.4805534168860473E-2</v>
      </c>
      <c r="O8">
        <v>-3.5350186352935319E-2</v>
      </c>
      <c r="P8">
        <v>-0.17063055061649379</v>
      </c>
      <c r="Q8">
        <v>-0.12511889254280081</v>
      </c>
      <c r="R8">
        <v>5.3153255080521412E-2</v>
      </c>
      <c r="S8">
        <v>-9.1210225102584364E-2</v>
      </c>
      <c r="T8">
        <v>1.355716013120165E-3</v>
      </c>
      <c r="U8">
        <v>-0.1434357997493054</v>
      </c>
    </row>
    <row r="9" spans="1:21" x14ac:dyDescent="0.35">
      <c r="A9" s="1" t="s">
        <v>10</v>
      </c>
      <c r="B9">
        <v>0.1444030176836533</v>
      </c>
      <c r="C9">
        <v>0.1048016703288787</v>
      </c>
      <c r="D9">
        <v>0.27261421084618048</v>
      </c>
      <c r="E9">
        <v>0.37884383493674689</v>
      </c>
      <c r="F9">
        <v>0.19613238487675819</v>
      </c>
      <c r="G9">
        <v>0.32282627727136021</v>
      </c>
      <c r="H9">
        <v>0.39327489339338378</v>
      </c>
      <c r="I9">
        <v>1</v>
      </c>
      <c r="J9">
        <v>0.68700143081699039</v>
      </c>
      <c r="K9">
        <v>0.54331836330232763</v>
      </c>
      <c r="L9">
        <v>-0.1150149393239185</v>
      </c>
      <c r="M9">
        <v>8.1225920209662503E-2</v>
      </c>
      <c r="N9">
        <v>5.8435996381950968E-2</v>
      </c>
      <c r="O9">
        <v>-5.7513759301769463E-3</v>
      </c>
      <c r="P9">
        <v>-0.15543230898478999</v>
      </c>
      <c r="Q9">
        <v>-4.9841606212433408E-2</v>
      </c>
      <c r="R9">
        <v>0.21636029293853101</v>
      </c>
      <c r="S9">
        <v>-0.26155097315255721</v>
      </c>
      <c r="T9">
        <v>-0.13096946906625051</v>
      </c>
      <c r="U9">
        <v>-9.1505693546212991E-2</v>
      </c>
    </row>
    <row r="10" spans="1:21" x14ac:dyDescent="0.35">
      <c r="A10" s="1" t="s">
        <v>11</v>
      </c>
      <c r="B10">
        <v>0.27683950366933591</v>
      </c>
      <c r="C10">
        <v>0.1573919480093334</v>
      </c>
      <c r="D10">
        <v>0.27455618894206779</v>
      </c>
      <c r="E10">
        <v>0.33394429994331581</v>
      </c>
      <c r="F10">
        <v>0.2162445279675814</v>
      </c>
      <c r="G10">
        <v>0.33374806907384968</v>
      </c>
      <c r="H10">
        <v>0.28357756889755631</v>
      </c>
      <c r="I10">
        <v>0.68700143081699039</v>
      </c>
      <c r="J10">
        <v>1</v>
      </c>
      <c r="K10">
        <v>0.59504551173936993</v>
      </c>
      <c r="L10">
        <v>-8.3474485478173908E-3</v>
      </c>
      <c r="M10">
        <v>8.7587820574193787E-2</v>
      </c>
      <c r="N10">
        <v>0.1109339755994815</v>
      </c>
      <c r="O10">
        <v>7.5502992631065427E-2</v>
      </c>
      <c r="P10">
        <v>-0.1124775530055778</v>
      </c>
      <c r="Q10">
        <v>-1.111380954810204E-2</v>
      </c>
      <c r="R10">
        <v>0.1200816322496957</v>
      </c>
      <c r="S10">
        <v>-5.8402472734308909E-2</v>
      </c>
      <c r="T10">
        <v>-2.8694716355080481E-2</v>
      </c>
      <c r="U10">
        <v>-1.540521458635691E-2</v>
      </c>
    </row>
    <row r="11" spans="1:21" x14ac:dyDescent="0.35">
      <c r="A11" s="1" t="s">
        <v>12</v>
      </c>
      <c r="B11">
        <v>0.25482506995848409</v>
      </c>
      <c r="C11">
        <v>6.7655045753567067E-2</v>
      </c>
      <c r="D11">
        <v>0.23213369597448771</v>
      </c>
      <c r="E11">
        <v>0.27053199229358221</v>
      </c>
      <c r="F11">
        <v>0.19939788223950539</v>
      </c>
      <c r="G11">
        <v>0.30028023676219451</v>
      </c>
      <c r="H11">
        <v>0.22611194841842619</v>
      </c>
      <c r="I11">
        <v>0.54331836330232763</v>
      </c>
      <c r="J11">
        <v>0.59504551173936993</v>
      </c>
      <c r="K11">
        <v>1</v>
      </c>
      <c r="L11">
        <v>1.484385257984107E-2</v>
      </c>
      <c r="M11">
        <v>6.7451453232550945E-2</v>
      </c>
      <c r="N11">
        <v>6.968121047619609E-2</v>
      </c>
      <c r="O11">
        <v>0.102947323600075</v>
      </c>
      <c r="P11">
        <v>-0.138163999769115</v>
      </c>
      <c r="Q11">
        <v>-9.1130908075344519E-2</v>
      </c>
      <c r="R11">
        <v>0.12505729858130921</v>
      </c>
      <c r="S11">
        <v>-6.1463969631160603E-2</v>
      </c>
      <c r="T11">
        <v>-6.1954794354447187E-2</v>
      </c>
      <c r="U11">
        <v>-8.3734818376006562E-2</v>
      </c>
    </row>
    <row r="12" spans="1:21" x14ac:dyDescent="0.35">
      <c r="A12" s="1" t="s">
        <v>13</v>
      </c>
      <c r="B12">
        <v>9.50237375654088E-2</v>
      </c>
      <c r="C12">
        <v>0.21393505748500069</v>
      </c>
      <c r="D12">
        <v>7.778425220577919E-3</v>
      </c>
      <c r="E12">
        <v>-3.7397010253146339E-2</v>
      </c>
      <c r="F12">
        <v>6.2115647133322828E-2</v>
      </c>
      <c r="G12">
        <v>2.0208609995276051E-2</v>
      </c>
      <c r="H12">
        <v>-0.12701003541182029</v>
      </c>
      <c r="I12">
        <v>-0.1150149393239185</v>
      </c>
      <c r="J12">
        <v>-8.3474485478173908E-3</v>
      </c>
      <c r="K12">
        <v>1.484385257984107E-2</v>
      </c>
      <c r="L12">
        <v>1</v>
      </c>
      <c r="M12">
        <v>5.5169497763787198E-2</v>
      </c>
      <c r="N12">
        <v>5.8241412202005668E-2</v>
      </c>
      <c r="O12">
        <v>7.1726299553010534E-2</v>
      </c>
      <c r="P12">
        <v>6.0714593509960849E-2</v>
      </c>
      <c r="Q12">
        <v>0.1145625945945762</v>
      </c>
      <c r="R12">
        <v>-1.024893505881702E-2</v>
      </c>
      <c r="S12">
        <v>0.27730912423295029</v>
      </c>
      <c r="T12">
        <v>0.19561580203751899</v>
      </c>
      <c r="U12">
        <v>0.1114813267133191</v>
      </c>
    </row>
    <row r="13" spans="1:21" x14ac:dyDescent="0.35">
      <c r="A13" s="1" t="s">
        <v>14</v>
      </c>
      <c r="B13">
        <v>2.399573073591631E-2</v>
      </c>
      <c r="C13">
        <v>0.16084491749183441</v>
      </c>
      <c r="D13">
        <v>-9.9593655809726261E-2</v>
      </c>
      <c r="E13">
        <v>-5.1249939188565193E-2</v>
      </c>
      <c r="F13">
        <v>3.2806016270211139E-2</v>
      </c>
      <c r="G13">
        <v>6.1201810596066497E-2</v>
      </c>
      <c r="H13">
        <v>4.151786639642701E-2</v>
      </c>
      <c r="I13">
        <v>8.1225920209662503E-2</v>
      </c>
      <c r="J13">
        <v>8.7587820574193787E-2</v>
      </c>
      <c r="K13">
        <v>6.7451453232550945E-2</v>
      </c>
      <c r="L13">
        <v>5.5169497763787198E-2</v>
      </c>
      <c r="M13">
        <v>1</v>
      </c>
      <c r="N13">
        <v>0.52258413719691532</v>
      </c>
      <c r="O13">
        <v>0.10985348949209479</v>
      </c>
      <c r="P13">
        <v>0.1210236240959917</v>
      </c>
      <c r="Q13">
        <v>4.2743137213822932E-2</v>
      </c>
      <c r="R13">
        <v>0.25299875370567387</v>
      </c>
      <c r="S13">
        <v>-2.5925402772080049E-2</v>
      </c>
      <c r="T13">
        <v>-4.255999086176741E-3</v>
      </c>
      <c r="U13">
        <v>4.0960502678321679E-2</v>
      </c>
    </row>
    <row r="14" spans="1:21" x14ac:dyDescent="0.35">
      <c r="A14" s="1" t="s">
        <v>15</v>
      </c>
      <c r="B14">
        <v>-5.6303921457385719E-3</v>
      </c>
      <c r="C14">
        <v>0.10107746327426829</v>
      </c>
      <c r="D14">
        <v>1.0529180606529871E-2</v>
      </c>
      <c r="E14">
        <v>3.3112263871599858E-2</v>
      </c>
      <c r="F14">
        <v>4.5428281782390133E-2</v>
      </c>
      <c r="G14">
        <v>5.8438518775248138E-2</v>
      </c>
      <c r="H14">
        <v>-3.4805534168860473E-2</v>
      </c>
      <c r="I14">
        <v>5.8435996381950968E-2</v>
      </c>
      <c r="J14">
        <v>0.1109339755994815</v>
      </c>
      <c r="K14">
        <v>6.968121047619609E-2</v>
      </c>
      <c r="L14">
        <v>5.8241412202005668E-2</v>
      </c>
      <c r="M14">
        <v>0.52258413719691532</v>
      </c>
      <c r="N14">
        <v>1</v>
      </c>
      <c r="O14">
        <v>8.245457497449693E-2</v>
      </c>
      <c r="P14">
        <v>0.13920656819508459</v>
      </c>
      <c r="Q14">
        <v>9.1510585537219372E-2</v>
      </c>
      <c r="R14">
        <v>0.26361334916250501</v>
      </c>
      <c r="S14">
        <v>-2.793336560215068E-4</v>
      </c>
      <c r="T14">
        <v>2.825375495671861E-2</v>
      </c>
      <c r="U14">
        <v>0.14597397159930939</v>
      </c>
    </row>
    <row r="15" spans="1:21" x14ac:dyDescent="0.35">
      <c r="A15" s="1" t="s">
        <v>16</v>
      </c>
      <c r="B15">
        <v>7.975584395961921E-2</v>
      </c>
      <c r="C15">
        <v>0.19420309038069819</v>
      </c>
      <c r="D15">
        <v>-1.778079635808226E-2</v>
      </c>
      <c r="E15">
        <v>1.9490979227550331E-2</v>
      </c>
      <c r="F15">
        <v>7.9265028500667134E-2</v>
      </c>
      <c r="G15">
        <v>9.1692596533273052E-2</v>
      </c>
      <c r="H15">
        <v>-3.5350186352935319E-2</v>
      </c>
      <c r="I15">
        <v>-5.7513759301769463E-3</v>
      </c>
      <c r="J15">
        <v>7.5502992631065427E-2</v>
      </c>
      <c r="K15">
        <v>0.102947323600075</v>
      </c>
      <c r="L15">
        <v>7.1726299553010534E-2</v>
      </c>
      <c r="M15">
        <v>0.10985348949209479</v>
      </c>
      <c r="N15">
        <v>8.245457497449693E-2</v>
      </c>
      <c r="O15">
        <v>1</v>
      </c>
      <c r="P15">
        <v>0.41706831924208482</v>
      </c>
      <c r="Q15">
        <v>5.5421792718558854E-3</v>
      </c>
      <c r="R15">
        <v>0.14382234566083249</v>
      </c>
      <c r="S15">
        <v>2.4205398775498179E-2</v>
      </c>
      <c r="T15">
        <v>5.2752046610827302E-2</v>
      </c>
      <c r="U15">
        <v>5.12508194918588E-2</v>
      </c>
    </row>
    <row r="16" spans="1:21" x14ac:dyDescent="0.35">
      <c r="A16" s="1" t="s">
        <v>17</v>
      </c>
      <c r="B16">
        <v>-1.967438191419759E-2</v>
      </c>
      <c r="C16">
        <v>0.22112532328313761</v>
      </c>
      <c r="D16">
        <v>-6.5721974126740676E-2</v>
      </c>
      <c r="E16">
        <v>-5.552529304215182E-2</v>
      </c>
      <c r="F16">
        <v>7.5626208656199949E-3</v>
      </c>
      <c r="G16">
        <v>1.202854598885655E-3</v>
      </c>
      <c r="H16">
        <v>-0.17063055061649379</v>
      </c>
      <c r="I16">
        <v>-0.15543230898478999</v>
      </c>
      <c r="J16">
        <v>-0.1124775530055778</v>
      </c>
      <c r="K16">
        <v>-0.138163999769115</v>
      </c>
      <c r="L16">
        <v>6.0714593509960849E-2</v>
      </c>
      <c r="M16">
        <v>0.1210236240959917</v>
      </c>
      <c r="N16">
        <v>0.13920656819508459</v>
      </c>
      <c r="O16">
        <v>0.41706831924208482</v>
      </c>
      <c r="P16">
        <v>1</v>
      </c>
      <c r="Q16">
        <v>6.1471601669686383E-2</v>
      </c>
      <c r="R16">
        <v>0.2412741360012359</v>
      </c>
      <c r="S16">
        <v>2.2332267543302382E-2</v>
      </c>
      <c r="T16">
        <v>5.5288989844964748E-2</v>
      </c>
      <c r="U16">
        <v>0.128895191275753</v>
      </c>
    </row>
    <row r="17" spans="1:21" x14ac:dyDescent="0.35">
      <c r="A17" s="1" t="s">
        <v>18</v>
      </c>
      <c r="B17">
        <v>-5.0477946419994812E-2</v>
      </c>
      <c r="C17">
        <v>0.13567109906188371</v>
      </c>
      <c r="D17">
        <v>-2.3046584601818951E-2</v>
      </c>
      <c r="E17">
        <v>-3.5670430378222262E-2</v>
      </c>
      <c r="F17">
        <v>-1.3349685441026131E-2</v>
      </c>
      <c r="G17">
        <v>1.786510369795777E-3</v>
      </c>
      <c r="H17">
        <v>-0.12511889254280081</v>
      </c>
      <c r="I17">
        <v>-4.9841606212433408E-2</v>
      </c>
      <c r="J17">
        <v>-1.111380954810204E-2</v>
      </c>
      <c r="K17">
        <v>-9.1130908075344519E-2</v>
      </c>
      <c r="L17">
        <v>0.1145625945945762</v>
      </c>
      <c r="M17">
        <v>4.2743137213822932E-2</v>
      </c>
      <c r="N17">
        <v>9.1510585537219372E-2</v>
      </c>
      <c r="O17">
        <v>5.5421792718558854E-3</v>
      </c>
      <c r="P17">
        <v>6.1471601669686383E-2</v>
      </c>
      <c r="Q17">
        <v>1</v>
      </c>
      <c r="R17">
        <v>4.157429451183197E-2</v>
      </c>
      <c r="S17">
        <v>2.7603886567660659E-2</v>
      </c>
      <c r="T17">
        <v>7.2923046345353015E-2</v>
      </c>
      <c r="U17">
        <v>0.2158478599921087</v>
      </c>
    </row>
    <row r="18" spans="1:21" x14ac:dyDescent="0.35">
      <c r="A18" s="1" t="s">
        <v>19</v>
      </c>
      <c r="B18">
        <v>-2.8025618138065199E-3</v>
      </c>
      <c r="C18">
        <v>0.13478394824392581</v>
      </c>
      <c r="D18">
        <v>-6.009627684050687E-2</v>
      </c>
      <c r="E18">
        <v>-1.2312170108696631E-2</v>
      </c>
      <c r="F18">
        <v>5.7630178654812833E-2</v>
      </c>
      <c r="G18">
        <v>0.13160157803179709</v>
      </c>
      <c r="H18">
        <v>5.3153255080521412E-2</v>
      </c>
      <c r="I18">
        <v>0.21636029293853101</v>
      </c>
      <c r="J18">
        <v>0.1200816322496957</v>
      </c>
      <c r="K18">
        <v>0.12505729858130921</v>
      </c>
      <c r="L18">
        <v>-1.024893505881702E-2</v>
      </c>
      <c r="M18">
        <v>0.25299875370567387</v>
      </c>
      <c r="N18">
        <v>0.26361334916250501</v>
      </c>
      <c r="O18">
        <v>0.14382234566083249</v>
      </c>
      <c r="P18">
        <v>0.2412741360012359</v>
      </c>
      <c r="Q18">
        <v>4.157429451183197E-2</v>
      </c>
      <c r="R18">
        <v>1</v>
      </c>
      <c r="S18">
        <v>-0.43252901644119068</v>
      </c>
      <c r="T18">
        <v>-0.19305269922980209</v>
      </c>
      <c r="U18">
        <v>9.8469354303946394E-3</v>
      </c>
    </row>
    <row r="19" spans="1:21" x14ac:dyDescent="0.35">
      <c r="A19" s="1" t="s">
        <v>20</v>
      </c>
      <c r="B19">
        <v>0.12656244079599391</v>
      </c>
      <c r="C19">
        <v>6.3353602716852156E-2</v>
      </c>
      <c r="D19">
        <v>-4.4378443002270923E-2</v>
      </c>
      <c r="E19">
        <v>-8.4918949703438204E-2</v>
      </c>
      <c r="F19">
        <v>2.1464035796161279E-2</v>
      </c>
      <c r="G19">
        <v>-7.1260295293589349E-2</v>
      </c>
      <c r="H19">
        <v>-9.1210225102584364E-2</v>
      </c>
      <c r="I19">
        <v>-0.26155097315255721</v>
      </c>
      <c r="J19">
        <v>-5.8402472734308909E-2</v>
      </c>
      <c r="K19">
        <v>-6.1463969631160603E-2</v>
      </c>
      <c r="L19">
        <v>0.27730912423295029</v>
      </c>
      <c r="M19">
        <v>-2.5925402772080049E-2</v>
      </c>
      <c r="N19">
        <v>-2.793336560215068E-4</v>
      </c>
      <c r="O19">
        <v>2.4205398775498179E-2</v>
      </c>
      <c r="P19">
        <v>2.2332267543302382E-2</v>
      </c>
      <c r="Q19">
        <v>2.7603886567660659E-2</v>
      </c>
      <c r="R19">
        <v>-0.43252901644119068</v>
      </c>
      <c r="S19">
        <v>1</v>
      </c>
      <c r="T19">
        <v>0.27991086584771901</v>
      </c>
      <c r="U19">
        <v>6.0544737594529482E-2</v>
      </c>
    </row>
    <row r="20" spans="1:21" x14ac:dyDescent="0.35">
      <c r="A20" s="1" t="s">
        <v>21</v>
      </c>
      <c r="B20">
        <v>6.4802275663211659E-2</v>
      </c>
      <c r="C20">
        <v>5.8699157086504729E-2</v>
      </c>
      <c r="D20">
        <v>-4.312708421668953E-2</v>
      </c>
      <c r="E20">
        <v>-5.4788748810174759E-2</v>
      </c>
      <c r="F20">
        <v>7.2328792470315637E-2</v>
      </c>
      <c r="G20">
        <v>-9.9299812230035246E-3</v>
      </c>
      <c r="H20">
        <v>1.355716013120165E-3</v>
      </c>
      <c r="I20">
        <v>-0.13096946906625051</v>
      </c>
      <c r="J20">
        <v>-2.8694716355080481E-2</v>
      </c>
      <c r="K20">
        <v>-6.1954794354447187E-2</v>
      </c>
      <c r="L20">
        <v>0.19561580203751899</v>
      </c>
      <c r="M20">
        <v>-4.255999086176741E-3</v>
      </c>
      <c r="N20">
        <v>2.825375495671861E-2</v>
      </c>
      <c r="O20">
        <v>5.2752046610827302E-2</v>
      </c>
      <c r="P20">
        <v>5.5288989844964748E-2</v>
      </c>
      <c r="Q20">
        <v>7.2923046345353015E-2</v>
      </c>
      <c r="R20">
        <v>-0.19305269922980209</v>
      </c>
      <c r="S20">
        <v>0.27991086584771901</v>
      </c>
      <c r="T20">
        <v>1</v>
      </c>
      <c r="U20">
        <v>0.37969100243554788</v>
      </c>
    </row>
    <row r="21" spans="1:21" x14ac:dyDescent="0.35">
      <c r="A21" s="1" t="s">
        <v>22</v>
      </c>
      <c r="B21">
        <v>-6.0121756198997262E-2</v>
      </c>
      <c r="C21">
        <v>0.1296959470245844</v>
      </c>
      <c r="D21">
        <v>-8.0066808700310077E-3</v>
      </c>
      <c r="E21">
        <v>-1.4731556534236429E-2</v>
      </c>
      <c r="F21">
        <v>4.1037283393106763E-2</v>
      </c>
      <c r="G21">
        <v>1.2923175467880481E-3</v>
      </c>
      <c r="H21">
        <v>-0.1434357997493054</v>
      </c>
      <c r="I21">
        <v>-9.1505693546212991E-2</v>
      </c>
      <c r="J21">
        <v>-1.540521458635691E-2</v>
      </c>
      <c r="K21">
        <v>-8.3734818376006562E-2</v>
      </c>
      <c r="L21">
        <v>0.1114813267133191</v>
      </c>
      <c r="M21">
        <v>4.0960502678321679E-2</v>
      </c>
      <c r="N21">
        <v>0.14597397159930939</v>
      </c>
      <c r="O21">
        <v>5.12508194918588E-2</v>
      </c>
      <c r="P21">
        <v>0.128895191275753</v>
      </c>
      <c r="Q21">
        <v>0.2158478599921087</v>
      </c>
      <c r="R21">
        <v>9.8469354303946394E-3</v>
      </c>
      <c r="S21">
        <v>6.0544737594529482E-2</v>
      </c>
      <c r="T21">
        <v>0.37969100243554788</v>
      </c>
      <c r="U2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EF72-CBAE-4CAC-9FCE-F9CA18352F12}">
  <dimension ref="A1:H15"/>
  <sheetViews>
    <sheetView tabSelected="1" workbookViewId="0">
      <selection activeCell="H12" sqref="H12"/>
    </sheetView>
  </sheetViews>
  <sheetFormatPr defaultRowHeight="14.5" x14ac:dyDescent="0.35"/>
  <sheetData>
    <row r="1" spans="1:8" x14ac:dyDescent="0.35">
      <c r="A1" t="s">
        <v>26</v>
      </c>
      <c r="B1" t="s">
        <v>27</v>
      </c>
    </row>
    <row r="2" spans="1:8" x14ac:dyDescent="0.35">
      <c r="A2" t="s">
        <v>28</v>
      </c>
      <c r="B2" t="s">
        <v>29</v>
      </c>
      <c r="H2" t="s">
        <v>30</v>
      </c>
    </row>
    <row r="3" spans="1:8" x14ac:dyDescent="0.35">
      <c r="H3" t="s">
        <v>31</v>
      </c>
    </row>
    <row r="4" spans="1:8" x14ac:dyDescent="0.35">
      <c r="H4" t="s">
        <v>32</v>
      </c>
    </row>
    <row r="5" spans="1:8" x14ac:dyDescent="0.35">
      <c r="H5" t="s">
        <v>33</v>
      </c>
    </row>
    <row r="6" spans="1:8" x14ac:dyDescent="0.35">
      <c r="H6" t="s">
        <v>34</v>
      </c>
    </row>
    <row r="7" spans="1:8" x14ac:dyDescent="0.35">
      <c r="H7" t="s">
        <v>35</v>
      </c>
    </row>
    <row r="8" spans="1:8" x14ac:dyDescent="0.35">
      <c r="H8" t="s">
        <v>36</v>
      </c>
    </row>
    <row r="9" spans="1:8" x14ac:dyDescent="0.35">
      <c r="H9" t="s">
        <v>37</v>
      </c>
    </row>
    <row r="10" spans="1:8" x14ac:dyDescent="0.35">
      <c r="H10" t="s">
        <v>38</v>
      </c>
    </row>
    <row r="11" spans="1:8" x14ac:dyDescent="0.35">
      <c r="H11" t="s">
        <v>39</v>
      </c>
    </row>
    <row r="12" spans="1:8" x14ac:dyDescent="0.35">
      <c r="H12" t="s">
        <v>40</v>
      </c>
    </row>
    <row r="13" spans="1:8" x14ac:dyDescent="0.35">
      <c r="H13" t="s">
        <v>41</v>
      </c>
    </row>
    <row r="14" spans="1:8" x14ac:dyDescent="0.35">
      <c r="H14" t="s">
        <v>42</v>
      </c>
    </row>
    <row r="15" spans="1:8" x14ac:dyDescent="0.35">
      <c r="H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</vt:lpstr>
      <vt:lpstr>Class_0</vt:lpstr>
      <vt:lpstr>Class_1</vt:lpstr>
      <vt:lpstr>Class_2</vt:lpstr>
      <vt:lpstr>Model 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2025-10-04T03:54:34Z</dcterms:created>
  <dcterms:modified xsi:type="dcterms:W3CDTF">2025-10-04T04:19:56Z</dcterms:modified>
</cp:coreProperties>
</file>