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temp\ToGIT\Legacy\pearson_corelation\"/>
    </mc:Choice>
  </mc:AlternateContent>
  <xr:revisionPtr revIDLastSave="0" documentId="13_ncr:1_{7A4FA8AD-5B59-49D1-9CA3-7F02F58FFECB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ensitivity" sheetId="4" r:id="rId1"/>
    <sheet name="Class_0" sheetId="1" r:id="rId2"/>
    <sheet name="Class_1" sheetId="2" r:id="rId3"/>
    <sheet name="Class_2" sheetId="3" r:id="rId4"/>
    <sheet name="SensitivityFil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4" l="1"/>
  <c r="G54" i="4" s="1"/>
  <c r="H54" i="4" s="1"/>
  <c r="I54" i="4" s="1"/>
  <c r="J54" i="4" s="1"/>
  <c r="K54" i="4" s="1"/>
  <c r="L54" i="4" s="1"/>
  <c r="M54" i="4" s="1"/>
  <c r="N54" i="4" s="1"/>
  <c r="O54" i="4" s="1"/>
  <c r="P54" i="4" s="1"/>
  <c r="Q54" i="4" s="1"/>
  <c r="R54" i="4" s="1"/>
  <c r="S54" i="4" s="1"/>
  <c r="T54" i="4" s="1"/>
  <c r="U54" i="4" s="1"/>
  <c r="V54" i="4" s="1"/>
  <c r="W54" i="4" s="1"/>
  <c r="X54" i="4" s="1"/>
  <c r="Y54" i="4" s="1"/>
  <c r="Z54" i="4" s="1"/>
  <c r="AA54" i="4" s="1"/>
  <c r="AB54" i="4" s="1"/>
  <c r="AC54" i="4" s="1"/>
  <c r="AD54" i="4" s="1"/>
  <c r="AE54" i="4" s="1"/>
  <c r="AF54" i="4" s="1"/>
  <c r="AG54" i="4" s="1"/>
  <c r="AH54" i="4" s="1"/>
  <c r="AI54" i="4" s="1"/>
  <c r="AJ54" i="4" s="1"/>
  <c r="AK54" i="4" s="1"/>
  <c r="AL54" i="4" s="1"/>
  <c r="AM54" i="4" s="1"/>
  <c r="AN54" i="4" s="1"/>
  <c r="AO54" i="4" s="1"/>
  <c r="AP54" i="4" s="1"/>
  <c r="AQ54" i="4" s="1"/>
  <c r="AR54" i="4" s="1"/>
  <c r="AS54" i="4" s="1"/>
  <c r="AT54" i="4" s="1"/>
  <c r="AU54" i="4" s="1"/>
  <c r="AV54" i="4" s="1"/>
  <c r="AW54" i="4" s="1"/>
  <c r="AX54" i="4" s="1"/>
  <c r="AY54" i="4" s="1"/>
  <c r="AZ54" i="4" s="1"/>
  <c r="BA54" i="4" s="1"/>
  <c r="BB54" i="4" s="1"/>
  <c r="BC54" i="4" s="1"/>
  <c r="BD54" i="4" s="1"/>
  <c r="BE54" i="4" s="1"/>
  <c r="BF54" i="4" s="1"/>
  <c r="AI85" i="4"/>
  <c r="AH85" i="4"/>
  <c r="AH84" i="4"/>
  <c r="AG85" i="4"/>
  <c r="AG84" i="4"/>
  <c r="AG83" i="4"/>
  <c r="AF85" i="4"/>
  <c r="AF84" i="4"/>
  <c r="AF83" i="4"/>
  <c r="AF82" i="4"/>
  <c r="AE85" i="4"/>
  <c r="AE84" i="4"/>
  <c r="AE83" i="4"/>
  <c r="AE82" i="4"/>
  <c r="AE81" i="4"/>
  <c r="AS95" i="4"/>
  <c r="AR95" i="4"/>
  <c r="AR94" i="4"/>
  <c r="AQ95" i="4"/>
  <c r="AQ94" i="4"/>
  <c r="AQ93" i="4"/>
  <c r="AP95" i="4"/>
  <c r="AP94" i="4"/>
  <c r="AP93" i="4"/>
  <c r="AP92" i="4"/>
  <c r="AO95" i="4"/>
  <c r="AO94" i="4"/>
  <c r="AO93" i="4"/>
  <c r="AO92" i="4"/>
  <c r="AO91" i="4"/>
  <c r="AN95" i="4"/>
  <c r="AN94" i="4"/>
  <c r="AN93" i="4"/>
  <c r="AN92" i="4"/>
  <c r="AN91" i="4"/>
  <c r="AN90" i="4"/>
  <c r="AM95" i="4"/>
  <c r="AM94" i="4"/>
  <c r="AM93" i="4"/>
  <c r="AM92" i="4"/>
  <c r="AM91" i="4"/>
  <c r="AM90" i="4"/>
  <c r="AM89" i="4"/>
  <c r="AK87" i="4"/>
  <c r="AL95" i="4"/>
  <c r="AK95" i="4"/>
  <c r="AL94" i="4"/>
  <c r="AK94" i="4"/>
  <c r="AL93" i="4"/>
  <c r="AK93" i="4"/>
  <c r="AL92" i="4"/>
  <c r="AK92" i="4"/>
  <c r="AL91" i="4"/>
  <c r="AK91" i="4"/>
  <c r="AL90" i="4"/>
  <c r="AK90" i="4"/>
  <c r="AL89" i="4"/>
  <c r="AK89" i="4"/>
  <c r="AL88" i="4"/>
  <c r="AK88" i="4"/>
  <c r="AJ95" i="4"/>
  <c r="AI95" i="4"/>
  <c r="AH95" i="4"/>
  <c r="AG95" i="4"/>
  <c r="AF95" i="4"/>
  <c r="AE95" i="4"/>
  <c r="AJ94" i="4"/>
  <c r="AI94" i="4"/>
  <c r="AH94" i="4"/>
  <c r="AG94" i="4"/>
  <c r="AF94" i="4"/>
  <c r="AE94" i="4"/>
  <c r="AJ93" i="4"/>
  <c r="AI93" i="4"/>
  <c r="AH93" i="4"/>
  <c r="AG93" i="4"/>
  <c r="AF93" i="4"/>
  <c r="AE93" i="4"/>
  <c r="AJ92" i="4"/>
  <c r="AI92" i="4"/>
  <c r="AH92" i="4"/>
  <c r="AG92" i="4"/>
  <c r="AF92" i="4"/>
  <c r="AE92" i="4"/>
  <c r="AJ91" i="4"/>
  <c r="AI91" i="4"/>
  <c r="AH91" i="4"/>
  <c r="AG91" i="4"/>
  <c r="AF91" i="4"/>
  <c r="AE91" i="4"/>
  <c r="AJ90" i="4"/>
  <c r="AI90" i="4"/>
  <c r="AH90" i="4"/>
  <c r="AG90" i="4"/>
  <c r="AF90" i="4"/>
  <c r="AE90" i="4"/>
  <c r="AJ89" i="4"/>
  <c r="AI89" i="4"/>
  <c r="AH89" i="4"/>
  <c r="AG89" i="4"/>
  <c r="AF89" i="4"/>
  <c r="AE89" i="4"/>
  <c r="AJ88" i="4"/>
  <c r="AI88" i="4"/>
  <c r="AH88" i="4"/>
  <c r="AG88" i="4"/>
  <c r="AF88" i="4"/>
  <c r="AE88" i="4"/>
  <c r="AJ87" i="4"/>
  <c r="AI87" i="4"/>
  <c r="AH87" i="4"/>
  <c r="AG87" i="4"/>
  <c r="AF87" i="4"/>
  <c r="AE87" i="4"/>
  <c r="AJ86" i="4"/>
  <c r="AI86" i="4"/>
  <c r="AH86" i="4"/>
  <c r="AG86" i="4"/>
  <c r="AF86" i="4"/>
  <c r="AE86" i="4"/>
  <c r="AD80" i="4"/>
  <c r="AC79" i="4"/>
  <c r="AB78" i="4"/>
  <c r="AA77" i="4"/>
  <c r="Z76" i="4"/>
  <c r="Y76" i="4"/>
  <c r="Y75" i="4"/>
  <c r="X76" i="4"/>
  <c r="X75" i="4"/>
  <c r="X74" i="4"/>
  <c r="W76" i="4"/>
  <c r="W75" i="4"/>
  <c r="W74" i="4"/>
  <c r="W73" i="4"/>
  <c r="V76" i="4"/>
  <c r="V75" i="4"/>
  <c r="V74" i="4"/>
  <c r="V73" i="4"/>
  <c r="V72" i="4"/>
  <c r="U76" i="4"/>
  <c r="U75" i="4"/>
  <c r="U74" i="4"/>
  <c r="U73" i="4"/>
  <c r="U72" i="4"/>
  <c r="U71" i="4"/>
  <c r="T76" i="4"/>
  <c r="T75" i="4"/>
  <c r="T74" i="4"/>
  <c r="T73" i="4"/>
  <c r="T72" i="4"/>
  <c r="T71" i="4"/>
  <c r="T70" i="4"/>
  <c r="AC80" i="4"/>
  <c r="AB80" i="4"/>
  <c r="AB79" i="4"/>
  <c r="AA80" i="4"/>
  <c r="AA79" i="4"/>
  <c r="AA78" i="4"/>
  <c r="Z80" i="4"/>
  <c r="Z79" i="4"/>
  <c r="Z78" i="4"/>
  <c r="Z77" i="4"/>
  <c r="Y80" i="4"/>
  <c r="X80" i="4"/>
  <c r="W80" i="4"/>
  <c r="V80" i="4"/>
  <c r="U80" i="4"/>
  <c r="T80" i="4"/>
  <c r="Y79" i="4"/>
  <c r="X79" i="4"/>
  <c r="W79" i="4"/>
  <c r="V79" i="4"/>
  <c r="U79" i="4"/>
  <c r="T79" i="4"/>
  <c r="Y78" i="4"/>
  <c r="X78" i="4"/>
  <c r="W78" i="4"/>
  <c r="V78" i="4"/>
  <c r="U78" i="4"/>
  <c r="T78" i="4"/>
  <c r="Y77" i="4"/>
  <c r="X77" i="4"/>
  <c r="W77" i="4"/>
  <c r="V77" i="4"/>
  <c r="U77" i="4"/>
  <c r="T77" i="4"/>
  <c r="S80" i="4"/>
  <c r="S79" i="4"/>
  <c r="S78" i="4"/>
  <c r="S77" i="4"/>
  <c r="S76" i="4"/>
  <c r="S75" i="4"/>
  <c r="S74" i="4"/>
  <c r="S73" i="4"/>
  <c r="S72" i="4"/>
  <c r="S71" i="4"/>
  <c r="S70" i="4"/>
  <c r="S69" i="4"/>
  <c r="R80" i="4"/>
  <c r="R79" i="4"/>
  <c r="R78" i="4"/>
  <c r="R77" i="4"/>
  <c r="R76" i="4"/>
  <c r="R75" i="4"/>
  <c r="R74" i="4"/>
  <c r="R73" i="4"/>
  <c r="R72" i="4"/>
  <c r="R71" i="4"/>
  <c r="R70" i="4"/>
  <c r="R69" i="4"/>
  <c r="R68" i="4"/>
  <c r="P66" i="4"/>
  <c r="Q80" i="4"/>
  <c r="P80" i="4"/>
  <c r="Q79" i="4"/>
  <c r="P79" i="4"/>
  <c r="Q78" i="4"/>
  <c r="P78" i="4"/>
  <c r="Q77" i="4"/>
  <c r="P77" i="4"/>
  <c r="Q76" i="4"/>
  <c r="P76" i="4"/>
  <c r="Q75" i="4"/>
  <c r="P75" i="4"/>
  <c r="Q74" i="4"/>
  <c r="P74" i="4"/>
  <c r="Q73" i="4"/>
  <c r="P73" i="4"/>
  <c r="Q72" i="4"/>
  <c r="P72" i="4"/>
  <c r="Q71" i="4"/>
  <c r="P71" i="4"/>
  <c r="Q70" i="4"/>
  <c r="P70" i="4"/>
  <c r="Q69" i="4"/>
  <c r="P69" i="4"/>
  <c r="Q68" i="4"/>
  <c r="P68" i="4"/>
  <c r="Q67" i="4"/>
  <c r="P67" i="4"/>
  <c r="AD95" i="4"/>
  <c r="AC95" i="4"/>
  <c r="AB95" i="4"/>
  <c r="AA95" i="4"/>
  <c r="Z95" i="4"/>
  <c r="Y95" i="4"/>
  <c r="X95" i="4"/>
  <c r="W95" i="4"/>
  <c r="V95" i="4"/>
  <c r="U95" i="4"/>
  <c r="T95" i="4"/>
  <c r="S95" i="4"/>
  <c r="R95" i="4"/>
  <c r="Q95" i="4"/>
  <c r="P95" i="4"/>
  <c r="AD94" i="4"/>
  <c r="AC94" i="4"/>
  <c r="AB94" i="4"/>
  <c r="AA94" i="4"/>
  <c r="Z94" i="4"/>
  <c r="Y94" i="4"/>
  <c r="X94" i="4"/>
  <c r="W94" i="4"/>
  <c r="V94" i="4"/>
  <c r="U94" i="4"/>
  <c r="T94" i="4"/>
  <c r="S94" i="4"/>
  <c r="R94" i="4"/>
  <c r="Q94" i="4"/>
  <c r="P94" i="4"/>
  <c r="AD93" i="4"/>
  <c r="AC93" i="4"/>
  <c r="AB93" i="4"/>
  <c r="AA93" i="4"/>
  <c r="Z93" i="4"/>
  <c r="Y93" i="4"/>
  <c r="X93" i="4"/>
  <c r="W93" i="4"/>
  <c r="V93" i="4"/>
  <c r="U93" i="4"/>
  <c r="T93" i="4"/>
  <c r="S93" i="4"/>
  <c r="R93" i="4"/>
  <c r="Q93" i="4"/>
  <c r="P93" i="4"/>
  <c r="AD92" i="4"/>
  <c r="AC92" i="4"/>
  <c r="AB92" i="4"/>
  <c r="AA92" i="4"/>
  <c r="Z92" i="4"/>
  <c r="Y92" i="4"/>
  <c r="X92" i="4"/>
  <c r="W92" i="4"/>
  <c r="V92" i="4"/>
  <c r="U92" i="4"/>
  <c r="T92" i="4"/>
  <c r="S92" i="4"/>
  <c r="R92" i="4"/>
  <c r="Q92" i="4"/>
  <c r="P92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Q91" i="4"/>
  <c r="P91" i="4"/>
  <c r="AD90" i="4"/>
  <c r="AC90" i="4"/>
  <c r="AB90" i="4"/>
  <c r="AA90" i="4"/>
  <c r="Z90" i="4"/>
  <c r="Y90" i="4"/>
  <c r="X90" i="4"/>
  <c r="W90" i="4"/>
  <c r="V90" i="4"/>
  <c r="U90" i="4"/>
  <c r="T90" i="4"/>
  <c r="S90" i="4"/>
  <c r="R90" i="4"/>
  <c r="Q90" i="4"/>
  <c r="P90" i="4"/>
  <c r="AD89" i="4"/>
  <c r="AC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AD88" i="4"/>
  <c r="AC88" i="4"/>
  <c r="AB88" i="4"/>
  <c r="AA88" i="4"/>
  <c r="Z88" i="4"/>
  <c r="Y88" i="4"/>
  <c r="X88" i="4"/>
  <c r="W88" i="4"/>
  <c r="V88" i="4"/>
  <c r="U88" i="4"/>
  <c r="T88" i="4"/>
  <c r="S88" i="4"/>
  <c r="R88" i="4"/>
  <c r="Q88" i="4"/>
  <c r="P88" i="4"/>
  <c r="AD87" i="4"/>
  <c r="AC87" i="4"/>
  <c r="AB87" i="4"/>
  <c r="AA87" i="4"/>
  <c r="Z87" i="4"/>
  <c r="Y87" i="4"/>
  <c r="X87" i="4"/>
  <c r="W87" i="4"/>
  <c r="V87" i="4"/>
  <c r="U87" i="4"/>
  <c r="T87" i="4"/>
  <c r="S87" i="4"/>
  <c r="R87" i="4"/>
  <c r="Q87" i="4"/>
  <c r="P87" i="4"/>
  <c r="AD86" i="4"/>
  <c r="AC86" i="4"/>
  <c r="AB86" i="4"/>
  <c r="AA86" i="4"/>
  <c r="Z86" i="4"/>
  <c r="Y86" i="4"/>
  <c r="X86" i="4"/>
  <c r="W86" i="4"/>
  <c r="V86" i="4"/>
  <c r="U86" i="4"/>
  <c r="T86" i="4"/>
  <c r="S86" i="4"/>
  <c r="R86" i="4"/>
  <c r="Q86" i="4"/>
  <c r="P86" i="4"/>
  <c r="AD85" i="4"/>
  <c r="AC85" i="4"/>
  <c r="AB85" i="4"/>
  <c r="AA85" i="4"/>
  <c r="Z85" i="4"/>
  <c r="Y85" i="4"/>
  <c r="X85" i="4"/>
  <c r="W85" i="4"/>
  <c r="V85" i="4"/>
  <c r="U85" i="4"/>
  <c r="T85" i="4"/>
  <c r="S85" i="4"/>
  <c r="R85" i="4"/>
  <c r="Q85" i="4"/>
  <c r="P85" i="4"/>
  <c r="AD84" i="4"/>
  <c r="AC84" i="4"/>
  <c r="AB84" i="4"/>
  <c r="AA84" i="4"/>
  <c r="Z84" i="4"/>
  <c r="Y84" i="4"/>
  <c r="X84" i="4"/>
  <c r="W84" i="4"/>
  <c r="V84" i="4"/>
  <c r="U84" i="4"/>
  <c r="T84" i="4"/>
  <c r="S84" i="4"/>
  <c r="R84" i="4"/>
  <c r="Q84" i="4"/>
  <c r="P84" i="4"/>
  <c r="AD83" i="4"/>
  <c r="AC83" i="4"/>
  <c r="AB83" i="4"/>
  <c r="AA83" i="4"/>
  <c r="Z83" i="4"/>
  <c r="Y83" i="4"/>
  <c r="X83" i="4"/>
  <c r="W83" i="4"/>
  <c r="V83" i="4"/>
  <c r="U83" i="4"/>
  <c r="T83" i="4"/>
  <c r="S83" i="4"/>
  <c r="R83" i="4"/>
  <c r="Q83" i="4"/>
  <c r="P83" i="4"/>
  <c r="AD82" i="4"/>
  <c r="AC82" i="4"/>
  <c r="AB82" i="4"/>
  <c r="AA82" i="4"/>
  <c r="Z82" i="4"/>
  <c r="Y82" i="4"/>
  <c r="X82" i="4"/>
  <c r="W82" i="4"/>
  <c r="V82" i="4"/>
  <c r="U82" i="4"/>
  <c r="T82" i="4"/>
  <c r="S82" i="4"/>
  <c r="R82" i="4"/>
  <c r="Q82" i="4"/>
  <c r="P82" i="4"/>
  <c r="AD81" i="4"/>
  <c r="AC81" i="4"/>
  <c r="AB81" i="4"/>
  <c r="AA81" i="4"/>
  <c r="Z81" i="4"/>
  <c r="Y81" i="4"/>
  <c r="X81" i="4"/>
  <c r="W81" i="4"/>
  <c r="V81" i="4"/>
  <c r="U81" i="4"/>
  <c r="T81" i="4"/>
  <c r="S81" i="4"/>
  <c r="R81" i="4"/>
  <c r="Q81" i="4"/>
  <c r="P81" i="4"/>
  <c r="O65" i="4"/>
  <c r="N65" i="4"/>
  <c r="N64" i="4"/>
  <c r="M65" i="4"/>
  <c r="M64" i="4"/>
  <c r="M63" i="4"/>
  <c r="O95" i="4"/>
  <c r="N95" i="4"/>
  <c r="M95" i="4"/>
  <c r="O94" i="4"/>
  <c r="N94" i="4"/>
  <c r="M94" i="4"/>
  <c r="O93" i="4"/>
  <c r="N93" i="4"/>
  <c r="M93" i="4"/>
  <c r="O92" i="4"/>
  <c r="N92" i="4"/>
  <c r="M92" i="4"/>
  <c r="O91" i="4"/>
  <c r="N91" i="4"/>
  <c r="M91" i="4"/>
  <c r="O90" i="4"/>
  <c r="N90" i="4"/>
  <c r="M90" i="4"/>
  <c r="O89" i="4"/>
  <c r="N89" i="4"/>
  <c r="M89" i="4"/>
  <c r="O88" i="4"/>
  <c r="N88" i="4"/>
  <c r="M88" i="4"/>
  <c r="O87" i="4"/>
  <c r="N87" i="4"/>
  <c r="M87" i="4"/>
  <c r="O86" i="4"/>
  <c r="N86" i="4"/>
  <c r="M86" i="4"/>
  <c r="O85" i="4"/>
  <c r="N85" i="4"/>
  <c r="M85" i="4"/>
  <c r="O84" i="4"/>
  <c r="N84" i="4"/>
  <c r="M84" i="4"/>
  <c r="O83" i="4"/>
  <c r="N83" i="4"/>
  <c r="M83" i="4"/>
  <c r="O82" i="4"/>
  <c r="N82" i="4"/>
  <c r="M82" i="4"/>
  <c r="O81" i="4"/>
  <c r="N81" i="4"/>
  <c r="M81" i="4"/>
  <c r="O80" i="4"/>
  <c r="N80" i="4"/>
  <c r="M80" i="4"/>
  <c r="O79" i="4"/>
  <c r="N79" i="4"/>
  <c r="M79" i="4"/>
  <c r="O78" i="4"/>
  <c r="N78" i="4"/>
  <c r="M78" i="4"/>
  <c r="O77" i="4"/>
  <c r="N77" i="4"/>
  <c r="M77" i="4"/>
  <c r="O76" i="4"/>
  <c r="N76" i="4"/>
  <c r="M76" i="4"/>
  <c r="O75" i="4"/>
  <c r="N75" i="4"/>
  <c r="M75" i="4"/>
  <c r="O74" i="4"/>
  <c r="N74" i="4"/>
  <c r="M74" i="4"/>
  <c r="O73" i="4"/>
  <c r="N73" i="4"/>
  <c r="M73" i="4"/>
  <c r="O72" i="4"/>
  <c r="N72" i="4"/>
  <c r="M72" i="4"/>
  <c r="O71" i="4"/>
  <c r="N71" i="4"/>
  <c r="M71" i="4"/>
  <c r="O70" i="4"/>
  <c r="N70" i="4"/>
  <c r="M70" i="4"/>
  <c r="O69" i="4"/>
  <c r="N69" i="4"/>
  <c r="M69" i="4"/>
  <c r="O68" i="4"/>
  <c r="N68" i="4"/>
  <c r="M68" i="4"/>
  <c r="O67" i="4"/>
  <c r="N67" i="4"/>
  <c r="M67" i="4"/>
  <c r="O66" i="4"/>
  <c r="N66" i="4"/>
  <c r="M6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K95" i="4"/>
  <c r="J95" i="4"/>
  <c r="K94" i="4"/>
  <c r="J94" i="4"/>
  <c r="K93" i="4"/>
  <c r="J93" i="4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K68" i="4"/>
  <c r="J68" i="4"/>
  <c r="K67" i="4"/>
  <c r="J67" i="4"/>
  <c r="K66" i="4"/>
  <c r="J66" i="4"/>
  <c r="K65" i="4"/>
  <c r="J65" i="4"/>
  <c r="K64" i="4"/>
  <c r="J64" i="4"/>
  <c r="K63" i="4"/>
  <c r="J63" i="4"/>
  <c r="K62" i="4"/>
  <c r="J62" i="4"/>
  <c r="K61" i="4"/>
  <c r="J61" i="4"/>
  <c r="J60" i="4"/>
  <c r="I95" i="4"/>
  <c r="I94" i="4"/>
  <c r="I93" i="4"/>
  <c r="I92" i="4"/>
  <c r="I91" i="4"/>
  <c r="I90" i="4"/>
  <c r="I89" i="4"/>
  <c r="I88" i="4"/>
  <c r="I87" i="4"/>
  <c r="I86" i="4"/>
  <c r="I85" i="4"/>
  <c r="I84" i="4"/>
  <c r="I83" i="4"/>
  <c r="I82" i="4"/>
  <c r="I81" i="4"/>
  <c r="I80" i="4"/>
  <c r="I79" i="4"/>
  <c r="I78" i="4"/>
  <c r="I77" i="4"/>
  <c r="I76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60" i="4"/>
  <c r="I59" i="4"/>
  <c r="G57" i="4"/>
  <c r="F57" i="4"/>
  <c r="F56" i="4"/>
  <c r="H95" i="4"/>
  <c r="G95" i="4"/>
  <c r="F95" i="4"/>
  <c r="H94" i="4"/>
  <c r="G94" i="4"/>
  <c r="F94" i="4"/>
  <c r="H93" i="4"/>
  <c r="G93" i="4"/>
  <c r="F93" i="4"/>
  <c r="H92" i="4"/>
  <c r="G92" i="4"/>
  <c r="F92" i="4"/>
  <c r="H91" i="4"/>
  <c r="G91" i="4"/>
  <c r="F91" i="4"/>
  <c r="H90" i="4"/>
  <c r="G90" i="4"/>
  <c r="F90" i="4"/>
  <c r="H89" i="4"/>
  <c r="G89" i="4"/>
  <c r="F89" i="4"/>
  <c r="H88" i="4"/>
  <c r="G88" i="4"/>
  <c r="F88" i="4"/>
  <c r="H87" i="4"/>
  <c r="G87" i="4"/>
  <c r="F87" i="4"/>
  <c r="H86" i="4"/>
  <c r="G86" i="4"/>
  <c r="F86" i="4"/>
  <c r="H85" i="4"/>
  <c r="G85" i="4"/>
  <c r="F85" i="4"/>
  <c r="H84" i="4"/>
  <c r="G84" i="4"/>
  <c r="F84" i="4"/>
  <c r="H83" i="4"/>
  <c r="G83" i="4"/>
  <c r="F83" i="4"/>
  <c r="H82" i="4"/>
  <c r="G82" i="4"/>
  <c r="F82" i="4"/>
  <c r="H81" i="4"/>
  <c r="G81" i="4"/>
  <c r="F81" i="4"/>
  <c r="H80" i="4"/>
  <c r="G80" i="4"/>
  <c r="F80" i="4"/>
  <c r="H79" i="4"/>
  <c r="G79" i="4"/>
  <c r="F79" i="4"/>
  <c r="H78" i="4"/>
  <c r="G78" i="4"/>
  <c r="F78" i="4"/>
  <c r="H77" i="4"/>
  <c r="G77" i="4"/>
  <c r="F77" i="4"/>
  <c r="H76" i="4"/>
  <c r="G76" i="4"/>
  <c r="F76" i="4"/>
  <c r="H75" i="4"/>
  <c r="G75" i="4"/>
  <c r="F75" i="4"/>
  <c r="H74" i="4"/>
  <c r="G74" i="4"/>
  <c r="F74" i="4"/>
  <c r="H73" i="4"/>
  <c r="G73" i="4"/>
  <c r="F73" i="4"/>
  <c r="H72" i="4"/>
  <c r="G72" i="4"/>
  <c r="F72" i="4"/>
  <c r="H71" i="4"/>
  <c r="G71" i="4"/>
  <c r="F71" i="4"/>
  <c r="H70" i="4"/>
  <c r="G70" i="4"/>
  <c r="F70" i="4"/>
  <c r="H69" i="4"/>
  <c r="G69" i="4"/>
  <c r="F69" i="4"/>
  <c r="H68" i="4"/>
  <c r="G68" i="4"/>
  <c r="F68" i="4"/>
  <c r="H67" i="4"/>
  <c r="G67" i="4"/>
  <c r="F67" i="4"/>
  <c r="H66" i="4"/>
  <c r="G66" i="4"/>
  <c r="F66" i="4"/>
  <c r="H65" i="4"/>
  <c r="G65" i="4"/>
  <c r="F65" i="4"/>
  <c r="H64" i="4"/>
  <c r="G64" i="4"/>
  <c r="F64" i="4"/>
  <c r="H63" i="4"/>
  <c r="G63" i="4"/>
  <c r="F63" i="4"/>
  <c r="H62" i="4"/>
  <c r="G62" i="4"/>
  <c r="F62" i="4"/>
  <c r="H61" i="4"/>
  <c r="G61" i="4"/>
  <c r="F61" i="4"/>
  <c r="H60" i="4"/>
  <c r="G60" i="4"/>
  <c r="F60" i="4"/>
  <c r="H59" i="4"/>
  <c r="G59" i="4"/>
  <c r="F59" i="4"/>
  <c r="H58" i="4"/>
  <c r="G58" i="4"/>
  <c r="F58" i="4"/>
  <c r="AT96" i="4"/>
  <c r="AS96" i="4"/>
  <c r="AR96" i="4"/>
  <c r="AQ96" i="4"/>
  <c r="AP96" i="4"/>
  <c r="AO96" i="4"/>
  <c r="AN96" i="4"/>
  <c r="AM96" i="4"/>
  <c r="AL96" i="4"/>
  <c r="AK96" i="4"/>
  <c r="AJ96" i="4"/>
  <c r="AI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H96" i="4"/>
  <c r="G96" i="4"/>
  <c r="F96" i="4"/>
  <c r="AU97" i="4"/>
  <c r="AT97" i="4"/>
  <c r="AS97" i="4"/>
  <c r="AR97" i="4"/>
  <c r="AQ97" i="4"/>
  <c r="AP97" i="4"/>
  <c r="AO97" i="4"/>
  <c r="AN97" i="4"/>
  <c r="AM97" i="4"/>
  <c r="AL97" i="4"/>
  <c r="AK97" i="4"/>
  <c r="AJ97" i="4"/>
  <c r="AI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S97" i="4"/>
  <c r="R97" i="4"/>
  <c r="Q97" i="4"/>
  <c r="P97" i="4"/>
  <c r="O97" i="4"/>
  <c r="N97" i="4"/>
  <c r="M97" i="4"/>
  <c r="L97" i="4"/>
  <c r="K97" i="4"/>
  <c r="J97" i="4"/>
  <c r="I97" i="4"/>
  <c r="H97" i="4"/>
  <c r="G97" i="4"/>
  <c r="F97" i="4"/>
  <c r="AV98" i="4"/>
  <c r="AU98" i="4"/>
  <c r="AT98" i="4"/>
  <c r="AS98" i="4"/>
  <c r="AR98" i="4"/>
  <c r="AQ98" i="4"/>
  <c r="AP98" i="4"/>
  <c r="AO98" i="4"/>
  <c r="AN98" i="4"/>
  <c r="AM98" i="4"/>
  <c r="AL98" i="4"/>
  <c r="AK98" i="4"/>
  <c r="AJ98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K99" i="4"/>
  <c r="AJ99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K100" i="4"/>
  <c r="AJ100" i="4"/>
  <c r="AY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K101" i="4"/>
  <c r="AJ101" i="4"/>
  <c r="AZ102" i="4"/>
  <c r="AY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K102" i="4"/>
  <c r="AJ102" i="4"/>
  <c r="BA103" i="4"/>
  <c r="AZ103" i="4"/>
  <c r="AY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K103" i="4"/>
  <c r="AJ103" i="4"/>
  <c r="BB104" i="4"/>
  <c r="BA104" i="4"/>
  <c r="AZ104" i="4"/>
  <c r="AY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K104" i="4"/>
  <c r="AJ104" i="4"/>
  <c r="BC105" i="4"/>
  <c r="BB105" i="4"/>
  <c r="BA105" i="4"/>
  <c r="AZ105" i="4"/>
  <c r="AY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K105" i="4"/>
  <c r="AJ105" i="4"/>
  <c r="BD106" i="4"/>
  <c r="BC106" i="4"/>
  <c r="BB106" i="4"/>
  <c r="BA106" i="4"/>
  <c r="AZ106" i="4"/>
  <c r="AY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K106" i="4"/>
  <c r="AJ106" i="4"/>
  <c r="BE107" i="4"/>
  <c r="BD107" i="4"/>
  <c r="BC107" i="4"/>
  <c r="BB107" i="4"/>
  <c r="BA107" i="4"/>
  <c r="AZ107" i="4"/>
  <c r="AY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K107" i="4"/>
  <c r="AJ107" i="4"/>
  <c r="BF108" i="4"/>
  <c r="BE108" i="4"/>
  <c r="BD108" i="4"/>
  <c r="BC108" i="4"/>
  <c r="BB108" i="4"/>
  <c r="BA108" i="4"/>
  <c r="AZ108" i="4"/>
  <c r="AY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K108" i="4"/>
  <c r="AJ108" i="4"/>
  <c r="AI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AI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S106" i="4"/>
  <c r="R106" i="4"/>
  <c r="Q106" i="4"/>
  <c r="P106" i="4"/>
  <c r="O106" i="4"/>
  <c r="N106" i="4"/>
  <c r="M106" i="4"/>
  <c r="L106" i="4"/>
  <c r="K106" i="4"/>
  <c r="J106" i="4"/>
  <c r="I106" i="4"/>
  <c r="H106" i="4"/>
  <c r="G106" i="4"/>
  <c r="F106" i="4"/>
  <c r="AI105" i="4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S105" i="4"/>
  <c r="R105" i="4"/>
  <c r="Q105" i="4"/>
  <c r="P105" i="4"/>
  <c r="O105" i="4"/>
  <c r="N105" i="4"/>
  <c r="M105" i="4"/>
  <c r="L105" i="4"/>
  <c r="K105" i="4"/>
  <c r="J105" i="4"/>
  <c r="I105" i="4"/>
  <c r="H105" i="4"/>
  <c r="G105" i="4"/>
  <c r="F105" i="4"/>
  <c r="AI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U104" i="4"/>
  <c r="T104" i="4"/>
  <c r="S104" i="4"/>
  <c r="R104" i="4"/>
  <c r="Q104" i="4"/>
  <c r="P104" i="4"/>
  <c r="O104" i="4"/>
  <c r="N104" i="4"/>
  <c r="M104" i="4"/>
  <c r="L104" i="4"/>
  <c r="K104" i="4"/>
  <c r="J104" i="4"/>
  <c r="I104" i="4"/>
  <c r="H104" i="4"/>
  <c r="G104" i="4"/>
  <c r="F104" i="4"/>
  <c r="AI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S103" i="4"/>
  <c r="R103" i="4"/>
  <c r="Q103" i="4"/>
  <c r="P103" i="4"/>
  <c r="O103" i="4"/>
  <c r="N103" i="4"/>
  <c r="M103" i="4"/>
  <c r="L103" i="4"/>
  <c r="K103" i="4"/>
  <c r="J103" i="4"/>
  <c r="I103" i="4"/>
  <c r="H103" i="4"/>
  <c r="G103" i="4"/>
  <c r="F103" i="4"/>
  <c r="AI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U102" i="4"/>
  <c r="T102" i="4"/>
  <c r="S102" i="4"/>
  <c r="R102" i="4"/>
  <c r="Q102" i="4"/>
  <c r="P102" i="4"/>
  <c r="O102" i="4"/>
  <c r="N102" i="4"/>
  <c r="M102" i="4"/>
  <c r="L102" i="4"/>
  <c r="K102" i="4"/>
  <c r="J102" i="4"/>
  <c r="I102" i="4"/>
  <c r="H102" i="4"/>
  <c r="G102" i="4"/>
  <c r="F102" i="4"/>
  <c r="AI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S101" i="4"/>
  <c r="R101" i="4"/>
  <c r="Q101" i="4"/>
  <c r="P101" i="4"/>
  <c r="O101" i="4"/>
  <c r="N101" i="4"/>
  <c r="M101" i="4"/>
  <c r="L101" i="4"/>
  <c r="K101" i="4"/>
  <c r="J101" i="4"/>
  <c r="I101" i="4"/>
  <c r="H101" i="4"/>
  <c r="G101" i="4"/>
  <c r="F101" i="4"/>
  <c r="AI100" i="4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S100" i="4"/>
  <c r="R100" i="4"/>
  <c r="Q100" i="4"/>
  <c r="P100" i="4"/>
  <c r="O100" i="4"/>
  <c r="N100" i="4"/>
  <c r="M100" i="4"/>
  <c r="L100" i="4"/>
  <c r="K100" i="4"/>
  <c r="J100" i="4"/>
  <c r="I100" i="4"/>
  <c r="H100" i="4"/>
  <c r="G100" i="4"/>
  <c r="F100" i="4"/>
  <c r="AI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S99" i="4"/>
  <c r="R99" i="4"/>
  <c r="Q99" i="4"/>
  <c r="P99" i="4"/>
  <c r="O99" i="4"/>
  <c r="N99" i="4"/>
  <c r="M99" i="4"/>
  <c r="L99" i="4"/>
  <c r="K99" i="4"/>
  <c r="J99" i="4"/>
  <c r="I99" i="4"/>
  <c r="H99" i="4"/>
  <c r="G99" i="4"/>
  <c r="F99" i="4"/>
  <c r="AI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S98" i="4"/>
  <c r="R98" i="4"/>
  <c r="Q98" i="4"/>
  <c r="P98" i="4"/>
  <c r="O98" i="4"/>
  <c r="N98" i="4"/>
  <c r="M98" i="4"/>
  <c r="L98" i="4"/>
  <c r="K98" i="4"/>
  <c r="J98" i="4"/>
  <c r="I98" i="4"/>
  <c r="H98" i="4"/>
  <c r="G98" i="4"/>
  <c r="F98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D57" i="4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56" i="4"/>
  <c r="B8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11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9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7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6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C4" i="4"/>
  <c r="BD3" i="4"/>
  <c r="BC3" i="4"/>
  <c r="BB3" i="4"/>
  <c r="BA3" i="4"/>
  <c r="AZ3" i="4"/>
  <c r="AY3" i="4"/>
  <c r="AX3" i="4"/>
  <c r="AW3" i="4"/>
  <c r="AV3" i="4"/>
  <c r="AU3" i="4"/>
  <c r="AT3" i="4"/>
  <c r="AS3" i="4"/>
  <c r="AR3" i="4"/>
  <c r="AQ3" i="4"/>
  <c r="AP3" i="4"/>
  <c r="AO3" i="4"/>
  <c r="AN3" i="4"/>
  <c r="AM3" i="4"/>
  <c r="AL3" i="4"/>
  <c r="AK3" i="4"/>
  <c r="AJ3" i="4"/>
  <c r="AI3" i="4"/>
  <c r="AH3" i="4"/>
  <c r="AG3" i="4"/>
  <c r="AF3" i="4"/>
  <c r="AE3" i="4"/>
  <c r="AD3" i="4"/>
  <c r="AC3" i="4"/>
  <c r="AB3" i="4"/>
  <c r="AA3" i="4"/>
  <c r="Z3" i="4"/>
  <c r="Y3" i="4"/>
  <c r="X3" i="4"/>
  <c r="W3" i="4"/>
  <c r="V3" i="4"/>
  <c r="U3" i="4"/>
  <c r="T3" i="4"/>
  <c r="S3" i="4"/>
  <c r="R3" i="4"/>
  <c r="Q3" i="4"/>
  <c r="P3" i="4"/>
  <c r="O3" i="4"/>
  <c r="N3" i="4"/>
  <c r="M3" i="4"/>
  <c r="L3" i="4"/>
  <c r="K3" i="4"/>
  <c r="J3" i="4"/>
  <c r="I3" i="4"/>
  <c r="H3" i="4"/>
  <c r="G3" i="4"/>
  <c r="F3" i="4"/>
  <c r="E3" i="4"/>
  <c r="D3" i="4"/>
  <c r="C3" i="4"/>
  <c r="BD2" i="4"/>
  <c r="BC2" i="4"/>
  <c r="BB2" i="4"/>
  <c r="BA2" i="4"/>
  <c r="AZ2" i="4"/>
  <c r="AY2" i="4"/>
  <c r="AX2" i="4"/>
  <c r="AW2" i="4"/>
  <c r="AV2" i="4"/>
  <c r="AU2" i="4"/>
  <c r="AT2" i="4"/>
  <c r="AS2" i="4"/>
  <c r="AR2" i="4"/>
  <c r="AQ2" i="4"/>
  <c r="AP2" i="4"/>
  <c r="AO2" i="4"/>
  <c r="AN2" i="4"/>
  <c r="AM2" i="4"/>
  <c r="AL2" i="4"/>
  <c r="AK2" i="4"/>
  <c r="AJ2" i="4"/>
  <c r="AI2" i="4"/>
  <c r="AH2" i="4"/>
  <c r="AG2" i="4"/>
  <c r="AF2" i="4"/>
  <c r="AE2" i="4"/>
  <c r="AD2" i="4"/>
  <c r="AC2" i="4"/>
  <c r="AB2" i="4"/>
  <c r="AA2" i="4"/>
  <c r="Z2" i="4"/>
  <c r="Y2" i="4"/>
  <c r="X2" i="4"/>
  <c r="W2" i="4"/>
  <c r="V2" i="4"/>
  <c r="U2" i="4"/>
  <c r="T2" i="4"/>
  <c r="S2" i="4"/>
  <c r="R2" i="4"/>
  <c r="Q2" i="4"/>
  <c r="P2" i="4"/>
  <c r="O2" i="4"/>
  <c r="N2" i="4"/>
  <c r="M2" i="4"/>
  <c r="L2" i="4"/>
  <c r="K2" i="4"/>
  <c r="J2" i="4"/>
  <c r="I2" i="4"/>
  <c r="H2" i="4"/>
  <c r="G2" i="4"/>
  <c r="F2" i="4"/>
  <c r="E2" i="4"/>
  <c r="D2" i="4"/>
  <c r="C2" i="4"/>
  <c r="B4" i="4"/>
  <c r="B3" i="4"/>
  <c r="B2" i="4"/>
  <c r="BC1" i="4"/>
  <c r="BB1" i="4"/>
  <c r="BA1" i="4"/>
  <c r="AZ1" i="4"/>
  <c r="AY1" i="4"/>
  <c r="AX1" i="4"/>
  <c r="AW1" i="4"/>
  <c r="AV1" i="4"/>
  <c r="AU1" i="4"/>
  <c r="AT1" i="4"/>
  <c r="AS1" i="4"/>
  <c r="AR1" i="4"/>
  <c r="AQ1" i="4"/>
  <c r="AP1" i="4"/>
  <c r="AO1" i="4"/>
  <c r="AN1" i="4"/>
  <c r="AM1" i="4"/>
  <c r="AL1" i="4"/>
  <c r="AK1" i="4"/>
  <c r="AJ1" i="4"/>
  <c r="AI1" i="4"/>
  <c r="AH1" i="4"/>
  <c r="AG1" i="4"/>
  <c r="AF1" i="4"/>
  <c r="AE1" i="4"/>
  <c r="AD1" i="4"/>
  <c r="AC1" i="4"/>
  <c r="AB1" i="4"/>
  <c r="AA1" i="4"/>
  <c r="Z1" i="4"/>
  <c r="Y1" i="4"/>
  <c r="X1" i="4"/>
  <c r="W1" i="4"/>
  <c r="V1" i="4"/>
  <c r="U1" i="4"/>
  <c r="T1" i="4"/>
  <c r="S1" i="4"/>
  <c r="R1" i="4"/>
  <c r="Q1" i="4"/>
  <c r="P1" i="4"/>
  <c r="O1" i="4"/>
  <c r="N1" i="4"/>
  <c r="M1" i="4"/>
  <c r="L1" i="4"/>
  <c r="K1" i="4"/>
  <c r="J1" i="4"/>
  <c r="I1" i="4"/>
  <c r="H1" i="4"/>
  <c r="G1" i="4"/>
  <c r="F1" i="4"/>
  <c r="E1" i="4"/>
  <c r="D1" i="4"/>
  <c r="C1" i="4"/>
  <c r="B1" i="4"/>
</calcChain>
</file>

<file path=xl/sharedStrings.xml><?xml version="1.0" encoding="utf-8"?>
<sst xmlns="http://schemas.openxmlformats.org/spreadsheetml/2006/main" count="468" uniqueCount="153">
  <si>
    <t>conv1_0.6</t>
  </si>
  <si>
    <t>maxpool_0.6</t>
  </si>
  <si>
    <t>layer1.0.conv1_0.6</t>
  </si>
  <si>
    <t>layer1.0.conv2_0.6</t>
  </si>
  <si>
    <t>layer1.0.conv3_0.6</t>
  </si>
  <si>
    <t>layer1.0.downsample.0_0.6</t>
  </si>
  <si>
    <t>layer1.1.conv1_0.6</t>
  </si>
  <si>
    <t>layer1.1.conv2_0.6</t>
  </si>
  <si>
    <t>layer1.1.conv3_0.6</t>
  </si>
  <si>
    <t>layer1.2.conv1_0.6</t>
  </si>
  <si>
    <t>layer1.2.conv2_0.6</t>
  </si>
  <si>
    <t>layer1.2.conv3_0.6</t>
  </si>
  <si>
    <t>layer2.0.conv1_0.6</t>
  </si>
  <si>
    <t>layer2.0.conv2_0.6</t>
  </si>
  <si>
    <t>layer2.0.conv3_0.6</t>
  </si>
  <si>
    <t>layer2.0.downsample.0_0.6</t>
  </si>
  <si>
    <t>layer2.1.conv1_0.6</t>
  </si>
  <si>
    <t>layer2.1.conv2_0.6</t>
  </si>
  <si>
    <t>layer2.1.conv3_0.6</t>
  </si>
  <si>
    <t>layer2.2.conv1_0.6</t>
  </si>
  <si>
    <t>layer2.2.conv2_0.6</t>
  </si>
  <si>
    <t>layer2.2.conv3_0.6</t>
  </si>
  <si>
    <t>layer2.3.conv1_0.6</t>
  </si>
  <si>
    <t>layer2.3.conv2_0.6</t>
  </si>
  <si>
    <t>layer2.3.conv3_0.6</t>
  </si>
  <si>
    <t>layer3.0.conv1_0.6</t>
  </si>
  <si>
    <t>layer3.0.conv2_0.6</t>
  </si>
  <si>
    <t>layer3.0.conv3_0.6</t>
  </si>
  <si>
    <t>layer3.0.downsample.0_0.6</t>
  </si>
  <si>
    <t>layer3.1.conv1_0.6</t>
  </si>
  <si>
    <t>layer3.1.conv2_0.6</t>
  </si>
  <si>
    <t>layer3.1.conv3_0.6</t>
  </si>
  <si>
    <t>layer3.2.conv1_0.6</t>
  </si>
  <si>
    <t>layer3.2.conv2_0.6</t>
  </si>
  <si>
    <t>layer3.2.conv3_0.6</t>
  </si>
  <si>
    <t>layer3.3.conv1_0.6</t>
  </si>
  <si>
    <t>layer3.3.conv2_0.6</t>
  </si>
  <si>
    <t>layer3.3.conv3_0.6</t>
  </si>
  <si>
    <t>layer3.4.conv1_0.6</t>
  </si>
  <si>
    <t>layer3.4.conv2_0.6</t>
  </si>
  <si>
    <t>layer3.4.conv3_0.6</t>
  </si>
  <si>
    <t>layer3.5.conv1_0.6</t>
  </si>
  <si>
    <t>layer3.5.conv2_0.6</t>
  </si>
  <si>
    <t>layer3.5.conv3_0.6</t>
  </si>
  <si>
    <t>layer4.0.conv1_0.6</t>
  </si>
  <si>
    <t>layer4.0.conv2_0.6</t>
  </si>
  <si>
    <t>layer4.0.conv3_0.6</t>
  </si>
  <si>
    <t>layer4.0.downsample.0_0.6</t>
  </si>
  <si>
    <t>layer4.1.conv1_0.6</t>
  </si>
  <si>
    <t>layer4.1.conv2_0.6</t>
  </si>
  <si>
    <t>layer4.1.conv3_0.6</t>
  </si>
  <si>
    <t>layer4.2.conv1_0.6</t>
  </si>
  <si>
    <t>layer4.2.conv2_0.6</t>
  </si>
  <si>
    <t>layer4.2.conv3_0.6</t>
  </si>
  <si>
    <t>Deer</t>
  </si>
  <si>
    <t>Horse</t>
  </si>
  <si>
    <t>Zebra</t>
  </si>
  <si>
    <t>Overall corelation</t>
  </si>
  <si>
    <t>Max Corelation layer</t>
  </si>
  <si>
    <t>Affects 2 classes</t>
  </si>
  <si>
    <t/>
  </si>
  <si>
    <t>layer1.1.conv2</t>
  </si>
  <si>
    <t>layer1.1.conv3</t>
  </si>
  <si>
    <t>layer2.0.conv2</t>
  </si>
  <si>
    <t>layer2.1.conv3</t>
  </si>
  <si>
    <t>layer2.2.conv1</t>
  </si>
  <si>
    <t>layer2.2.conv3</t>
  </si>
  <si>
    <t>layer2.3.conv1</t>
  </si>
  <si>
    <t>layer2.3.conv2</t>
  </si>
  <si>
    <t>layer3.0.conv2</t>
  </si>
  <si>
    <t>layer3.0.conv3</t>
  </si>
  <si>
    <t>layer3.0.downsample.0</t>
  </si>
  <si>
    <t>layer3.1.conv1</t>
  </si>
  <si>
    <t>layer3.1.conv3</t>
  </si>
  <si>
    <t>layer3.2.conv1</t>
  </si>
  <si>
    <t>layer3.3.conv1</t>
  </si>
  <si>
    <t>layer3.3.conv2</t>
  </si>
  <si>
    <t>layer3.3.conv3</t>
  </si>
  <si>
    <t>layer3.4.conv1</t>
  </si>
  <si>
    <t>layer3.4.conv2</t>
  </si>
  <si>
    <t>layer3.4.conv3</t>
  </si>
  <si>
    <t>layer3.5.conv3</t>
  </si>
  <si>
    <t>layer4.0.conv1</t>
  </si>
  <si>
    <t>layer4.0.conv2</t>
  </si>
  <si>
    <t>layer4.0.conv3</t>
  </si>
  <si>
    <t>layer4.0.downsample.0</t>
  </si>
  <si>
    <t>layer4.1.conv1</t>
  </si>
  <si>
    <t>layer4.1.conv2</t>
  </si>
  <si>
    <t>layer4.1.conv3</t>
  </si>
  <si>
    <t>layer4.2.conv1</t>
  </si>
  <si>
    <t>layer4.2.conv2</t>
  </si>
  <si>
    <t>/mnt/sdd/basics/resnet50/loss_resnet50_layer4.1.conv3_0.6.pth</t>
  </si>
  <si>
    <t>/mnt/sdd/basics/resnet50/loss_resnet50_layer4.1.conv3_0.7.pth</t>
  </si>
  <si>
    <t>/mnt/sdd/basics/resnet50/loss_resnet50_layer4.1.conv3_0.8.pth</t>
  </si>
  <si>
    <t>/mnt/sdd/basics/resnet50/loss_resnet50_layer4.1.conv3_0.9.pth</t>
  </si>
  <si>
    <t>/mnt/sdd/basics/resnet50/loss_resnet50_layer4.1.conv3_1.0.pth</t>
  </si>
  <si>
    <t>Most important layre</t>
  </si>
  <si>
    <t>/mnt/sdd/basics/resnet50/loss_resnet50_layer4.2.conv1_0.0.pth</t>
  </si>
  <si>
    <t>/mnt/sdd/basics/resnet50/loss_resnet50_layer4.2.conv1_0.1.pth</t>
  </si>
  <si>
    <t>/mnt/sdd/basics/resnet50/loss_resnet50_layer4.2.conv1_0.2.pth</t>
  </si>
  <si>
    <t>/mnt/sdd/basics/resnet50/loss_resnet50_layer4.2.conv1_0.3.pth</t>
  </si>
  <si>
    <t>/mnt/sdd/basics/resnet50/loss_resnet50_layer4.2.conv1_0.4.pth</t>
  </si>
  <si>
    <t>/mnt/sdd/basics/resnet50/loss_resnet50_layer4.2.conv1_0.5.pth</t>
  </si>
  <si>
    <t>/mnt/sdd/basics/resnet50/loss_resnet50_layer4.2.conv1_0.6.pth</t>
  </si>
  <si>
    <t>/mnt/sdd/basics/resnet50/loss_resnet50_layer4.2.conv1_0.7.pth</t>
  </si>
  <si>
    <t>/mnt/sdd/basics/resnet50/loss_resnet50_layer4.2.conv1_0.8.pth</t>
  </si>
  <si>
    <t>/mnt/sdd/basics/resnet50/loss_resnet50_layer4.2.conv1_0.9.pth</t>
  </si>
  <si>
    <t>/mnt/sdd/basics/resnet50/loss_resnet50_layer4.2.conv1_1.0.pth</t>
  </si>
  <si>
    <t>/mnt/sdd/basics/resnet50/loss_resnet50_layer4.2.conv2_0.0.pth</t>
  </si>
  <si>
    <t>/mnt/sdd/basics/resnet50/loss_resnet50_layer4.2.conv2_0.1.pth</t>
  </si>
  <si>
    <t>/mnt/sdd/basics/resnet50/loss_resnet50_layer4.2.conv2_0.2.pth</t>
  </si>
  <si>
    <t>/mnt/sdd/basics/resnet50/loss_resnet50_layer4.2.conv2_0.3.pth</t>
  </si>
  <si>
    <t>/mnt/sdd/basics/resnet50/loss_resnet50_layer4.2.conv2_0.4.pth</t>
  </si>
  <si>
    <t>/mnt/sdd/basics/resnet50/loss_resnet50_layer4.2.conv2_0.5.pth</t>
  </si>
  <si>
    <t>/mnt/sdd/basics/resnet50/loss_resnet50_layer4.2.conv2_0.6.pth</t>
  </si>
  <si>
    <t>/mnt/sdd/basics/resnet50/loss_resnet50_layer4.2.conv2_0.7.pth</t>
  </si>
  <si>
    <t>/mnt/sdd/basics/resnet50/loss_resnet50_layer4.2.conv2_0.8.pth</t>
  </si>
  <si>
    <t>/mnt/sdd/basics/resnet50/loss_resnet50_layer4.2.conv2_0.9.pth</t>
  </si>
  <si>
    <t>/mnt/sdd/basics/resnet50/loss_resnet50_layer4.2.conv2_1.0.pth</t>
  </si>
  <si>
    <t>/mnt/sdd/basics/resnet50/loss_resnet50_layer4.2.conv3_0.0.pth</t>
  </si>
  <si>
    <t>/mnt/sdd/basics/resnet50/loss_resnet50_layer4.2.conv3_0.1.pth</t>
  </si>
  <si>
    <t>/mnt/sdd/basics/resnet50/loss_resnet50_layer4.2.conv3_0.2.pth</t>
  </si>
  <si>
    <t>/mnt/sdd/basics/resnet50/loss_resnet50_layer4.2.conv3_0.3.pth</t>
  </si>
  <si>
    <t>/mnt/sdd/basics/resnet50/loss_resnet50_layer4.2.conv3_0.4.pth</t>
  </si>
  <si>
    <t>/mnt/sdd/basics/resnet50/loss_resnet50_layer4.2.conv3_0.5.pth</t>
  </si>
  <si>
    <t>Layers4.1</t>
  </si>
  <si>
    <t>Layerw4.2</t>
  </si>
  <si>
    <t>conv1</t>
  </si>
  <si>
    <t>maxpool</t>
  </si>
  <si>
    <t>layer1.0.conv1</t>
  </si>
  <si>
    <t>layer1.0.conv2</t>
  </si>
  <si>
    <t>layer1.0.conv3</t>
  </si>
  <si>
    <t>layer1.0.downsample.0</t>
  </si>
  <si>
    <t>layer1.1.conv1</t>
  </si>
  <si>
    <t>layer1.2.conv1</t>
  </si>
  <si>
    <t>layer1.2.conv2</t>
  </si>
  <si>
    <t>layer1.2.conv3</t>
  </si>
  <si>
    <t>layer2.0.conv1</t>
  </si>
  <si>
    <t>layer2.0.conv3</t>
  </si>
  <si>
    <t>layer2.0.downsample.0</t>
  </si>
  <si>
    <t>layer2.1.conv1</t>
  </si>
  <si>
    <t>layer2.1.conv2</t>
  </si>
  <si>
    <t>layer2.2.conv2</t>
  </si>
  <si>
    <t>layer2.3.conv3</t>
  </si>
  <si>
    <t>layer3.0.conv1</t>
  </si>
  <si>
    <t>layer3.1.conv2</t>
  </si>
  <si>
    <t>layer3.2.conv2</t>
  </si>
  <si>
    <t>layer3.2.conv3</t>
  </si>
  <si>
    <t>layer3.5.conv1</t>
  </si>
  <si>
    <t>layer3.5.conv2</t>
  </si>
  <si>
    <t>layer4.2.conv3</t>
  </si>
  <si>
    <t>Layer Name</t>
  </si>
  <si>
    <t>Layer
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</si>
</sst>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3" fillId="0" borderId="0" xfId="0" applyNumberFormat="1" applyFont="1"/>
    <xf numFmtId="0" fontId="0" fillId="2" borderId="2" xfId="0" applyFill="1" applyBorder="1" applyAlignment="1">
      <alignment horizontal="center" vertical="center"/>
    </xf>
    <xf numFmtId="0" fontId="0" fillId="2" borderId="3" xfId="0" applyFill="1" applyBorder="1"/>
    <xf numFmtId="0" fontId="0" fillId="2" borderId="4" xfId="0" applyFill="1" applyBorder="1" applyAlignment="1">
      <alignment wrapText="1"/>
    </xf>
    <xf numFmtId="0" fontId="0" fillId="2" borderId="4" xfId="0" applyFill="1" applyBorder="1"/>
    <xf numFmtId="0" fontId="0" fillId="2" borderId="5" xfId="0" applyFill="1" applyBorder="1"/>
    <xf numFmtId="0" fontId="1" fillId="2" borderId="6" xfId="0" applyFont="1" applyFill="1" applyBorder="1" applyAlignment="1">
      <alignment horizontal="center" vertical="top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top"/>
    </xf>
    <xf numFmtId="164" fontId="3" fillId="2" borderId="0" xfId="0" applyNumberFormat="1" applyFont="1" applyFill="1" applyBorder="1" applyAlignment="1">
      <alignment horizontal="center" vertical="center"/>
    </xf>
    <xf numFmtId="164" fontId="3" fillId="2" borderId="7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top"/>
    </xf>
    <xf numFmtId="0" fontId="0" fillId="2" borderId="10" xfId="0" applyFill="1" applyBorder="1"/>
    <xf numFmtId="164" fontId="3" fillId="2" borderId="10" xfId="0" applyNumberFormat="1" applyFont="1" applyFill="1" applyBorder="1" applyAlignment="1">
      <alignment horizontal="center" vertical="center"/>
    </xf>
    <xf numFmtId="164" fontId="3" fillId="2" borderId="1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5">
    <dxf>
      <fill>
        <patternFill>
          <bgColor rgb="FF00B050"/>
        </patternFill>
      </fill>
    </dxf>
    <dxf>
      <fill>
        <patternFill>
          <bgColor theme="5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76939-FD7A-4490-AD6B-A59D0940C5AC}">
  <dimension ref="A1:BF109"/>
  <sheetViews>
    <sheetView tabSelected="1" topLeftCell="J42" zoomScale="55" zoomScaleNormal="55" workbookViewId="0">
      <selection activeCell="U52" sqref="U52"/>
    </sheetView>
  </sheetViews>
  <sheetFormatPr defaultRowHeight="14.5" x14ac:dyDescent="0.35"/>
  <cols>
    <col min="2" max="3" width="21" bestFit="1" customWidth="1"/>
    <col min="51" max="53" width="16.7265625" bestFit="1" customWidth="1"/>
  </cols>
  <sheetData>
    <row r="1" spans="1:56" x14ac:dyDescent="0.35">
      <c r="B1" t="str">
        <f>Class_0!B1</f>
        <v>conv1_0.6</v>
      </c>
      <c r="C1" t="str">
        <f>Class_0!C1</f>
        <v>maxpool_0.6</v>
      </c>
      <c r="D1" t="str">
        <f>Class_0!D1</f>
        <v>layer1.0.conv1_0.6</v>
      </c>
      <c r="E1" t="str">
        <f>Class_0!E1</f>
        <v>layer1.0.conv2_0.6</v>
      </c>
      <c r="F1" t="str">
        <f>Class_0!F1</f>
        <v>layer1.0.conv3_0.6</v>
      </c>
      <c r="G1" t="str">
        <f>Class_0!G1</f>
        <v>layer1.0.downsample.0_0.6</v>
      </c>
      <c r="H1" t="str">
        <f>Class_0!H1</f>
        <v>layer1.1.conv1_0.6</v>
      </c>
      <c r="I1" t="str">
        <f>Class_0!I1</f>
        <v>layer1.1.conv2_0.6</v>
      </c>
      <c r="J1" t="str">
        <f>Class_0!J1</f>
        <v>layer1.1.conv3_0.6</v>
      </c>
      <c r="K1" t="str">
        <f>Class_0!K1</f>
        <v>layer1.2.conv1_0.6</v>
      </c>
      <c r="L1" t="str">
        <f>Class_0!L1</f>
        <v>layer1.2.conv2_0.6</v>
      </c>
      <c r="M1" t="str">
        <f>Class_0!M1</f>
        <v>layer1.2.conv3_0.6</v>
      </c>
      <c r="N1" t="str">
        <f>Class_0!N1</f>
        <v>layer2.0.conv1_0.6</v>
      </c>
      <c r="O1" t="str">
        <f>Class_0!O1</f>
        <v>layer2.0.conv2_0.6</v>
      </c>
      <c r="P1" t="str">
        <f>Class_0!P1</f>
        <v>layer2.0.conv3_0.6</v>
      </c>
      <c r="Q1" t="str">
        <f>Class_0!Q1</f>
        <v>layer2.0.downsample.0_0.6</v>
      </c>
      <c r="R1" t="str">
        <f>Class_0!R1</f>
        <v>layer2.1.conv1_0.6</v>
      </c>
      <c r="S1" t="str">
        <f>Class_0!S1</f>
        <v>layer2.1.conv2_0.6</v>
      </c>
      <c r="T1" t="str">
        <f>Class_0!T1</f>
        <v>layer2.1.conv3_0.6</v>
      </c>
      <c r="U1" t="str">
        <f>Class_0!U1</f>
        <v>layer2.2.conv1_0.6</v>
      </c>
      <c r="V1" t="str">
        <f>Class_0!V1</f>
        <v>layer2.2.conv2_0.6</v>
      </c>
      <c r="W1" t="str">
        <f>Class_0!W1</f>
        <v>layer2.2.conv3_0.6</v>
      </c>
      <c r="X1" t="str">
        <f>Class_0!X1</f>
        <v>layer2.3.conv1_0.6</v>
      </c>
      <c r="Y1" t="str">
        <f>Class_0!Y1</f>
        <v>layer2.3.conv2_0.6</v>
      </c>
      <c r="Z1" t="str">
        <f>Class_0!Z1</f>
        <v>layer2.3.conv3_0.6</v>
      </c>
      <c r="AA1" t="str">
        <f>Class_0!AA1</f>
        <v>layer3.0.conv1_0.6</v>
      </c>
      <c r="AB1" t="str">
        <f>Class_0!AB1</f>
        <v>layer3.0.conv2_0.6</v>
      </c>
      <c r="AC1" t="str">
        <f>Class_0!AC1</f>
        <v>layer3.0.conv3_0.6</v>
      </c>
      <c r="AD1" t="str">
        <f>Class_0!AD1</f>
        <v>layer3.0.downsample.0_0.6</v>
      </c>
      <c r="AE1" t="str">
        <f>Class_0!AE1</f>
        <v>layer3.1.conv1_0.6</v>
      </c>
      <c r="AF1" t="str">
        <f>Class_0!AF1</f>
        <v>layer3.1.conv2_0.6</v>
      </c>
      <c r="AG1" t="str">
        <f>Class_0!AG1</f>
        <v>layer3.1.conv3_0.6</v>
      </c>
      <c r="AH1" t="str">
        <f>Class_0!AH1</f>
        <v>layer3.2.conv1_0.6</v>
      </c>
      <c r="AI1" t="str">
        <f>Class_0!AI1</f>
        <v>layer3.2.conv2_0.6</v>
      </c>
      <c r="AJ1" t="str">
        <f>Class_0!AJ1</f>
        <v>layer3.2.conv3_0.6</v>
      </c>
      <c r="AK1" t="str">
        <f>Class_0!AK1</f>
        <v>layer3.3.conv1_0.6</v>
      </c>
      <c r="AL1" t="str">
        <f>Class_0!AL1</f>
        <v>layer3.3.conv2_0.6</v>
      </c>
      <c r="AM1" t="str">
        <f>Class_0!AM1</f>
        <v>layer3.3.conv3_0.6</v>
      </c>
      <c r="AN1" t="str">
        <f>Class_0!AN1</f>
        <v>layer3.4.conv1_0.6</v>
      </c>
      <c r="AO1" t="str">
        <f>Class_0!AO1</f>
        <v>layer3.4.conv2_0.6</v>
      </c>
      <c r="AP1" t="str">
        <f>Class_0!AP1</f>
        <v>layer3.4.conv3_0.6</v>
      </c>
      <c r="AQ1" t="str">
        <f>Class_0!AQ1</f>
        <v>layer3.5.conv1_0.6</v>
      </c>
      <c r="AR1" t="str">
        <f>Class_0!AR1</f>
        <v>layer3.5.conv2_0.6</v>
      </c>
      <c r="AS1" t="str">
        <f>Class_0!AS1</f>
        <v>layer3.5.conv3_0.6</v>
      </c>
      <c r="AT1" t="str">
        <f>Class_0!AT1</f>
        <v>layer4.0.conv1_0.6</v>
      </c>
      <c r="AU1" t="str">
        <f>Class_0!AU1</f>
        <v>layer4.0.conv2_0.6</v>
      </c>
      <c r="AV1" t="str">
        <f>Class_0!AV1</f>
        <v>layer4.0.conv3_0.6</v>
      </c>
      <c r="AW1" t="str">
        <f>Class_0!AW1</f>
        <v>layer4.0.downsample.0_0.6</v>
      </c>
      <c r="AX1" t="str">
        <f>Class_0!AX1</f>
        <v>layer4.1.conv1_0.6</v>
      </c>
      <c r="AY1" t="str">
        <f>Class_0!AY1</f>
        <v>layer4.1.conv2_0.6</v>
      </c>
      <c r="AZ1" t="str">
        <f>Class_0!AZ1</f>
        <v>layer4.1.conv3_0.6</v>
      </c>
      <c r="BA1" t="str">
        <f>Class_0!BA1</f>
        <v>layer4.2.conv1_0.6</v>
      </c>
      <c r="BB1" t="str">
        <f>Class_0!BB1</f>
        <v>layer4.2.conv2_0.6</v>
      </c>
      <c r="BC1" t="str">
        <f>Class_0!BC1</f>
        <v>layer4.2.conv3_0.6</v>
      </c>
    </row>
    <row r="2" spans="1:56" x14ac:dyDescent="0.35">
      <c r="A2" t="s">
        <v>54</v>
      </c>
      <c r="B2">
        <f>Class_0!B55</f>
        <v>-3.9205289864607543E-2</v>
      </c>
      <c r="C2">
        <f>Class_0!C55</f>
        <v>-0.20959560481224809</v>
      </c>
      <c r="D2">
        <f>Class_0!D55</f>
        <v>-0.1673342218938704</v>
      </c>
      <c r="E2">
        <f>Class_0!E55</f>
        <v>-9.8309841373890164E-2</v>
      </c>
      <c r="F2">
        <f>Class_0!F55</f>
        <v>-6.052918724082515E-2</v>
      </c>
      <c r="G2">
        <f>Class_0!G55</f>
        <v>-0.15163553369947641</v>
      </c>
      <c r="H2">
        <f>Class_0!H55</f>
        <v>-1.2772903830628891E-2</v>
      </c>
      <c r="I2">
        <f>Class_0!I55</f>
        <v>0.10498254722503279</v>
      </c>
      <c r="J2">
        <f>Class_0!J55</f>
        <v>8.6574543561016765E-2</v>
      </c>
      <c r="K2">
        <f>Class_0!K55</f>
        <v>-7.533378168605627E-2</v>
      </c>
      <c r="L2">
        <f>Class_0!L55</f>
        <v>-0.10181265361790599</v>
      </c>
      <c r="M2">
        <f>Class_0!M55</f>
        <v>5.8940101498602647E-2</v>
      </c>
      <c r="N2">
        <f>Class_0!N55</f>
        <v>0.12537859299552909</v>
      </c>
      <c r="O2">
        <f>Class_0!O55</f>
        <v>0.15540151441137201</v>
      </c>
      <c r="P2">
        <f>Class_0!P55</f>
        <v>7.5032321922522016E-2</v>
      </c>
      <c r="Q2">
        <f>Class_0!Q55</f>
        <v>-0.10357434500119531</v>
      </c>
      <c r="R2">
        <f>Class_0!R55</f>
        <v>-3.045821529356375E-2</v>
      </c>
      <c r="S2">
        <f>Class_0!S55</f>
        <v>-2.830569098078789E-2</v>
      </c>
      <c r="T2">
        <f>Class_0!T55</f>
        <v>3.9943603255472172E-2</v>
      </c>
      <c r="U2">
        <f>Class_0!U55</f>
        <v>1.4919963856912461E-2</v>
      </c>
      <c r="V2">
        <f>Class_0!V55</f>
        <v>-1.7361048567772371E-2</v>
      </c>
      <c r="W2">
        <f>Class_0!W55</f>
        <v>0.1348923116212096</v>
      </c>
      <c r="X2">
        <f>Class_0!X55</f>
        <v>9.3868001856713554E-2</v>
      </c>
      <c r="Y2">
        <f>Class_0!Y55</f>
        <v>1.8907885139653659E-2</v>
      </c>
      <c r="Z2">
        <f>Class_0!Z55</f>
        <v>5.8519158052760152E-2</v>
      </c>
      <c r="AA2">
        <f>Class_0!AA55</f>
        <v>-7.7467091417019587E-2</v>
      </c>
      <c r="AB2">
        <f>Class_0!AB55</f>
        <v>0.1114093859505364</v>
      </c>
      <c r="AC2">
        <f>Class_0!AC55</f>
        <v>0.12646169411383251</v>
      </c>
      <c r="AD2">
        <f>Class_0!AD55</f>
        <v>0.13027680619091631</v>
      </c>
      <c r="AE2">
        <f>Class_0!AE55</f>
        <v>0.1021002901160966</v>
      </c>
      <c r="AF2">
        <f>Class_0!AF55</f>
        <v>-5.4600960981041639E-3</v>
      </c>
      <c r="AG2">
        <f>Class_0!AG55</f>
        <v>8.8007125545544462E-2</v>
      </c>
      <c r="AH2">
        <f>Class_0!AH55</f>
        <v>7.8506709526683982E-2</v>
      </c>
      <c r="AI2">
        <f>Class_0!AI55</f>
        <v>0.1262984093901853</v>
      </c>
      <c r="AJ2">
        <f>Class_0!AJ55</f>
        <v>0.19013831717683</v>
      </c>
      <c r="AK2">
        <f>Class_0!AK55</f>
        <v>9.1968497330287197E-2</v>
      </c>
      <c r="AL2">
        <f>Class_0!AL55</f>
        <v>4.6970050037940213E-2</v>
      </c>
      <c r="AM2">
        <f>Class_0!AM55</f>
        <v>0.13171131723969101</v>
      </c>
      <c r="AN2">
        <f>Class_0!AN55</f>
        <v>2.8635916211361839E-2</v>
      </c>
      <c r="AO2">
        <f>Class_0!AO55</f>
        <v>0.1554139787457629</v>
      </c>
      <c r="AP2">
        <f>Class_0!AP55</f>
        <v>0.17510697573940631</v>
      </c>
      <c r="AQ2">
        <f>Class_0!AQ55</f>
        <v>0.15997553931122241</v>
      </c>
      <c r="AR2">
        <f>Class_0!AR55</f>
        <v>8.8849110666397016E-2</v>
      </c>
      <c r="AS2">
        <f>Class_0!AS55</f>
        <v>8.3415716832728928E-2</v>
      </c>
      <c r="AT2">
        <f>Class_0!AT55</f>
        <v>0.15859639517031879</v>
      </c>
      <c r="AU2">
        <f>Class_0!AU55</f>
        <v>0.16885817343265869</v>
      </c>
      <c r="AV2">
        <f>Class_0!AV55</f>
        <v>0.16240057842138439</v>
      </c>
      <c r="AW2">
        <f>Class_0!AW55</f>
        <v>0.23755604846746151</v>
      </c>
      <c r="AX2">
        <f>Class_0!AX55</f>
        <v>0.20371099774738191</v>
      </c>
      <c r="AY2">
        <f>Class_0!AY55</f>
        <v>0.22525944455094549</v>
      </c>
      <c r="AZ2">
        <f>Class_0!AZ55</f>
        <v>0.17846821579833819</v>
      </c>
      <c r="BA2">
        <f>Class_0!BA55</f>
        <v>0.27265719348865142</v>
      </c>
      <c r="BB2">
        <f>Class_0!BB55</f>
        <v>0.46501711782900529</v>
      </c>
      <c r="BC2">
        <f>Class_0!BC55</f>
        <v>1</v>
      </c>
      <c r="BD2">
        <f>Class_0!BD55</f>
        <v>0</v>
      </c>
    </row>
    <row r="3" spans="1:56" x14ac:dyDescent="0.35">
      <c r="A3" t="s">
        <v>55</v>
      </c>
      <c r="B3">
        <f>Class_1!B55</f>
        <v>-2.875620169138554E-3</v>
      </c>
      <c r="C3">
        <f>Class_1!C55</f>
        <v>-7.7112841478440025E-2</v>
      </c>
      <c r="D3">
        <f>Class_1!D55</f>
        <v>-0.1345796973032079</v>
      </c>
      <c r="E3">
        <f>Class_1!E55</f>
        <v>-5.9678946667919279E-2</v>
      </c>
      <c r="F3">
        <f>Class_1!F55</f>
        <v>-0.16027267316236959</v>
      </c>
      <c r="G3">
        <f>Class_1!G55</f>
        <v>-4.306052812430556E-2</v>
      </c>
      <c r="H3">
        <f>Class_1!H55</f>
        <v>1.8656805232473109E-2</v>
      </c>
      <c r="I3">
        <f>Class_1!I55</f>
        <v>3.5208800998951642E-2</v>
      </c>
      <c r="J3">
        <f>Class_1!J55</f>
        <v>3.7408355533243093E-2</v>
      </c>
      <c r="K3">
        <f>Class_1!K55</f>
        <v>-3.807488203827742E-2</v>
      </c>
      <c r="L3">
        <f>Class_1!L55</f>
        <v>-5.8606914566430732E-2</v>
      </c>
      <c r="M3">
        <f>Class_1!M55</f>
        <v>-8.7285287743320603E-2</v>
      </c>
      <c r="N3">
        <f>Class_1!N55</f>
        <v>-4.486516237915144E-2</v>
      </c>
      <c r="O3">
        <f>Class_1!O55</f>
        <v>3.2097520601861869E-3</v>
      </c>
      <c r="P3">
        <f>Class_1!P55</f>
        <v>-5.376066942243958E-2</v>
      </c>
      <c r="Q3">
        <f>Class_1!Q55</f>
        <v>5.8536857231530973E-2</v>
      </c>
      <c r="R3">
        <f>Class_1!R55</f>
        <v>-7.0813725264993951E-2</v>
      </c>
      <c r="S3">
        <f>Class_1!S55</f>
        <v>3.565715476482343E-2</v>
      </c>
      <c r="T3">
        <f>Class_1!T55</f>
        <v>8.4387876509146184E-2</v>
      </c>
      <c r="U3">
        <f>Class_1!U55</f>
        <v>0.1139633216907899</v>
      </c>
      <c r="V3">
        <f>Class_1!V55</f>
        <v>0.2142117986936167</v>
      </c>
      <c r="W3">
        <f>Class_1!W55</f>
        <v>0.21123720506781021</v>
      </c>
      <c r="X3">
        <f>Class_1!X55</f>
        <v>0.13663370485443829</v>
      </c>
      <c r="Y3">
        <f>Class_1!Y55</f>
        <v>0.13772878037554301</v>
      </c>
      <c r="Z3">
        <f>Class_1!Z55</f>
        <v>-5.7978308235964879E-2</v>
      </c>
      <c r="AA3">
        <f>Class_1!AA55</f>
        <v>2.8986451125778811E-3</v>
      </c>
      <c r="AB3">
        <f>Class_1!AB55</f>
        <v>5.9265450245938718E-2</v>
      </c>
      <c r="AC3">
        <f>Class_1!AC55</f>
        <v>3.1094673211520759E-2</v>
      </c>
      <c r="AD3">
        <f>Class_1!AD55</f>
        <v>0.1072523003189309</v>
      </c>
      <c r="AE3">
        <f>Class_1!AE55</f>
        <v>0.18632074138621291</v>
      </c>
      <c r="AF3">
        <f>Class_1!AF55</f>
        <v>0.19220596082903191</v>
      </c>
      <c r="AG3">
        <f>Class_1!AG55</f>
        <v>0.15982311001231381</v>
      </c>
      <c r="AH3">
        <f>Class_1!AH55</f>
        <v>0.141097878912289</v>
      </c>
      <c r="AI3">
        <f>Class_1!AI55</f>
        <v>0.1513236997026933</v>
      </c>
      <c r="AJ3">
        <f>Class_1!AJ55</f>
        <v>0.12333612924439361</v>
      </c>
      <c r="AK3">
        <f>Class_1!AK55</f>
        <v>0.14753592582026431</v>
      </c>
      <c r="AL3">
        <f>Class_1!AL55</f>
        <v>0.17130798069110431</v>
      </c>
      <c r="AM3">
        <f>Class_1!AM55</f>
        <v>0.184556226248832</v>
      </c>
      <c r="AN3">
        <f>Class_1!AN55</f>
        <v>0.12951624364635461</v>
      </c>
      <c r="AO3">
        <f>Class_1!AO55</f>
        <v>0.18807317909541399</v>
      </c>
      <c r="AP3">
        <f>Class_1!AP55</f>
        <v>0.21808080388999551</v>
      </c>
      <c r="AQ3">
        <f>Class_1!AQ55</f>
        <v>0.19450433199596401</v>
      </c>
      <c r="AR3">
        <f>Class_1!AR55</f>
        <v>0.26942604400321502</v>
      </c>
      <c r="AS3">
        <f>Class_1!AS55</f>
        <v>0.38385665552037079</v>
      </c>
      <c r="AT3">
        <f>Class_1!AT55</f>
        <v>0.13430656450442921</v>
      </c>
      <c r="AU3">
        <f>Class_1!AU55</f>
        <v>0.23814245541837931</v>
      </c>
      <c r="AV3">
        <f>Class_1!AV55</f>
        <v>0.28073406316015942</v>
      </c>
      <c r="AW3">
        <f>Class_1!AW55</f>
        <v>0.29774672205629371</v>
      </c>
      <c r="AX3">
        <f>Class_1!AX55</f>
        <v>0.26924927027846679</v>
      </c>
      <c r="AY3">
        <f>Class_1!AY55</f>
        <v>0.50187263825676243</v>
      </c>
      <c r="AZ3">
        <f>Class_1!AZ55</f>
        <v>0.30854306363037148</v>
      </c>
      <c r="BA3">
        <f>Class_1!BA55</f>
        <v>0.34139029635630891</v>
      </c>
      <c r="BB3">
        <f>Class_1!BB55</f>
        <v>8.000804492912815E-2</v>
      </c>
      <c r="BC3">
        <f>Class_1!BC55</f>
        <v>1</v>
      </c>
      <c r="BD3">
        <f>Class_1!BD55</f>
        <v>0</v>
      </c>
    </row>
    <row r="4" spans="1:56" x14ac:dyDescent="0.35">
      <c r="A4" t="s">
        <v>56</v>
      </c>
      <c r="B4">
        <f>Class_2!B55</f>
        <v>-2.6175296724434E-2</v>
      </c>
      <c r="C4">
        <f>Class_2!C55</f>
        <v>8.1044982304721812E-3</v>
      </c>
      <c r="D4">
        <f>Class_2!D55</f>
        <v>-5.3679475141623863E-2</v>
      </c>
      <c r="E4">
        <f>Class_2!E55</f>
        <v>1.491784874712454E-2</v>
      </c>
      <c r="F4">
        <f>Class_2!F55</f>
        <v>7.6221649197339009E-2</v>
      </c>
      <c r="G4">
        <f>Class_2!G55</f>
        <v>1.099253578309402E-2</v>
      </c>
      <c r="H4">
        <f>Class_2!H55</f>
        <v>2.6656163883531141E-2</v>
      </c>
      <c r="I4">
        <f>Class_2!I55</f>
        <v>2.625153820569915E-2</v>
      </c>
      <c r="J4">
        <f>Class_2!J55</f>
        <v>7.6387098982720614E-2</v>
      </c>
      <c r="K4">
        <f>Class_2!K55</f>
        <v>3.0441313065081011E-2</v>
      </c>
      <c r="L4">
        <f>Class_2!L55</f>
        <v>-1.074700651280476E-2</v>
      </c>
      <c r="M4">
        <f>Class_2!M55</f>
        <v>0.16208968229828971</v>
      </c>
      <c r="N4">
        <f>Class_2!N55</f>
        <v>2.7916637763036909E-2</v>
      </c>
      <c r="O4">
        <f>Class_2!O55</f>
        <v>3.1995536970655207E-2</v>
      </c>
      <c r="P4">
        <f>Class_2!P55</f>
        <v>9.6836574506295181E-2</v>
      </c>
      <c r="Q4">
        <f>Class_2!Q55</f>
        <v>0.15586327731556979</v>
      </c>
      <c r="R4">
        <f>Class_2!R55</f>
        <v>9.2841805431843311E-2</v>
      </c>
      <c r="S4">
        <f>Class_2!S55</f>
        <v>0.110677976816858</v>
      </c>
      <c r="T4">
        <f>Class_2!T55</f>
        <v>0.11542460584614669</v>
      </c>
      <c r="U4">
        <f>Class_2!U55</f>
        <v>1.0792005263127751E-2</v>
      </c>
      <c r="V4">
        <f>Class_2!V55</f>
        <v>0.1296864859765462</v>
      </c>
      <c r="W4">
        <f>Class_2!W55</f>
        <v>0.1482769978731768</v>
      </c>
      <c r="X4">
        <f>Class_2!X55</f>
        <v>3.5321533662841027E-2</v>
      </c>
      <c r="Y4">
        <f>Class_2!Y55</f>
        <v>6.6243624831446288E-2</v>
      </c>
      <c r="Z4">
        <f>Class_2!Z55</f>
        <v>0.1006565594754916</v>
      </c>
      <c r="AA4">
        <f>Class_2!AA55</f>
        <v>0.19556774312417219</v>
      </c>
      <c r="AB4">
        <f>Class_2!AB55</f>
        <v>0.211289359095302</v>
      </c>
      <c r="AC4">
        <f>Class_2!AC55</f>
        <v>0.24633868751573121</v>
      </c>
      <c r="AD4">
        <f>Class_2!AD55</f>
        <v>0.25234821109867128</v>
      </c>
      <c r="AE4">
        <f>Class_2!AE55</f>
        <v>0.1225920451651227</v>
      </c>
      <c r="AF4">
        <f>Class_2!AF55</f>
        <v>0.15455385763189419</v>
      </c>
      <c r="AG4">
        <f>Class_2!AG55</f>
        <v>0.1904432170188064</v>
      </c>
      <c r="AH4">
        <f>Class_2!AH55</f>
        <v>3.7974863953095427E-2</v>
      </c>
      <c r="AI4">
        <f>Class_2!AI55</f>
        <v>-8.3604781198440489E-3</v>
      </c>
      <c r="AJ4">
        <f>Class_2!AJ55</f>
        <v>-1.8975632400012151E-2</v>
      </c>
      <c r="AK4">
        <f>Class_2!AK55</f>
        <v>0.1234981705272702</v>
      </c>
      <c r="AL4">
        <f>Class_2!AL55</f>
        <v>0.14327807148894939</v>
      </c>
      <c r="AM4">
        <f>Class_2!AM55</f>
        <v>0.13854610644784959</v>
      </c>
      <c r="AN4">
        <f>Class_2!AN55</f>
        <v>2.6091947536313921E-2</v>
      </c>
      <c r="AO4">
        <f>Class_2!AO55</f>
        <v>0.17375340946750881</v>
      </c>
      <c r="AP4">
        <f>Class_2!AP55</f>
        <v>0.1479559136532527</v>
      </c>
      <c r="AQ4">
        <f>Class_2!AQ55</f>
        <v>-6.312503013285356E-2</v>
      </c>
      <c r="AR4">
        <f>Class_2!AR55</f>
        <v>-3.6011752676771251E-2</v>
      </c>
      <c r="AS4">
        <f>Class_2!AS55</f>
        <v>0.12665057932279389</v>
      </c>
      <c r="AT4">
        <f>Class_2!AT55</f>
        <v>0.24256604064973919</v>
      </c>
      <c r="AU4">
        <f>Class_2!AU55</f>
        <v>0.1080952975276763</v>
      </c>
      <c r="AV4">
        <f>Class_2!AV55</f>
        <v>0.1739532198921443</v>
      </c>
      <c r="AW4">
        <f>Class_2!AW55</f>
        <v>0.37118190892857877</v>
      </c>
      <c r="AX4">
        <f>Class_2!AX55</f>
        <v>8.1312280633123499E-2</v>
      </c>
      <c r="AY4">
        <f>Class_2!AY55</f>
        <v>9.374671678220764E-2</v>
      </c>
      <c r="AZ4">
        <f>Class_2!AZ55</f>
        <v>0.48096220634474851</v>
      </c>
      <c r="BA4">
        <f>Class_2!BA55</f>
        <v>0.28402804744689419</v>
      </c>
      <c r="BB4">
        <f>Class_2!BB55</f>
        <v>0.43219471611330862</v>
      </c>
      <c r="BC4">
        <f>Class_2!BC55</f>
        <v>1</v>
      </c>
      <c r="BD4">
        <f>Class_2!BD55</f>
        <v>0</v>
      </c>
    </row>
    <row r="6" spans="1:56" x14ac:dyDescent="0.35">
      <c r="A6" t="s">
        <v>57</v>
      </c>
      <c r="B6">
        <f>MIN(B2:B4)</f>
        <v>-3.9205289864607543E-2</v>
      </c>
      <c r="C6">
        <f t="shared" ref="C6:R6" si="0">MIN(C2:C4)</f>
        <v>-0.20959560481224809</v>
      </c>
      <c r="D6">
        <f t="shared" si="0"/>
        <v>-0.1673342218938704</v>
      </c>
      <c r="E6">
        <f t="shared" si="0"/>
        <v>-9.8309841373890164E-2</v>
      </c>
      <c r="F6">
        <f t="shared" si="0"/>
        <v>-0.16027267316236959</v>
      </c>
      <c r="G6">
        <f t="shared" si="0"/>
        <v>-0.15163553369947641</v>
      </c>
      <c r="H6">
        <f t="shared" si="0"/>
        <v>-1.2772903830628891E-2</v>
      </c>
      <c r="I6">
        <f t="shared" si="0"/>
        <v>2.625153820569915E-2</v>
      </c>
      <c r="J6">
        <f t="shared" si="0"/>
        <v>3.7408355533243093E-2</v>
      </c>
      <c r="K6">
        <f t="shared" si="0"/>
        <v>-7.533378168605627E-2</v>
      </c>
      <c r="L6">
        <f t="shared" si="0"/>
        <v>-0.10181265361790599</v>
      </c>
      <c r="M6">
        <f t="shared" si="0"/>
        <v>-8.7285287743320603E-2</v>
      </c>
      <c r="N6">
        <f t="shared" si="0"/>
        <v>-4.486516237915144E-2</v>
      </c>
      <c r="O6">
        <f t="shared" si="0"/>
        <v>3.2097520601861869E-3</v>
      </c>
      <c r="P6">
        <f t="shared" si="0"/>
        <v>-5.376066942243958E-2</v>
      </c>
      <c r="Q6">
        <f t="shared" si="0"/>
        <v>-0.10357434500119531</v>
      </c>
      <c r="R6">
        <f t="shared" si="0"/>
        <v>-7.0813725264993951E-2</v>
      </c>
      <c r="S6">
        <f t="shared" ref="S6:BC6" si="1">MIN(S2:S4)</f>
        <v>-2.830569098078789E-2</v>
      </c>
      <c r="T6">
        <f t="shared" si="1"/>
        <v>3.9943603255472172E-2</v>
      </c>
      <c r="U6">
        <f t="shared" si="1"/>
        <v>1.0792005263127751E-2</v>
      </c>
      <c r="V6">
        <f t="shared" si="1"/>
        <v>-1.7361048567772371E-2</v>
      </c>
      <c r="W6">
        <f t="shared" si="1"/>
        <v>0.1348923116212096</v>
      </c>
      <c r="X6">
        <f t="shared" si="1"/>
        <v>3.5321533662841027E-2</v>
      </c>
      <c r="Y6">
        <f t="shared" si="1"/>
        <v>1.8907885139653659E-2</v>
      </c>
      <c r="Z6">
        <f t="shared" si="1"/>
        <v>-5.7978308235964879E-2</v>
      </c>
      <c r="AA6">
        <f t="shared" si="1"/>
        <v>-7.7467091417019587E-2</v>
      </c>
      <c r="AB6">
        <f t="shared" si="1"/>
        <v>5.9265450245938718E-2</v>
      </c>
      <c r="AC6">
        <f t="shared" si="1"/>
        <v>3.1094673211520759E-2</v>
      </c>
      <c r="AD6">
        <f t="shared" si="1"/>
        <v>0.1072523003189309</v>
      </c>
      <c r="AE6">
        <f t="shared" si="1"/>
        <v>0.1021002901160966</v>
      </c>
      <c r="AF6">
        <f t="shared" si="1"/>
        <v>-5.4600960981041639E-3</v>
      </c>
      <c r="AG6">
        <f t="shared" si="1"/>
        <v>8.8007125545544462E-2</v>
      </c>
      <c r="AH6">
        <f t="shared" si="1"/>
        <v>3.7974863953095427E-2</v>
      </c>
      <c r="AI6">
        <f t="shared" si="1"/>
        <v>-8.3604781198440489E-3</v>
      </c>
      <c r="AJ6">
        <f t="shared" si="1"/>
        <v>-1.8975632400012151E-2</v>
      </c>
      <c r="AK6">
        <f t="shared" si="1"/>
        <v>9.1968497330287197E-2</v>
      </c>
      <c r="AL6">
        <f t="shared" si="1"/>
        <v>4.6970050037940213E-2</v>
      </c>
      <c r="AM6">
        <f t="shared" si="1"/>
        <v>0.13171131723969101</v>
      </c>
      <c r="AN6">
        <f t="shared" si="1"/>
        <v>2.6091947536313921E-2</v>
      </c>
      <c r="AO6">
        <f t="shared" si="1"/>
        <v>0.1554139787457629</v>
      </c>
      <c r="AP6">
        <f t="shared" si="1"/>
        <v>0.1479559136532527</v>
      </c>
      <c r="AQ6">
        <f t="shared" si="1"/>
        <v>-6.312503013285356E-2</v>
      </c>
      <c r="AR6">
        <f t="shared" si="1"/>
        <v>-3.6011752676771251E-2</v>
      </c>
      <c r="AS6">
        <f t="shared" si="1"/>
        <v>8.3415716832728928E-2</v>
      </c>
      <c r="AT6">
        <f t="shared" si="1"/>
        <v>0.13430656450442921</v>
      </c>
      <c r="AU6">
        <f t="shared" si="1"/>
        <v>0.1080952975276763</v>
      </c>
      <c r="AV6">
        <f t="shared" si="1"/>
        <v>0.16240057842138439</v>
      </c>
      <c r="AW6">
        <f t="shared" si="1"/>
        <v>0.23755604846746151</v>
      </c>
      <c r="AX6">
        <f t="shared" si="1"/>
        <v>8.1312280633123499E-2</v>
      </c>
      <c r="AY6">
        <f t="shared" si="1"/>
        <v>9.374671678220764E-2</v>
      </c>
      <c r="AZ6">
        <f t="shared" si="1"/>
        <v>0.17846821579833819</v>
      </c>
      <c r="BA6">
        <f t="shared" si="1"/>
        <v>0.27265719348865142</v>
      </c>
      <c r="BB6">
        <f t="shared" si="1"/>
        <v>8.000804492912815E-2</v>
      </c>
      <c r="BC6">
        <f t="shared" si="1"/>
        <v>1</v>
      </c>
    </row>
    <row r="7" spans="1:56" x14ac:dyDescent="0.35">
      <c r="B7" t="b">
        <f t="shared" ref="B7:R7" si="2">IF(AND(B2&gt;0,B3&gt;0,B4&gt;0),TRUE,FALSE)</f>
        <v>0</v>
      </c>
      <c r="C7" t="b">
        <f t="shared" si="2"/>
        <v>0</v>
      </c>
      <c r="D7" t="b">
        <f t="shared" si="2"/>
        <v>0</v>
      </c>
      <c r="E7" t="b">
        <f t="shared" si="2"/>
        <v>0</v>
      </c>
      <c r="F7" t="b">
        <f t="shared" si="2"/>
        <v>0</v>
      </c>
      <c r="G7" t="b">
        <f t="shared" si="2"/>
        <v>0</v>
      </c>
      <c r="H7" t="b">
        <f t="shared" si="2"/>
        <v>0</v>
      </c>
      <c r="I7" t="b">
        <f t="shared" si="2"/>
        <v>1</v>
      </c>
      <c r="J7" t="b">
        <f t="shared" si="2"/>
        <v>1</v>
      </c>
      <c r="K7" t="b">
        <f t="shared" si="2"/>
        <v>0</v>
      </c>
      <c r="L7" t="b">
        <f t="shared" si="2"/>
        <v>0</v>
      </c>
      <c r="M7" t="b">
        <f t="shared" si="2"/>
        <v>0</v>
      </c>
      <c r="N7" t="b">
        <f t="shared" si="2"/>
        <v>0</v>
      </c>
      <c r="O7" t="b">
        <f t="shared" si="2"/>
        <v>1</v>
      </c>
      <c r="P7" t="b">
        <f t="shared" si="2"/>
        <v>0</v>
      </c>
      <c r="Q7" t="b">
        <f t="shared" si="2"/>
        <v>0</v>
      </c>
      <c r="R7" t="b">
        <f t="shared" si="2"/>
        <v>0</v>
      </c>
      <c r="S7" t="b">
        <f t="shared" ref="S7:BC7" si="3">IF(AND(S2&gt;0,S3&gt;0,S4&gt;0),TRUE,FALSE)</f>
        <v>0</v>
      </c>
      <c r="T7" t="b">
        <f t="shared" si="3"/>
        <v>1</v>
      </c>
      <c r="U7" t="b">
        <f t="shared" si="3"/>
        <v>1</v>
      </c>
      <c r="V7" t="b">
        <f t="shared" si="3"/>
        <v>0</v>
      </c>
      <c r="W7" t="b">
        <f t="shared" si="3"/>
        <v>1</v>
      </c>
      <c r="X7" t="b">
        <f t="shared" si="3"/>
        <v>1</v>
      </c>
      <c r="Y7" t="b">
        <f t="shared" si="3"/>
        <v>1</v>
      </c>
      <c r="Z7" t="b">
        <f t="shared" si="3"/>
        <v>0</v>
      </c>
      <c r="AA7" t="b">
        <f t="shared" si="3"/>
        <v>0</v>
      </c>
      <c r="AB7" t="b">
        <f t="shared" si="3"/>
        <v>1</v>
      </c>
      <c r="AC7" t="b">
        <f t="shared" si="3"/>
        <v>1</v>
      </c>
      <c r="AD7" t="b">
        <f t="shared" si="3"/>
        <v>1</v>
      </c>
      <c r="AE7" t="b">
        <f t="shared" si="3"/>
        <v>1</v>
      </c>
      <c r="AF7" t="b">
        <f t="shared" si="3"/>
        <v>0</v>
      </c>
      <c r="AG7" t="b">
        <f t="shared" si="3"/>
        <v>1</v>
      </c>
      <c r="AH7" t="b">
        <f t="shared" si="3"/>
        <v>1</v>
      </c>
      <c r="AI7" t="b">
        <f t="shared" si="3"/>
        <v>0</v>
      </c>
      <c r="AJ7" t="b">
        <f t="shared" si="3"/>
        <v>0</v>
      </c>
      <c r="AK7" t="b">
        <f t="shared" si="3"/>
        <v>1</v>
      </c>
      <c r="AL7" t="b">
        <f t="shared" si="3"/>
        <v>1</v>
      </c>
      <c r="AM7" t="b">
        <f t="shared" si="3"/>
        <v>1</v>
      </c>
      <c r="AN7" t="b">
        <f t="shared" si="3"/>
        <v>1</v>
      </c>
      <c r="AO7" t="b">
        <f t="shared" si="3"/>
        <v>1</v>
      </c>
      <c r="AP7" t="b">
        <f t="shared" si="3"/>
        <v>1</v>
      </c>
      <c r="AQ7" t="b">
        <f t="shared" si="3"/>
        <v>0</v>
      </c>
      <c r="AR7" t="b">
        <f t="shared" si="3"/>
        <v>0</v>
      </c>
      <c r="AS7" t="b">
        <f t="shared" si="3"/>
        <v>1</v>
      </c>
      <c r="AT7" t="b">
        <f t="shared" si="3"/>
        <v>1</v>
      </c>
      <c r="AU7" t="b">
        <f t="shared" si="3"/>
        <v>1</v>
      </c>
      <c r="AV7" t="b">
        <f t="shared" si="3"/>
        <v>1</v>
      </c>
      <c r="AW7" t="b">
        <f t="shared" si="3"/>
        <v>1</v>
      </c>
      <c r="AX7" t="b">
        <f t="shared" si="3"/>
        <v>1</v>
      </c>
      <c r="AY7" t="b">
        <f t="shared" si="3"/>
        <v>1</v>
      </c>
      <c r="AZ7" t="b">
        <f t="shared" si="3"/>
        <v>1</v>
      </c>
      <c r="BA7" t="b">
        <f t="shared" si="3"/>
        <v>1</v>
      </c>
      <c r="BB7" t="b">
        <f t="shared" si="3"/>
        <v>1</v>
      </c>
      <c r="BC7" t="b">
        <f t="shared" si="3"/>
        <v>1</v>
      </c>
    </row>
    <row r="8" spans="1:56" x14ac:dyDescent="0.35">
      <c r="A8" t="s">
        <v>58</v>
      </c>
      <c r="B8">
        <f>MAX(B6:BB6)</f>
        <v>0.27265719348865142</v>
      </c>
    </row>
    <row r="9" spans="1:56" x14ac:dyDescent="0.35">
      <c r="A9" t="s">
        <v>59</v>
      </c>
      <c r="B9" t="b">
        <f>IF(OR(AND(B2&gt;0,B3&gt;0), AND(B2&gt;0,B4&gt;0), AND(B3&gt;0,B4&gt;0)), TRUE, FALSE)</f>
        <v>0</v>
      </c>
      <c r="C9" t="b">
        <f t="shared" ref="C9:BB9" si="4">IF(OR(AND(C2&gt;0,C3&gt;0), AND(C2&gt;0,C4&gt;0), AND(C3&gt;0,C4&gt;0)), TRUE, FALSE)</f>
        <v>0</v>
      </c>
      <c r="D9" t="b">
        <f t="shared" si="4"/>
        <v>0</v>
      </c>
      <c r="E9" t="b">
        <f t="shared" si="4"/>
        <v>0</v>
      </c>
      <c r="F9" t="b">
        <f t="shared" si="4"/>
        <v>0</v>
      </c>
      <c r="G9" t="b">
        <f t="shared" si="4"/>
        <v>0</v>
      </c>
      <c r="H9" t="b">
        <f t="shared" si="4"/>
        <v>1</v>
      </c>
      <c r="I9" t="b">
        <f t="shared" si="4"/>
        <v>1</v>
      </c>
      <c r="J9" t="b">
        <f t="shared" si="4"/>
        <v>1</v>
      </c>
      <c r="K9" t="b">
        <f t="shared" si="4"/>
        <v>0</v>
      </c>
      <c r="L9" t="b">
        <f t="shared" si="4"/>
        <v>0</v>
      </c>
      <c r="M9" t="b">
        <f t="shared" si="4"/>
        <v>1</v>
      </c>
      <c r="N9" t="b">
        <f t="shared" si="4"/>
        <v>1</v>
      </c>
      <c r="O9" t="b">
        <f t="shared" si="4"/>
        <v>1</v>
      </c>
      <c r="P9" t="b">
        <f t="shared" si="4"/>
        <v>1</v>
      </c>
      <c r="Q9" t="b">
        <f t="shared" si="4"/>
        <v>1</v>
      </c>
      <c r="R9" t="b">
        <f t="shared" si="4"/>
        <v>0</v>
      </c>
      <c r="S9" t="b">
        <f t="shared" si="4"/>
        <v>1</v>
      </c>
      <c r="T9" t="b">
        <f t="shared" si="4"/>
        <v>1</v>
      </c>
      <c r="U9" t="b">
        <f t="shared" si="4"/>
        <v>1</v>
      </c>
      <c r="V9" t="b">
        <f t="shared" si="4"/>
        <v>1</v>
      </c>
      <c r="W9" t="b">
        <f t="shared" si="4"/>
        <v>1</v>
      </c>
      <c r="X9" t="b">
        <f t="shared" si="4"/>
        <v>1</v>
      </c>
      <c r="Y9" t="b">
        <f t="shared" si="4"/>
        <v>1</v>
      </c>
      <c r="Z9" t="b">
        <f t="shared" si="4"/>
        <v>1</v>
      </c>
      <c r="AA9" t="b">
        <f t="shared" si="4"/>
        <v>1</v>
      </c>
      <c r="AB9" t="b">
        <f t="shared" si="4"/>
        <v>1</v>
      </c>
      <c r="AC9" t="b">
        <f t="shared" si="4"/>
        <v>1</v>
      </c>
      <c r="AD9" t="b">
        <f t="shared" si="4"/>
        <v>1</v>
      </c>
      <c r="AE9" t="b">
        <f t="shared" si="4"/>
        <v>1</v>
      </c>
      <c r="AF9" t="b">
        <f t="shared" si="4"/>
        <v>1</v>
      </c>
      <c r="AG9" t="b">
        <f t="shared" si="4"/>
        <v>1</v>
      </c>
      <c r="AH9" t="b">
        <f t="shared" si="4"/>
        <v>1</v>
      </c>
      <c r="AI9" t="b">
        <f t="shared" si="4"/>
        <v>1</v>
      </c>
      <c r="AJ9" t="b">
        <f t="shared" si="4"/>
        <v>1</v>
      </c>
      <c r="AK9" t="b">
        <f t="shared" si="4"/>
        <v>1</v>
      </c>
      <c r="AL9" t="b">
        <f t="shared" si="4"/>
        <v>1</v>
      </c>
      <c r="AM9" t="b">
        <f t="shared" si="4"/>
        <v>1</v>
      </c>
      <c r="AN9" t="b">
        <f t="shared" si="4"/>
        <v>1</v>
      </c>
      <c r="AO9" t="b">
        <f t="shared" si="4"/>
        <v>1</v>
      </c>
      <c r="AP9" t="b">
        <f t="shared" si="4"/>
        <v>1</v>
      </c>
      <c r="AQ9" t="b">
        <f t="shared" si="4"/>
        <v>1</v>
      </c>
      <c r="AR9" t="b">
        <f t="shared" si="4"/>
        <v>1</v>
      </c>
      <c r="AS9" t="b">
        <f t="shared" si="4"/>
        <v>1</v>
      </c>
      <c r="AT9" t="b">
        <f t="shared" si="4"/>
        <v>1</v>
      </c>
      <c r="AU9" t="b">
        <f t="shared" si="4"/>
        <v>1</v>
      </c>
      <c r="AV9" t="b">
        <f t="shared" si="4"/>
        <v>1</v>
      </c>
      <c r="AW9" t="b">
        <f t="shared" si="4"/>
        <v>1</v>
      </c>
      <c r="AX9" t="b">
        <f t="shared" si="4"/>
        <v>1</v>
      </c>
      <c r="AY9" t="b">
        <f t="shared" si="4"/>
        <v>1</v>
      </c>
      <c r="AZ9" t="b">
        <f t="shared" si="4"/>
        <v>1</v>
      </c>
      <c r="BA9" t="b">
        <f t="shared" si="4"/>
        <v>1</v>
      </c>
      <c r="BB9" t="b">
        <f t="shared" si="4"/>
        <v>1</v>
      </c>
    </row>
    <row r="11" spans="1:56" x14ac:dyDescent="0.35">
      <c r="B11" t="str">
        <f>IF(B7=TRUE,B1,"")</f>
        <v/>
      </c>
      <c r="C11" t="str">
        <f t="shared" ref="C11:BB11" si="5">IF(C7=TRUE,C1,"")</f>
        <v/>
      </c>
      <c r="D11" t="str">
        <f t="shared" si="5"/>
        <v/>
      </c>
      <c r="E11" t="str">
        <f t="shared" si="5"/>
        <v/>
      </c>
      <c r="F11" t="str">
        <f t="shared" si="5"/>
        <v/>
      </c>
      <c r="G11" t="str">
        <f t="shared" si="5"/>
        <v/>
      </c>
      <c r="H11" t="str">
        <f t="shared" si="5"/>
        <v/>
      </c>
      <c r="I11" t="str">
        <f t="shared" si="5"/>
        <v>layer1.1.conv2_0.6</v>
      </c>
      <c r="J11" t="str">
        <f t="shared" si="5"/>
        <v>layer1.1.conv3_0.6</v>
      </c>
      <c r="K11" t="str">
        <f t="shared" si="5"/>
        <v/>
      </c>
      <c r="L11" t="str">
        <f t="shared" si="5"/>
        <v/>
      </c>
      <c r="M11" t="str">
        <f t="shared" si="5"/>
        <v/>
      </c>
      <c r="N11" t="str">
        <f t="shared" si="5"/>
        <v/>
      </c>
      <c r="O11" t="str">
        <f t="shared" si="5"/>
        <v>layer2.0.conv2_0.6</v>
      </c>
      <c r="P11" t="str">
        <f t="shared" si="5"/>
        <v/>
      </c>
      <c r="Q11" t="str">
        <f t="shared" si="5"/>
        <v/>
      </c>
      <c r="R11" t="str">
        <f t="shared" si="5"/>
        <v/>
      </c>
      <c r="S11" t="str">
        <f t="shared" si="5"/>
        <v/>
      </c>
      <c r="T11" t="str">
        <f t="shared" si="5"/>
        <v>layer2.1.conv3_0.6</v>
      </c>
      <c r="U11" t="str">
        <f t="shared" si="5"/>
        <v>layer2.2.conv1_0.6</v>
      </c>
      <c r="V11" t="str">
        <f t="shared" si="5"/>
        <v/>
      </c>
      <c r="W11" t="str">
        <f t="shared" si="5"/>
        <v>layer2.2.conv3_0.6</v>
      </c>
      <c r="X11" t="str">
        <f t="shared" si="5"/>
        <v>layer2.3.conv1_0.6</v>
      </c>
      <c r="Y11" t="str">
        <f t="shared" si="5"/>
        <v>layer2.3.conv2_0.6</v>
      </c>
      <c r="Z11" t="str">
        <f t="shared" si="5"/>
        <v/>
      </c>
      <c r="AA11" t="str">
        <f t="shared" si="5"/>
        <v/>
      </c>
      <c r="AB11" t="str">
        <f t="shared" si="5"/>
        <v>layer3.0.conv2_0.6</v>
      </c>
      <c r="AC11" t="str">
        <f t="shared" si="5"/>
        <v>layer3.0.conv3_0.6</v>
      </c>
      <c r="AD11" t="str">
        <f t="shared" si="5"/>
        <v>layer3.0.downsample.0_0.6</v>
      </c>
      <c r="AE11" t="str">
        <f t="shared" si="5"/>
        <v>layer3.1.conv1_0.6</v>
      </c>
      <c r="AF11" t="str">
        <f t="shared" si="5"/>
        <v/>
      </c>
      <c r="AG11" t="str">
        <f t="shared" si="5"/>
        <v>layer3.1.conv3_0.6</v>
      </c>
      <c r="AH11" t="str">
        <f t="shared" si="5"/>
        <v>layer3.2.conv1_0.6</v>
      </c>
      <c r="AI11" t="str">
        <f t="shared" si="5"/>
        <v/>
      </c>
      <c r="AJ11" t="str">
        <f t="shared" si="5"/>
        <v/>
      </c>
      <c r="AK11" t="str">
        <f t="shared" si="5"/>
        <v>layer3.3.conv1_0.6</v>
      </c>
      <c r="AL11" t="str">
        <f t="shared" si="5"/>
        <v>layer3.3.conv2_0.6</v>
      </c>
      <c r="AM11" t="str">
        <f t="shared" si="5"/>
        <v>layer3.3.conv3_0.6</v>
      </c>
      <c r="AN11" t="str">
        <f t="shared" si="5"/>
        <v>layer3.4.conv1_0.6</v>
      </c>
      <c r="AO11" t="str">
        <f t="shared" si="5"/>
        <v>layer3.4.conv2_0.6</v>
      </c>
      <c r="AP11" t="str">
        <f t="shared" si="5"/>
        <v>layer3.4.conv3_0.6</v>
      </c>
      <c r="AQ11" t="str">
        <f t="shared" si="5"/>
        <v/>
      </c>
      <c r="AR11" t="str">
        <f t="shared" si="5"/>
        <v/>
      </c>
      <c r="AS11" t="str">
        <f t="shared" si="5"/>
        <v>layer3.5.conv3_0.6</v>
      </c>
      <c r="AT11" t="str">
        <f t="shared" si="5"/>
        <v>layer4.0.conv1_0.6</v>
      </c>
      <c r="AU11" t="str">
        <f t="shared" si="5"/>
        <v>layer4.0.conv2_0.6</v>
      </c>
      <c r="AV11" t="str">
        <f t="shared" si="5"/>
        <v>layer4.0.conv3_0.6</v>
      </c>
      <c r="AW11" t="str">
        <f t="shared" si="5"/>
        <v>layer4.0.downsample.0_0.6</v>
      </c>
      <c r="AX11" t="str">
        <f t="shared" si="5"/>
        <v>layer4.1.conv1_0.6</v>
      </c>
      <c r="AY11" t="str">
        <f t="shared" si="5"/>
        <v>layer4.1.conv2_0.6</v>
      </c>
      <c r="AZ11" t="str">
        <f t="shared" si="5"/>
        <v>layer4.1.conv3_0.6</v>
      </c>
      <c r="BA11" t="str">
        <f t="shared" si="5"/>
        <v>layer4.2.conv1_0.6</v>
      </c>
      <c r="BB11" t="str">
        <f t="shared" si="5"/>
        <v>layer4.2.conv2_0.6</v>
      </c>
    </row>
    <row r="14" spans="1:56" x14ac:dyDescent="0.35">
      <c r="B14" t="s">
        <v>61</v>
      </c>
    </row>
    <row r="15" spans="1:56" x14ac:dyDescent="0.35">
      <c r="B15" t="s">
        <v>62</v>
      </c>
    </row>
    <row r="16" spans="1:56" x14ac:dyDescent="0.35">
      <c r="B16" t="s">
        <v>63</v>
      </c>
      <c r="Z16" t="s">
        <v>60</v>
      </c>
    </row>
    <row r="17" spans="2:26" x14ac:dyDescent="0.35">
      <c r="B17" t="s">
        <v>64</v>
      </c>
      <c r="Z17" t="s">
        <v>60</v>
      </c>
    </row>
    <row r="18" spans="2:26" x14ac:dyDescent="0.35">
      <c r="B18" t="s">
        <v>65</v>
      </c>
      <c r="Z18" t="s">
        <v>60</v>
      </c>
    </row>
    <row r="19" spans="2:26" x14ac:dyDescent="0.35">
      <c r="B19" t="s">
        <v>66</v>
      </c>
      <c r="Z19" t="s">
        <v>60</v>
      </c>
    </row>
    <row r="20" spans="2:26" x14ac:dyDescent="0.35">
      <c r="B20" t="s">
        <v>67</v>
      </c>
      <c r="Z20" t="s">
        <v>60</v>
      </c>
    </row>
    <row r="21" spans="2:26" x14ac:dyDescent="0.35">
      <c r="B21" t="s">
        <v>68</v>
      </c>
      <c r="Z21" t="s">
        <v>60</v>
      </c>
    </row>
    <row r="22" spans="2:26" x14ac:dyDescent="0.35">
      <c r="B22" t="s">
        <v>69</v>
      </c>
      <c r="Z22" t="s">
        <v>60</v>
      </c>
    </row>
    <row r="23" spans="2:26" x14ac:dyDescent="0.35">
      <c r="B23" t="s">
        <v>70</v>
      </c>
    </row>
    <row r="24" spans="2:26" x14ac:dyDescent="0.35">
      <c r="B24" t="s">
        <v>71</v>
      </c>
    </row>
    <row r="25" spans="2:26" x14ac:dyDescent="0.35">
      <c r="B25" t="s">
        <v>72</v>
      </c>
      <c r="Z25" t="s">
        <v>60</v>
      </c>
    </row>
    <row r="26" spans="2:26" x14ac:dyDescent="0.35">
      <c r="B26" t="s">
        <v>73</v>
      </c>
      <c r="Z26" t="s">
        <v>60</v>
      </c>
    </row>
    <row r="27" spans="2:26" x14ac:dyDescent="0.35">
      <c r="B27" t="s">
        <v>74</v>
      </c>
      <c r="Z27" t="s">
        <v>60</v>
      </c>
    </row>
    <row r="28" spans="2:26" x14ac:dyDescent="0.35">
      <c r="B28" t="s">
        <v>75</v>
      </c>
      <c r="Z28" t="s">
        <v>60</v>
      </c>
    </row>
    <row r="29" spans="2:26" x14ac:dyDescent="0.35">
      <c r="B29" t="s">
        <v>76</v>
      </c>
    </row>
    <row r="30" spans="2:26" x14ac:dyDescent="0.35">
      <c r="B30" t="s">
        <v>77</v>
      </c>
      <c r="Z30" t="s">
        <v>60</v>
      </c>
    </row>
    <row r="31" spans="2:26" x14ac:dyDescent="0.35">
      <c r="B31" t="s">
        <v>78</v>
      </c>
      <c r="Z31" t="s">
        <v>60</v>
      </c>
    </row>
    <row r="32" spans="2:26" x14ac:dyDescent="0.35">
      <c r="B32" t="s">
        <v>79</v>
      </c>
      <c r="Z32" t="s">
        <v>60</v>
      </c>
    </row>
    <row r="33" spans="2:26" x14ac:dyDescent="0.35">
      <c r="B33" t="s">
        <v>80</v>
      </c>
    </row>
    <row r="34" spans="2:26" x14ac:dyDescent="0.35">
      <c r="B34" t="s">
        <v>81</v>
      </c>
    </row>
    <row r="35" spans="2:26" x14ac:dyDescent="0.35">
      <c r="B35" t="s">
        <v>82</v>
      </c>
    </row>
    <row r="36" spans="2:26" x14ac:dyDescent="0.35">
      <c r="B36" t="s">
        <v>83</v>
      </c>
    </row>
    <row r="37" spans="2:26" x14ac:dyDescent="0.35">
      <c r="B37" t="s">
        <v>84</v>
      </c>
    </row>
    <row r="38" spans="2:26" x14ac:dyDescent="0.35">
      <c r="B38" t="s">
        <v>85</v>
      </c>
    </row>
    <row r="39" spans="2:26" x14ac:dyDescent="0.35">
      <c r="B39" s="2" t="s">
        <v>86</v>
      </c>
    </row>
    <row r="40" spans="2:26" x14ac:dyDescent="0.35">
      <c r="B40" s="2" t="s">
        <v>87</v>
      </c>
      <c r="Z40" t="s">
        <v>60</v>
      </c>
    </row>
    <row r="41" spans="2:26" x14ac:dyDescent="0.35">
      <c r="B41" s="2" t="s">
        <v>88</v>
      </c>
      <c r="Z41" t="s">
        <v>60</v>
      </c>
    </row>
    <row r="42" spans="2:26" x14ac:dyDescent="0.35">
      <c r="B42" s="2" t="s">
        <v>89</v>
      </c>
    </row>
    <row r="43" spans="2:26" x14ac:dyDescent="0.35">
      <c r="B43" s="2" t="s">
        <v>90</v>
      </c>
    </row>
    <row r="53" spans="3:58" ht="15" thickBot="1" x14ac:dyDescent="0.4"/>
    <row r="54" spans="3:58" ht="29" x14ac:dyDescent="0.35">
      <c r="C54" s="5" t="s">
        <v>151</v>
      </c>
      <c r="D54" s="6" t="s">
        <v>152</v>
      </c>
      <c r="E54" s="7">
        <v>1</v>
      </c>
      <c r="F54" s="7">
        <f>E54+1</f>
        <v>2</v>
      </c>
      <c r="G54" s="7">
        <f>F54+1</f>
        <v>3</v>
      </c>
      <c r="H54" s="7">
        <f>G54+1</f>
        <v>4</v>
      </c>
      <c r="I54" s="7">
        <f>H54+1</f>
        <v>5</v>
      </c>
      <c r="J54" s="7">
        <f>I54+1</f>
        <v>6</v>
      </c>
      <c r="K54" s="7">
        <f>J54+1</f>
        <v>7</v>
      </c>
      <c r="L54" s="7">
        <f>K54+1</f>
        <v>8</v>
      </c>
      <c r="M54" s="7">
        <f>L54+1</f>
        <v>9</v>
      </c>
      <c r="N54" s="7">
        <f>M54+1</f>
        <v>10</v>
      </c>
      <c r="O54" s="7">
        <f>N54+1</f>
        <v>11</v>
      </c>
      <c r="P54" s="7">
        <f>O54+1</f>
        <v>12</v>
      </c>
      <c r="Q54" s="7">
        <f>P54+1</f>
        <v>13</v>
      </c>
      <c r="R54" s="7">
        <f>Q54+1</f>
        <v>14</v>
      </c>
      <c r="S54" s="7">
        <f>R54+1</f>
        <v>15</v>
      </c>
      <c r="T54" s="7">
        <f>S54+1</f>
        <v>16</v>
      </c>
      <c r="U54" s="7">
        <f>T54+1</f>
        <v>17</v>
      </c>
      <c r="V54" s="7">
        <f>U54+1</f>
        <v>18</v>
      </c>
      <c r="W54" s="7">
        <f>V54+1</f>
        <v>19</v>
      </c>
      <c r="X54" s="7">
        <f>W54+1</f>
        <v>20</v>
      </c>
      <c r="Y54" s="7">
        <f>X54+1</f>
        <v>21</v>
      </c>
      <c r="Z54" s="7">
        <f>Y54+1</f>
        <v>22</v>
      </c>
      <c r="AA54" s="7">
        <f>Z54+1</f>
        <v>23</v>
      </c>
      <c r="AB54" s="7">
        <f>AA54+1</f>
        <v>24</v>
      </c>
      <c r="AC54" s="7">
        <f>AB54+1</f>
        <v>25</v>
      </c>
      <c r="AD54" s="7">
        <f>AC54+1</f>
        <v>26</v>
      </c>
      <c r="AE54" s="7">
        <f>AD54+1</f>
        <v>27</v>
      </c>
      <c r="AF54" s="7">
        <f>AE54+1</f>
        <v>28</v>
      </c>
      <c r="AG54" s="7">
        <f>AF54+1</f>
        <v>29</v>
      </c>
      <c r="AH54" s="7">
        <f>AG54+1</f>
        <v>30</v>
      </c>
      <c r="AI54" s="7">
        <f>AH54+1</f>
        <v>31</v>
      </c>
      <c r="AJ54" s="7">
        <f>AI54+1</f>
        <v>32</v>
      </c>
      <c r="AK54" s="7">
        <f>AJ54+1</f>
        <v>33</v>
      </c>
      <c r="AL54" s="7">
        <f>AK54+1</f>
        <v>34</v>
      </c>
      <c r="AM54" s="7">
        <f>AL54+1</f>
        <v>35</v>
      </c>
      <c r="AN54" s="7">
        <f>AM54+1</f>
        <v>36</v>
      </c>
      <c r="AO54" s="7">
        <f>AN54+1</f>
        <v>37</v>
      </c>
      <c r="AP54" s="7">
        <f>AO54+1</f>
        <v>38</v>
      </c>
      <c r="AQ54" s="7">
        <f>AP54+1</f>
        <v>39</v>
      </c>
      <c r="AR54" s="7">
        <f>AQ54+1</f>
        <v>40</v>
      </c>
      <c r="AS54" s="7">
        <f>AR54+1</f>
        <v>41</v>
      </c>
      <c r="AT54" s="7">
        <f>AS54+1</f>
        <v>42</v>
      </c>
      <c r="AU54" s="7">
        <f>AT54+1</f>
        <v>43</v>
      </c>
      <c r="AV54" s="7">
        <f>AU54+1</f>
        <v>44</v>
      </c>
      <c r="AW54" s="7">
        <f>AV54+1</f>
        <v>45</v>
      </c>
      <c r="AX54" s="7">
        <f>AW54+1</f>
        <v>46</v>
      </c>
      <c r="AY54" s="7">
        <f>AX54+1</f>
        <v>47</v>
      </c>
      <c r="AZ54" s="7">
        <f>AY54+1</f>
        <v>48</v>
      </c>
      <c r="BA54" s="7">
        <f>AZ54+1</f>
        <v>49</v>
      </c>
      <c r="BB54" s="7">
        <f>BA54+1</f>
        <v>50</v>
      </c>
      <c r="BC54" s="7">
        <f>BB54+1</f>
        <v>51</v>
      </c>
      <c r="BD54" s="7">
        <f>BC54+1</f>
        <v>52</v>
      </c>
      <c r="BE54" s="7">
        <f>BD54+1</f>
        <v>53</v>
      </c>
      <c r="BF54" s="8">
        <f>BE54+1</f>
        <v>54</v>
      </c>
    </row>
    <row r="55" spans="3:58" x14ac:dyDescent="0.35">
      <c r="C55" s="9" t="s">
        <v>127</v>
      </c>
      <c r="D55" s="10">
        <v>1</v>
      </c>
      <c r="E55" s="4" t="str">
        <f>IF(MIN(Class_0!B2,Class_1!B2,Class_2!B2) &gt;0, CHAR(43), CHAR(45))</f>
        <v>+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  <c r="BC55" s="11"/>
      <c r="BD55" s="11"/>
      <c r="BE55" s="11"/>
      <c r="BF55" s="12"/>
    </row>
    <row r="56" spans="3:58" x14ac:dyDescent="0.35">
      <c r="C56" s="13" t="s">
        <v>128</v>
      </c>
      <c r="D56" s="10">
        <f>D55+1</f>
        <v>2</v>
      </c>
      <c r="E56" s="14" t="str">
        <f>IF(MIN(Class_0!B3,Class_1!B3,Class_2!B3) &gt;0, CHAR(43), CHAR(45))</f>
        <v>+</v>
      </c>
      <c r="F56" s="14" t="str">
        <f>IF(MIN(Class_0!C3,Class_1!C3,Class_2!C3) &gt;0, CHAR(43), CHAR(45))</f>
        <v>+</v>
      </c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4"/>
      <c r="BB56" s="14"/>
      <c r="BC56" s="14"/>
      <c r="BD56" s="14"/>
      <c r="BE56" s="14"/>
      <c r="BF56" s="15"/>
    </row>
    <row r="57" spans="3:58" x14ac:dyDescent="0.35">
      <c r="C57" s="13" t="s">
        <v>129</v>
      </c>
      <c r="D57" s="10">
        <f t="shared" ref="D57:D108" si="6">D56+1</f>
        <v>3</v>
      </c>
      <c r="E57" s="14" t="str">
        <f>IF(MIN(Class_0!B4,Class_1!B4,Class_2!B4) &gt;0, CHAR(43), CHAR(45))</f>
        <v>+</v>
      </c>
      <c r="F57" s="14" t="str">
        <f>IF(MIN(Class_0!C4,Class_1!C4,Class_2!C4) &gt;0, CHAR(43), CHAR(45))</f>
        <v>+</v>
      </c>
      <c r="G57" s="14" t="str">
        <f>IF(MIN(Class_0!D4,Class_1!D4,Class_2!D4) &gt;0, CHAR(43), CHAR(45))</f>
        <v>+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4"/>
      <c r="BB57" s="14"/>
      <c r="BC57" s="14"/>
      <c r="BD57" s="14"/>
      <c r="BE57" s="14"/>
      <c r="BF57" s="15"/>
    </row>
    <row r="58" spans="3:58" x14ac:dyDescent="0.35">
      <c r="C58" s="13" t="s">
        <v>130</v>
      </c>
      <c r="D58" s="10">
        <f t="shared" si="6"/>
        <v>4</v>
      </c>
      <c r="E58" s="14" t="str">
        <f>IF(MIN(Class_0!B5,Class_1!B5,Class_2!B5) &gt;0, CHAR(43), CHAR(45))</f>
        <v>+</v>
      </c>
      <c r="F58" s="14" t="str">
        <f>IF(MIN(Class_0!C5,Class_1!C5,Class_2!C5) &gt;0, CHAR(43), CHAR(45))</f>
        <v>+</v>
      </c>
      <c r="G58" s="14" t="str">
        <f>IF(MIN(Class_0!D5,Class_1!D5,Class_2!D5) &gt;0, CHAR(43), CHAR(45))</f>
        <v>+</v>
      </c>
      <c r="H58" s="14" t="str">
        <f>IF(MIN(Class_0!E5,Class_1!E5,Class_2!E5) &gt;0, CHAR(43), CHAR(45))</f>
        <v>+</v>
      </c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4"/>
      <c r="BB58" s="14"/>
      <c r="BC58" s="14"/>
      <c r="BD58" s="14"/>
      <c r="BE58" s="14"/>
      <c r="BF58" s="15"/>
    </row>
    <row r="59" spans="3:58" x14ac:dyDescent="0.35">
      <c r="C59" s="13" t="s">
        <v>131</v>
      </c>
      <c r="D59" s="10">
        <f t="shared" si="6"/>
        <v>5</v>
      </c>
      <c r="E59" s="14" t="str">
        <f>IF(MIN(Class_0!B6,Class_1!B6,Class_2!B6) &gt;0, CHAR(43), CHAR(45))</f>
        <v>+</v>
      </c>
      <c r="F59" s="14" t="str">
        <f>IF(MIN(Class_0!C6,Class_1!C6,Class_2!C6) &gt;0, CHAR(43), CHAR(45))</f>
        <v>+</v>
      </c>
      <c r="G59" s="14" t="str">
        <f>IF(MIN(Class_0!D6,Class_1!D6,Class_2!D6) &gt;0, CHAR(43), CHAR(45))</f>
        <v>+</v>
      </c>
      <c r="H59" s="14" t="str">
        <f>IF(MIN(Class_0!E6,Class_1!E6,Class_2!E6) &gt;0, CHAR(43), CHAR(45))</f>
        <v>+</v>
      </c>
      <c r="I59" s="14" t="str">
        <f>IF(MIN(Class_0!F6,Class_1!F6,Class_2!F6) &gt;0, CHAR(43), CHAR(45))</f>
        <v>+</v>
      </c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4"/>
      <c r="BB59" s="14"/>
      <c r="BC59" s="14"/>
      <c r="BD59" s="14"/>
      <c r="BE59" s="14"/>
      <c r="BF59" s="15"/>
    </row>
    <row r="60" spans="3:58" x14ac:dyDescent="0.35">
      <c r="C60" s="13" t="s">
        <v>132</v>
      </c>
      <c r="D60" s="10">
        <f t="shared" si="6"/>
        <v>6</v>
      </c>
      <c r="E60" s="14" t="str">
        <f>IF(MIN(Class_0!B7,Class_1!B7,Class_2!B7) &gt;0, CHAR(43), CHAR(45))</f>
        <v>+</v>
      </c>
      <c r="F60" s="14" t="str">
        <f>IF(MIN(Class_0!C7,Class_1!C7,Class_2!C7) &gt;0, CHAR(43), CHAR(45))</f>
        <v>+</v>
      </c>
      <c r="G60" s="14" t="str">
        <f>IF(MIN(Class_0!D7,Class_1!D7,Class_2!D7) &gt;0, CHAR(43), CHAR(45))</f>
        <v>+</v>
      </c>
      <c r="H60" s="14" t="str">
        <f>IF(MIN(Class_0!E7,Class_1!E7,Class_2!E7) &gt;0, CHAR(43), CHAR(45))</f>
        <v>+</v>
      </c>
      <c r="I60" s="14" t="str">
        <f>IF(MIN(Class_0!F7,Class_1!F7,Class_2!F7) &gt;0, CHAR(43), CHAR(45))</f>
        <v>+</v>
      </c>
      <c r="J60" s="14" t="str">
        <f>IF(MIN(Class_0!G7,Class_1!G7,Class_2!G7) &gt;0, CHAR(43), CHAR(45))</f>
        <v>+</v>
      </c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4"/>
      <c r="BB60" s="14"/>
      <c r="BC60" s="14"/>
      <c r="BD60" s="14"/>
      <c r="BE60" s="14"/>
      <c r="BF60" s="15"/>
    </row>
    <row r="61" spans="3:58" x14ac:dyDescent="0.35">
      <c r="C61" s="13" t="s">
        <v>133</v>
      </c>
      <c r="D61" s="10">
        <f t="shared" si="6"/>
        <v>7</v>
      </c>
      <c r="E61" s="14" t="str">
        <f>IF(MIN(Class_0!B8,Class_1!B8,Class_2!B8) &gt;0, CHAR(43), CHAR(45))</f>
        <v>-</v>
      </c>
      <c r="F61" s="14" t="str">
        <f>IF(MIN(Class_0!C8,Class_1!C8,Class_2!C8) &gt;0, CHAR(43), CHAR(45))</f>
        <v>+</v>
      </c>
      <c r="G61" s="14" t="str">
        <f>IF(MIN(Class_0!D8,Class_1!D8,Class_2!D8) &gt;0, CHAR(43), CHAR(45))</f>
        <v>+</v>
      </c>
      <c r="H61" s="14" t="str">
        <f>IF(MIN(Class_0!E8,Class_1!E8,Class_2!E8) &gt;0, CHAR(43), CHAR(45))</f>
        <v>+</v>
      </c>
      <c r="I61" s="14" t="str">
        <f>IF(MIN(Class_0!F8,Class_1!F8,Class_2!F8) &gt;0, CHAR(43), CHAR(45))</f>
        <v>+</v>
      </c>
      <c r="J61" s="14" t="str">
        <f>IF(MIN(Class_0!G8,Class_1!G8,Class_2!G8) &gt;0, CHAR(43), CHAR(45))</f>
        <v>+</v>
      </c>
      <c r="K61" s="14" t="str">
        <f>IF(MIN(Class_0!H8,Class_1!H8,Class_2!H8) &gt;0, CHAR(43), CHAR(45))</f>
        <v>+</v>
      </c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4"/>
      <c r="BB61" s="14"/>
      <c r="BC61" s="14"/>
      <c r="BD61" s="14"/>
      <c r="BE61" s="14"/>
      <c r="BF61" s="15"/>
    </row>
    <row r="62" spans="3:58" x14ac:dyDescent="0.35">
      <c r="C62" s="13" t="s">
        <v>61</v>
      </c>
      <c r="D62" s="10">
        <f t="shared" si="6"/>
        <v>8</v>
      </c>
      <c r="E62" s="14" t="str">
        <f>IF(MIN(Class_0!B9,Class_1!B9,Class_2!B9) &gt;0, CHAR(43), CHAR(45))</f>
        <v>+</v>
      </c>
      <c r="F62" s="14" t="str">
        <f>IF(MIN(Class_0!C9,Class_1!C9,Class_2!C9) &gt;0, CHAR(43), CHAR(45))</f>
        <v>+</v>
      </c>
      <c r="G62" s="14" t="str">
        <f>IF(MIN(Class_0!D9,Class_1!D9,Class_2!D9) &gt;0, CHAR(43), CHAR(45))</f>
        <v>+</v>
      </c>
      <c r="H62" s="14" t="str">
        <f>IF(MIN(Class_0!E9,Class_1!E9,Class_2!E9) &gt;0, CHAR(43), CHAR(45))</f>
        <v>+</v>
      </c>
      <c r="I62" s="14" t="str">
        <f>IF(MIN(Class_0!F9,Class_1!F9,Class_2!F9) &gt;0, CHAR(43), CHAR(45))</f>
        <v>+</v>
      </c>
      <c r="J62" s="14" t="str">
        <f>IF(MIN(Class_0!G9,Class_1!G9,Class_2!G9) &gt;0, CHAR(43), CHAR(45))</f>
        <v>+</v>
      </c>
      <c r="K62" s="14" t="str">
        <f>IF(MIN(Class_0!H9,Class_1!H9,Class_2!H9) &gt;0, CHAR(43), CHAR(45))</f>
        <v>+</v>
      </c>
      <c r="L62" s="14" t="str">
        <f>IF(MIN(Class_0!I9,Class_1!I9,Class_2!I9) &gt;0, CHAR(43), CHAR(45))</f>
        <v>+</v>
      </c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4"/>
      <c r="BB62" s="14"/>
      <c r="BC62" s="14"/>
      <c r="BD62" s="14"/>
      <c r="BE62" s="14"/>
      <c r="BF62" s="15"/>
    </row>
    <row r="63" spans="3:58" x14ac:dyDescent="0.35">
      <c r="C63" s="13" t="s">
        <v>62</v>
      </c>
      <c r="D63" s="10">
        <f t="shared" si="6"/>
        <v>9</v>
      </c>
      <c r="E63" s="14" t="str">
        <f>IF(MIN(Class_0!B10,Class_1!B10,Class_2!B10) &gt;0, CHAR(43), CHAR(45))</f>
        <v>-</v>
      </c>
      <c r="F63" s="14" t="str">
        <f>IF(MIN(Class_0!C10,Class_1!C10,Class_2!C10) &gt;0, CHAR(43), CHAR(45))</f>
        <v>-</v>
      </c>
      <c r="G63" s="14" t="str">
        <f>IF(MIN(Class_0!D10,Class_1!D10,Class_2!D10) &gt;0, CHAR(43), CHAR(45))</f>
        <v>-</v>
      </c>
      <c r="H63" s="14" t="str">
        <f>IF(MIN(Class_0!E10,Class_1!E10,Class_2!E10) &gt;0, CHAR(43), CHAR(45))</f>
        <v>+</v>
      </c>
      <c r="I63" s="14" t="str">
        <f>IF(MIN(Class_0!F10,Class_1!F10,Class_2!F10) &gt;0, CHAR(43), CHAR(45))</f>
        <v>+</v>
      </c>
      <c r="J63" s="14" t="str">
        <f>IF(MIN(Class_0!G10,Class_1!G10,Class_2!G10) &gt;0, CHAR(43), CHAR(45))</f>
        <v>-</v>
      </c>
      <c r="K63" s="14" t="str">
        <f>IF(MIN(Class_0!H10,Class_1!H10,Class_2!H10) &gt;0, CHAR(43), CHAR(45))</f>
        <v>+</v>
      </c>
      <c r="L63" s="14" t="str">
        <f>IF(MIN(Class_0!I10,Class_1!I10,Class_2!I10) &gt;0, CHAR(43), CHAR(45))</f>
        <v>+</v>
      </c>
      <c r="M63" s="14" t="str">
        <f>IF(MIN(Class_0!J10,Class_1!J10,Class_2!J10) &gt;0, CHAR(43), CHAR(45))</f>
        <v>+</v>
      </c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5"/>
    </row>
    <row r="64" spans="3:58" x14ac:dyDescent="0.35">
      <c r="C64" s="13" t="s">
        <v>134</v>
      </c>
      <c r="D64" s="10">
        <f t="shared" si="6"/>
        <v>10</v>
      </c>
      <c r="E64" s="14" t="str">
        <f>IF(MIN(Class_0!B11,Class_1!B11,Class_2!B11) &gt;0, CHAR(43), CHAR(45))</f>
        <v>-</v>
      </c>
      <c r="F64" s="14" t="str">
        <f>IF(MIN(Class_0!C11,Class_1!C11,Class_2!C11) &gt;0, CHAR(43), CHAR(45))</f>
        <v>+</v>
      </c>
      <c r="G64" s="14" t="str">
        <f>IF(MIN(Class_0!D11,Class_1!D11,Class_2!D11) &gt;0, CHAR(43), CHAR(45))</f>
        <v>+</v>
      </c>
      <c r="H64" s="14" t="str">
        <f>IF(MIN(Class_0!E11,Class_1!E11,Class_2!E11) &gt;0, CHAR(43), CHAR(45))</f>
        <v>+</v>
      </c>
      <c r="I64" s="14" t="str">
        <f>IF(MIN(Class_0!F11,Class_1!F11,Class_2!F11) &gt;0, CHAR(43), CHAR(45))</f>
        <v>+</v>
      </c>
      <c r="J64" s="14" t="str">
        <f>IF(MIN(Class_0!G11,Class_1!G11,Class_2!G11) &gt;0, CHAR(43), CHAR(45))</f>
        <v>+</v>
      </c>
      <c r="K64" s="14" t="str">
        <f>IF(MIN(Class_0!H11,Class_1!H11,Class_2!H11) &gt;0, CHAR(43), CHAR(45))</f>
        <v>+</v>
      </c>
      <c r="L64" s="14" t="str">
        <f>IF(MIN(Class_0!I11,Class_1!I11,Class_2!I11) &gt;0, CHAR(43), CHAR(45))</f>
        <v>+</v>
      </c>
      <c r="M64" s="14" t="str">
        <f>IF(MIN(Class_0!J11,Class_1!J11,Class_2!J11) &gt;0, CHAR(43), CHAR(45))</f>
        <v>+</v>
      </c>
      <c r="N64" s="14" t="str">
        <f>IF(MIN(Class_0!K11,Class_1!K11,Class_2!K11) &gt;0, CHAR(43), CHAR(45))</f>
        <v>+</v>
      </c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5"/>
    </row>
    <row r="65" spans="3:58" x14ac:dyDescent="0.35">
      <c r="C65" s="13" t="s">
        <v>135</v>
      </c>
      <c r="D65" s="10">
        <f t="shared" si="6"/>
        <v>11</v>
      </c>
      <c r="E65" s="14" t="str">
        <f>IF(MIN(Class_0!B12,Class_1!B12,Class_2!B12) &gt;0, CHAR(43), CHAR(45))</f>
        <v>+</v>
      </c>
      <c r="F65" s="14" t="str">
        <f>IF(MIN(Class_0!C12,Class_1!C12,Class_2!C12) &gt;0, CHAR(43), CHAR(45))</f>
        <v>-</v>
      </c>
      <c r="G65" s="14" t="str">
        <f>IF(MIN(Class_0!D12,Class_1!D12,Class_2!D12) &gt;0, CHAR(43), CHAR(45))</f>
        <v>-</v>
      </c>
      <c r="H65" s="14" t="str">
        <f>IF(MIN(Class_0!E12,Class_1!E12,Class_2!E12) &gt;0, CHAR(43), CHAR(45))</f>
        <v>-</v>
      </c>
      <c r="I65" s="14" t="str">
        <f>IF(MIN(Class_0!F12,Class_1!F12,Class_2!F12) &gt;0, CHAR(43), CHAR(45))</f>
        <v>-</v>
      </c>
      <c r="J65" s="14" t="str">
        <f>IF(MIN(Class_0!G12,Class_1!G12,Class_2!G12) &gt;0, CHAR(43), CHAR(45))</f>
        <v>-</v>
      </c>
      <c r="K65" s="14" t="str">
        <f>IF(MIN(Class_0!H12,Class_1!H12,Class_2!H12) &gt;0, CHAR(43), CHAR(45))</f>
        <v>+</v>
      </c>
      <c r="L65" s="14" t="str">
        <f>IF(MIN(Class_0!I12,Class_1!I12,Class_2!I12) &gt;0, CHAR(43), CHAR(45))</f>
        <v>+</v>
      </c>
      <c r="M65" s="14" t="str">
        <f>IF(MIN(Class_0!J12,Class_1!J12,Class_2!J12) &gt;0, CHAR(43), CHAR(45))</f>
        <v>+</v>
      </c>
      <c r="N65" s="14" t="str">
        <f>IF(MIN(Class_0!K12,Class_1!K12,Class_2!K12) &gt;0, CHAR(43), CHAR(45))</f>
        <v>+</v>
      </c>
      <c r="O65" s="14" t="str">
        <f>IF(MIN(Class_0!L12,Class_1!L12,Class_2!L12) &gt;0, CHAR(43), CHAR(45))</f>
        <v>+</v>
      </c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5"/>
    </row>
    <row r="66" spans="3:58" x14ac:dyDescent="0.35">
      <c r="C66" s="13" t="s">
        <v>136</v>
      </c>
      <c r="D66" s="10">
        <f t="shared" si="6"/>
        <v>12</v>
      </c>
      <c r="E66" s="14" t="str">
        <f>IF(MIN(Class_0!B13,Class_1!B13,Class_2!B13) &gt;0, CHAR(43), CHAR(45))</f>
        <v>-</v>
      </c>
      <c r="F66" s="14" t="str">
        <f>IF(MIN(Class_0!C13,Class_1!C13,Class_2!C13) &gt;0, CHAR(43), CHAR(45))</f>
        <v>-</v>
      </c>
      <c r="G66" s="14" t="str">
        <f>IF(MIN(Class_0!D13,Class_1!D13,Class_2!D13) &gt;0, CHAR(43), CHAR(45))</f>
        <v>-</v>
      </c>
      <c r="H66" s="14" t="str">
        <f>IF(MIN(Class_0!E13,Class_1!E13,Class_2!E13) &gt;0, CHAR(43), CHAR(45))</f>
        <v>+</v>
      </c>
      <c r="I66" s="14" t="str">
        <f>IF(MIN(Class_0!F13,Class_1!F13,Class_2!F13) &gt;0, CHAR(43), CHAR(45))</f>
        <v>-</v>
      </c>
      <c r="J66" s="14" t="str">
        <f>IF(MIN(Class_0!G13,Class_1!G13,Class_2!G13) &gt;0, CHAR(43), CHAR(45))</f>
        <v>-</v>
      </c>
      <c r="K66" s="14" t="str">
        <f>IF(MIN(Class_0!H13,Class_1!H13,Class_2!H13) &gt;0, CHAR(43), CHAR(45))</f>
        <v>-</v>
      </c>
      <c r="L66" s="14" t="str">
        <f>IF(MIN(Class_0!I13,Class_1!I13,Class_2!I13) &gt;0, CHAR(43), CHAR(45))</f>
        <v>-</v>
      </c>
      <c r="M66" s="14" t="str">
        <f>IF(MIN(Class_0!J13,Class_1!J13,Class_2!J13) &gt;0, CHAR(43), CHAR(45))</f>
        <v>-</v>
      </c>
      <c r="N66" s="14" t="str">
        <f>IF(MIN(Class_0!K13,Class_1!K13,Class_2!K13) &gt;0, CHAR(43), CHAR(45))</f>
        <v>-</v>
      </c>
      <c r="O66" s="14" t="str">
        <f>IF(MIN(Class_0!L13,Class_1!L13,Class_2!L13) &gt;0, CHAR(43), CHAR(45))</f>
        <v>+</v>
      </c>
      <c r="P66" s="14" t="str">
        <f>IF(MIN(Class_0!M13,Class_1!M13,Class_2!M13) &gt;0, CHAR(43), CHAR(45))</f>
        <v>+</v>
      </c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5"/>
    </row>
    <row r="67" spans="3:58" x14ac:dyDescent="0.35">
      <c r="C67" s="13" t="s">
        <v>137</v>
      </c>
      <c r="D67" s="10">
        <f t="shared" si="6"/>
        <v>13</v>
      </c>
      <c r="E67" s="14" t="str">
        <f>IF(MIN(Class_0!B14,Class_1!B14,Class_2!B14) &gt;0, CHAR(43), CHAR(45))</f>
        <v>+</v>
      </c>
      <c r="F67" s="14" t="str">
        <f>IF(MIN(Class_0!C14,Class_1!C14,Class_2!C14) &gt;0, CHAR(43), CHAR(45))</f>
        <v>+</v>
      </c>
      <c r="G67" s="14" t="str">
        <f>IF(MIN(Class_0!D14,Class_1!D14,Class_2!D14) &gt;0, CHAR(43), CHAR(45))</f>
        <v>+</v>
      </c>
      <c r="H67" s="14" t="str">
        <f>IF(MIN(Class_0!E14,Class_1!E14,Class_2!E14) &gt;0, CHAR(43), CHAR(45))</f>
        <v>+</v>
      </c>
      <c r="I67" s="14" t="str">
        <f>IF(MIN(Class_0!F14,Class_1!F14,Class_2!F14) &gt;0, CHAR(43), CHAR(45))</f>
        <v>+</v>
      </c>
      <c r="J67" s="14" t="str">
        <f>IF(MIN(Class_0!G14,Class_1!G14,Class_2!G14) &gt;0, CHAR(43), CHAR(45))</f>
        <v>+</v>
      </c>
      <c r="K67" s="14" t="str">
        <f>IF(MIN(Class_0!H14,Class_1!H14,Class_2!H14) &gt;0, CHAR(43), CHAR(45))</f>
        <v>-</v>
      </c>
      <c r="L67" s="14" t="str">
        <f>IF(MIN(Class_0!I14,Class_1!I14,Class_2!I14) &gt;0, CHAR(43), CHAR(45))</f>
        <v>+</v>
      </c>
      <c r="M67" s="14" t="str">
        <f>IF(MIN(Class_0!J14,Class_1!J14,Class_2!J14) &gt;0, CHAR(43), CHAR(45))</f>
        <v>-</v>
      </c>
      <c r="N67" s="14" t="str">
        <f>IF(MIN(Class_0!K14,Class_1!K14,Class_2!K14) &gt;0, CHAR(43), CHAR(45))</f>
        <v>-</v>
      </c>
      <c r="O67" s="14" t="str">
        <f>IF(MIN(Class_0!L14,Class_1!L14,Class_2!L14) &gt;0, CHAR(43), CHAR(45))</f>
        <v>-</v>
      </c>
      <c r="P67" s="14" t="str">
        <f>IF(MIN(Class_0!M14,Class_1!M14,Class_2!M14) &gt;0, CHAR(43), CHAR(45))</f>
        <v>+</v>
      </c>
      <c r="Q67" s="14" t="str">
        <f>IF(MIN(Class_0!N14,Class_1!N14,Class_2!N14) &gt;0, CHAR(43), CHAR(45))</f>
        <v>+</v>
      </c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5"/>
    </row>
    <row r="68" spans="3:58" x14ac:dyDescent="0.35">
      <c r="C68" s="13" t="s">
        <v>63</v>
      </c>
      <c r="D68" s="10">
        <f t="shared" si="6"/>
        <v>14</v>
      </c>
      <c r="E68" s="14" t="str">
        <f>IF(MIN(Class_0!B15,Class_1!B15,Class_2!B15) &gt;0, CHAR(43), CHAR(45))</f>
        <v>+</v>
      </c>
      <c r="F68" s="14" t="str">
        <f>IF(MIN(Class_0!C15,Class_1!C15,Class_2!C15) &gt;0, CHAR(43), CHAR(45))</f>
        <v>-</v>
      </c>
      <c r="G68" s="14" t="str">
        <f>IF(MIN(Class_0!D15,Class_1!D15,Class_2!D15) &gt;0, CHAR(43), CHAR(45))</f>
        <v>-</v>
      </c>
      <c r="H68" s="14" t="str">
        <f>IF(MIN(Class_0!E15,Class_1!E15,Class_2!E15) &gt;0, CHAR(43), CHAR(45))</f>
        <v>-</v>
      </c>
      <c r="I68" s="14" t="str">
        <f>IF(MIN(Class_0!F15,Class_1!F15,Class_2!F15) &gt;0, CHAR(43), CHAR(45))</f>
        <v>-</v>
      </c>
      <c r="J68" s="14" t="str">
        <f>IF(MIN(Class_0!G15,Class_1!G15,Class_2!G15) &gt;0, CHAR(43), CHAR(45))</f>
        <v>-</v>
      </c>
      <c r="K68" s="14" t="str">
        <f>IF(MIN(Class_0!H15,Class_1!H15,Class_2!H15) &gt;0, CHAR(43), CHAR(45))</f>
        <v>-</v>
      </c>
      <c r="L68" s="14" t="str">
        <f>IF(MIN(Class_0!I15,Class_1!I15,Class_2!I15) &gt;0, CHAR(43), CHAR(45))</f>
        <v>-</v>
      </c>
      <c r="M68" s="14" t="str">
        <f>IF(MIN(Class_0!J15,Class_1!J15,Class_2!J15) &gt;0, CHAR(43), CHAR(45))</f>
        <v>-</v>
      </c>
      <c r="N68" s="14" t="str">
        <f>IF(MIN(Class_0!K15,Class_1!K15,Class_2!K15) &gt;0, CHAR(43), CHAR(45))</f>
        <v>-</v>
      </c>
      <c r="O68" s="14" t="str">
        <f>IF(MIN(Class_0!L15,Class_1!L15,Class_2!L15) &gt;0, CHAR(43), CHAR(45))</f>
        <v>-</v>
      </c>
      <c r="P68" s="14" t="str">
        <f>IF(MIN(Class_0!M15,Class_1!M15,Class_2!M15) &gt;0, CHAR(43), CHAR(45))</f>
        <v>+</v>
      </c>
      <c r="Q68" s="14" t="str">
        <f>IF(MIN(Class_0!N15,Class_1!N15,Class_2!N15) &gt;0, CHAR(43), CHAR(45))</f>
        <v>+</v>
      </c>
      <c r="R68" s="14" t="str">
        <f>IF(MIN(Class_0!O15,Class_1!O15,Class_2!O15) &gt;0, CHAR(43), CHAR(45))</f>
        <v>+</v>
      </c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5"/>
    </row>
    <row r="69" spans="3:58" x14ac:dyDescent="0.35">
      <c r="C69" s="13" t="s">
        <v>138</v>
      </c>
      <c r="D69" s="10">
        <f t="shared" si="6"/>
        <v>15</v>
      </c>
      <c r="E69" s="14" t="str">
        <f>IF(MIN(Class_0!B16,Class_1!B16,Class_2!B16) &gt;0, CHAR(43), CHAR(45))</f>
        <v>-</v>
      </c>
      <c r="F69" s="14" t="str">
        <f>IF(MIN(Class_0!C16,Class_1!C16,Class_2!C16) &gt;0, CHAR(43), CHAR(45))</f>
        <v>-</v>
      </c>
      <c r="G69" s="14" t="str">
        <f>IF(MIN(Class_0!D16,Class_1!D16,Class_2!D16) &gt;0, CHAR(43), CHAR(45))</f>
        <v>-</v>
      </c>
      <c r="H69" s="14" t="str">
        <f>IF(MIN(Class_0!E16,Class_1!E16,Class_2!E16) &gt;0, CHAR(43), CHAR(45))</f>
        <v>-</v>
      </c>
      <c r="I69" s="14" t="str">
        <f>IF(MIN(Class_0!F16,Class_1!F16,Class_2!F16) &gt;0, CHAR(43), CHAR(45))</f>
        <v>-</v>
      </c>
      <c r="J69" s="14" t="str">
        <f>IF(MIN(Class_0!G16,Class_1!G16,Class_2!G16) &gt;0, CHAR(43), CHAR(45))</f>
        <v>-</v>
      </c>
      <c r="K69" s="14" t="str">
        <f>IF(MIN(Class_0!H16,Class_1!H16,Class_2!H16) &gt;0, CHAR(43), CHAR(45))</f>
        <v>-</v>
      </c>
      <c r="L69" s="14" t="str">
        <f>IF(MIN(Class_0!I16,Class_1!I16,Class_2!I16) &gt;0, CHAR(43), CHAR(45))</f>
        <v>-</v>
      </c>
      <c r="M69" s="14" t="str">
        <f>IF(MIN(Class_0!J16,Class_1!J16,Class_2!J16) &gt;0, CHAR(43), CHAR(45))</f>
        <v>+</v>
      </c>
      <c r="N69" s="14" t="str">
        <f>IF(MIN(Class_0!K16,Class_1!K16,Class_2!K16) &gt;0, CHAR(43), CHAR(45))</f>
        <v>-</v>
      </c>
      <c r="O69" s="14" t="str">
        <f>IF(MIN(Class_0!L16,Class_1!L16,Class_2!L16) &gt;0, CHAR(43), CHAR(45))</f>
        <v>-</v>
      </c>
      <c r="P69" s="14" t="str">
        <f>IF(MIN(Class_0!M16,Class_1!M16,Class_2!M16) &gt;0, CHAR(43), CHAR(45))</f>
        <v>+</v>
      </c>
      <c r="Q69" s="14" t="str">
        <f>IF(MIN(Class_0!N16,Class_1!N16,Class_2!N16) &gt;0, CHAR(43), CHAR(45))</f>
        <v>+</v>
      </c>
      <c r="R69" s="14" t="str">
        <f>IF(MIN(Class_0!O16,Class_1!O16,Class_2!O16) &gt;0, CHAR(43), CHAR(45))</f>
        <v>+</v>
      </c>
      <c r="S69" s="14" t="str">
        <f>IF(MIN(Class_0!P16,Class_1!P16,Class_2!P16) &gt;0, CHAR(43), CHAR(45))</f>
        <v>+</v>
      </c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5"/>
    </row>
    <row r="70" spans="3:58" x14ac:dyDescent="0.35">
      <c r="C70" s="13" t="s">
        <v>139</v>
      </c>
      <c r="D70" s="10">
        <f t="shared" si="6"/>
        <v>16</v>
      </c>
      <c r="E70" s="14" t="str">
        <f>IF(MIN(Class_0!B17,Class_1!B17,Class_2!B17) &gt;0, CHAR(43), CHAR(45))</f>
        <v>+</v>
      </c>
      <c r="F70" s="14" t="str">
        <f>IF(MIN(Class_0!C17,Class_1!C17,Class_2!C17) &gt;0, CHAR(43), CHAR(45))</f>
        <v>+</v>
      </c>
      <c r="G70" s="14" t="str">
        <f>IF(MIN(Class_0!D17,Class_1!D17,Class_2!D17) &gt;0, CHAR(43), CHAR(45))</f>
        <v>+</v>
      </c>
      <c r="H70" s="14" t="str">
        <f>IF(MIN(Class_0!E17,Class_1!E17,Class_2!E17) &gt;0, CHAR(43), CHAR(45))</f>
        <v>+</v>
      </c>
      <c r="I70" s="14" t="str">
        <f>IF(MIN(Class_0!F17,Class_1!F17,Class_2!F17) &gt;0, CHAR(43), CHAR(45))</f>
        <v>+</v>
      </c>
      <c r="J70" s="14" t="str">
        <f>IF(MIN(Class_0!G17,Class_1!G17,Class_2!G17) &gt;0, CHAR(43), CHAR(45))</f>
        <v>+</v>
      </c>
      <c r="K70" s="14" t="str">
        <f>IF(MIN(Class_0!H17,Class_1!H17,Class_2!H17) &gt;0, CHAR(43), CHAR(45))</f>
        <v>-</v>
      </c>
      <c r="L70" s="14" t="str">
        <f>IF(MIN(Class_0!I17,Class_1!I17,Class_2!I17) &gt;0, CHAR(43), CHAR(45))</f>
        <v>-</v>
      </c>
      <c r="M70" s="14" t="str">
        <f>IF(MIN(Class_0!J17,Class_1!J17,Class_2!J17) &gt;0, CHAR(43), CHAR(45))</f>
        <v>-</v>
      </c>
      <c r="N70" s="14" t="str">
        <f>IF(MIN(Class_0!K17,Class_1!K17,Class_2!K17) &gt;0, CHAR(43), CHAR(45))</f>
        <v>-</v>
      </c>
      <c r="O70" s="14" t="str">
        <f>IF(MIN(Class_0!L17,Class_1!L17,Class_2!L17) &gt;0, CHAR(43), CHAR(45))</f>
        <v>-</v>
      </c>
      <c r="P70" s="14" t="str">
        <f>IF(MIN(Class_0!M17,Class_1!M17,Class_2!M17) &gt;0, CHAR(43), CHAR(45))</f>
        <v>-</v>
      </c>
      <c r="Q70" s="14" t="str">
        <f>IF(MIN(Class_0!N17,Class_1!N17,Class_2!N17) &gt;0, CHAR(43), CHAR(45))</f>
        <v>+</v>
      </c>
      <c r="R70" s="14" t="str">
        <f>IF(MIN(Class_0!O17,Class_1!O17,Class_2!O17) &gt;0, CHAR(43), CHAR(45))</f>
        <v>+</v>
      </c>
      <c r="S70" s="14" t="str">
        <f>IF(MIN(Class_0!P17,Class_1!P17,Class_2!P17) &gt;0, CHAR(43), CHAR(45))</f>
        <v>-</v>
      </c>
      <c r="T70" s="14" t="str">
        <f>IF(MIN(Class_0!Q17,Class_1!Q17,Class_2!Q17) &gt;0, CHAR(43), CHAR(45))</f>
        <v>+</v>
      </c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5"/>
    </row>
    <row r="71" spans="3:58" x14ac:dyDescent="0.35">
      <c r="C71" s="13" t="s">
        <v>140</v>
      </c>
      <c r="D71" s="10">
        <f t="shared" si="6"/>
        <v>17</v>
      </c>
      <c r="E71" s="14" t="str">
        <f>IF(MIN(Class_0!B18,Class_1!B18,Class_2!B18) &gt;0, CHAR(43), CHAR(45))</f>
        <v>+</v>
      </c>
      <c r="F71" s="14" t="str">
        <f>IF(MIN(Class_0!C18,Class_1!C18,Class_2!C18) &gt;0, CHAR(43), CHAR(45))</f>
        <v>+</v>
      </c>
      <c r="G71" s="14" t="str">
        <f>IF(MIN(Class_0!D18,Class_1!D18,Class_2!D18) &gt;0, CHAR(43), CHAR(45))</f>
        <v>+</v>
      </c>
      <c r="H71" s="14" t="str">
        <f>IF(MIN(Class_0!E18,Class_1!E18,Class_2!E18) &gt;0, CHAR(43), CHAR(45))</f>
        <v>+</v>
      </c>
      <c r="I71" s="14" t="str">
        <f>IF(MIN(Class_0!F18,Class_1!F18,Class_2!F18) &gt;0, CHAR(43), CHAR(45))</f>
        <v>+</v>
      </c>
      <c r="J71" s="14" t="str">
        <f>IF(MIN(Class_0!G18,Class_1!G18,Class_2!G18) &gt;0, CHAR(43), CHAR(45))</f>
        <v>+</v>
      </c>
      <c r="K71" s="14" t="str">
        <f>IF(MIN(Class_0!H18,Class_1!H18,Class_2!H18) &gt;0, CHAR(43), CHAR(45))</f>
        <v>+</v>
      </c>
      <c r="L71" s="14" t="str">
        <f>IF(MIN(Class_0!I18,Class_1!I18,Class_2!I18) &gt;0, CHAR(43), CHAR(45))</f>
        <v>-</v>
      </c>
      <c r="M71" s="14" t="str">
        <f>IF(MIN(Class_0!J18,Class_1!J18,Class_2!J18) &gt;0, CHAR(43), CHAR(45))</f>
        <v>-</v>
      </c>
      <c r="N71" s="14" t="str">
        <f>IF(MIN(Class_0!K18,Class_1!K18,Class_2!K18) &gt;0, CHAR(43), CHAR(45))</f>
        <v>+</v>
      </c>
      <c r="O71" s="14" t="str">
        <f>IF(MIN(Class_0!L18,Class_1!L18,Class_2!L18) &gt;0, CHAR(43), CHAR(45))</f>
        <v>+</v>
      </c>
      <c r="P71" s="14" t="str">
        <f>IF(MIN(Class_0!M18,Class_1!M18,Class_2!M18) &gt;0, CHAR(43), CHAR(45))</f>
        <v>+</v>
      </c>
      <c r="Q71" s="14" t="str">
        <f>IF(MIN(Class_0!N18,Class_1!N18,Class_2!N18) &gt;0, CHAR(43), CHAR(45))</f>
        <v>-</v>
      </c>
      <c r="R71" s="14" t="str">
        <f>IF(MIN(Class_0!O18,Class_1!O18,Class_2!O18) &gt;0, CHAR(43), CHAR(45))</f>
        <v>-</v>
      </c>
      <c r="S71" s="14" t="str">
        <f>IF(MIN(Class_0!P18,Class_1!P18,Class_2!P18) &gt;0, CHAR(43), CHAR(45))</f>
        <v>-</v>
      </c>
      <c r="T71" s="14" t="str">
        <f>IF(MIN(Class_0!Q18,Class_1!Q18,Class_2!Q18) &gt;0, CHAR(43), CHAR(45))</f>
        <v>+</v>
      </c>
      <c r="U71" s="14" t="str">
        <f>IF(MIN(Class_0!R18,Class_1!R18,Class_2!R18) &gt;0, CHAR(43), CHAR(45))</f>
        <v>+</v>
      </c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5"/>
    </row>
    <row r="72" spans="3:58" x14ac:dyDescent="0.35">
      <c r="C72" s="13" t="s">
        <v>141</v>
      </c>
      <c r="D72" s="10">
        <f t="shared" si="6"/>
        <v>18</v>
      </c>
      <c r="E72" s="14" t="str">
        <f>IF(MIN(Class_0!B19,Class_1!B19,Class_2!B19) &gt;0, CHAR(43), CHAR(45))</f>
        <v>+</v>
      </c>
      <c r="F72" s="14" t="str">
        <f>IF(MIN(Class_0!C19,Class_1!C19,Class_2!C19) &gt;0, CHAR(43), CHAR(45))</f>
        <v>+</v>
      </c>
      <c r="G72" s="14" t="str">
        <f>IF(MIN(Class_0!D19,Class_1!D19,Class_2!D19) &gt;0, CHAR(43), CHAR(45))</f>
        <v>+</v>
      </c>
      <c r="H72" s="14" t="str">
        <f>IF(MIN(Class_0!E19,Class_1!E19,Class_2!E19) &gt;0, CHAR(43), CHAR(45))</f>
        <v>-</v>
      </c>
      <c r="I72" s="14" t="str">
        <f>IF(MIN(Class_0!F19,Class_1!F19,Class_2!F19) &gt;0, CHAR(43), CHAR(45))</f>
        <v>-</v>
      </c>
      <c r="J72" s="14" t="str">
        <f>IF(MIN(Class_0!G19,Class_1!G19,Class_2!G19) &gt;0, CHAR(43), CHAR(45))</f>
        <v>-</v>
      </c>
      <c r="K72" s="14" t="str">
        <f>IF(MIN(Class_0!H19,Class_1!H19,Class_2!H19) &gt;0, CHAR(43), CHAR(45))</f>
        <v>+</v>
      </c>
      <c r="L72" s="14" t="str">
        <f>IF(MIN(Class_0!I19,Class_1!I19,Class_2!I19) &gt;0, CHAR(43), CHAR(45))</f>
        <v>-</v>
      </c>
      <c r="M72" s="14" t="str">
        <f>IF(MIN(Class_0!J19,Class_1!J19,Class_2!J19) &gt;0, CHAR(43), CHAR(45))</f>
        <v>-</v>
      </c>
      <c r="N72" s="14" t="str">
        <f>IF(MIN(Class_0!K19,Class_1!K19,Class_2!K19) &gt;0, CHAR(43), CHAR(45))</f>
        <v>+</v>
      </c>
      <c r="O72" s="14" t="str">
        <f>IF(MIN(Class_0!L19,Class_1!L19,Class_2!L19) &gt;0, CHAR(43), CHAR(45))</f>
        <v>-</v>
      </c>
      <c r="P72" s="14" t="str">
        <f>IF(MIN(Class_0!M19,Class_1!M19,Class_2!M19) &gt;0, CHAR(43), CHAR(45))</f>
        <v>-</v>
      </c>
      <c r="Q72" s="14" t="str">
        <f>IF(MIN(Class_0!N19,Class_1!N19,Class_2!N19) &gt;0, CHAR(43), CHAR(45))</f>
        <v>-</v>
      </c>
      <c r="R72" s="14" t="str">
        <f>IF(MIN(Class_0!O19,Class_1!O19,Class_2!O19) &gt;0, CHAR(43), CHAR(45))</f>
        <v>-</v>
      </c>
      <c r="S72" s="14" t="str">
        <f>IF(MIN(Class_0!P19,Class_1!P19,Class_2!P19) &gt;0, CHAR(43), CHAR(45))</f>
        <v>-</v>
      </c>
      <c r="T72" s="14" t="str">
        <f>IF(MIN(Class_0!Q19,Class_1!Q19,Class_2!Q19) &gt;0, CHAR(43), CHAR(45))</f>
        <v>+</v>
      </c>
      <c r="U72" s="14" t="str">
        <f>IF(MIN(Class_0!R19,Class_1!R19,Class_2!R19) &gt;0, CHAR(43), CHAR(45))</f>
        <v>+</v>
      </c>
      <c r="V72" s="14" t="str">
        <f>IF(MIN(Class_0!S19,Class_1!S19,Class_2!S19) &gt;0, CHAR(43), CHAR(45))</f>
        <v>+</v>
      </c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5"/>
    </row>
    <row r="73" spans="3:58" x14ac:dyDescent="0.35">
      <c r="C73" s="13" t="s">
        <v>64</v>
      </c>
      <c r="D73" s="10">
        <f t="shared" si="6"/>
        <v>19</v>
      </c>
      <c r="E73" s="14" t="str">
        <f>IF(MIN(Class_0!B20,Class_1!B20,Class_2!B20) &gt;0, CHAR(43), CHAR(45))</f>
        <v>+</v>
      </c>
      <c r="F73" s="14" t="str">
        <f>IF(MIN(Class_0!C20,Class_1!C20,Class_2!C20) &gt;0, CHAR(43), CHAR(45))</f>
        <v>-</v>
      </c>
      <c r="G73" s="14" t="str">
        <f>IF(MIN(Class_0!D20,Class_1!D20,Class_2!D20) &gt;0, CHAR(43), CHAR(45))</f>
        <v>-</v>
      </c>
      <c r="H73" s="14" t="str">
        <f>IF(MIN(Class_0!E20,Class_1!E20,Class_2!E20) &gt;0, CHAR(43), CHAR(45))</f>
        <v>-</v>
      </c>
      <c r="I73" s="14" t="str">
        <f>IF(MIN(Class_0!F20,Class_1!F20,Class_2!F20) &gt;0, CHAR(43), CHAR(45))</f>
        <v>-</v>
      </c>
      <c r="J73" s="14" t="str">
        <f>IF(MIN(Class_0!G20,Class_1!G20,Class_2!G20) &gt;0, CHAR(43), CHAR(45))</f>
        <v>-</v>
      </c>
      <c r="K73" s="14" t="str">
        <f>IF(MIN(Class_0!H20,Class_1!H20,Class_2!H20) &gt;0, CHAR(43), CHAR(45))</f>
        <v>+</v>
      </c>
      <c r="L73" s="14" t="str">
        <f>IF(MIN(Class_0!I20,Class_1!I20,Class_2!I20) &gt;0, CHAR(43), CHAR(45))</f>
        <v>-</v>
      </c>
      <c r="M73" s="14" t="str">
        <f>IF(MIN(Class_0!J20,Class_1!J20,Class_2!J20) &gt;0, CHAR(43), CHAR(45))</f>
        <v>+</v>
      </c>
      <c r="N73" s="14" t="str">
        <f>IF(MIN(Class_0!K20,Class_1!K20,Class_2!K20) &gt;0, CHAR(43), CHAR(45))</f>
        <v>+</v>
      </c>
      <c r="O73" s="14" t="str">
        <f>IF(MIN(Class_0!L20,Class_1!L20,Class_2!L20) &gt;0, CHAR(43), CHAR(45))</f>
        <v>-</v>
      </c>
      <c r="P73" s="14" t="str">
        <f>IF(MIN(Class_0!M20,Class_1!M20,Class_2!M20) &gt;0, CHAR(43), CHAR(45))</f>
        <v>+</v>
      </c>
      <c r="Q73" s="14" t="str">
        <f>IF(MIN(Class_0!N20,Class_1!N20,Class_2!N20) &gt;0, CHAR(43), CHAR(45))</f>
        <v>-</v>
      </c>
      <c r="R73" s="14" t="str">
        <f>IF(MIN(Class_0!O20,Class_1!O20,Class_2!O20) &gt;0, CHAR(43), CHAR(45))</f>
        <v>+</v>
      </c>
      <c r="S73" s="14" t="str">
        <f>IF(MIN(Class_0!P20,Class_1!P20,Class_2!P20) &gt;0, CHAR(43), CHAR(45))</f>
        <v>+</v>
      </c>
      <c r="T73" s="14" t="str">
        <f>IF(MIN(Class_0!Q20,Class_1!Q20,Class_2!Q20) &gt;0, CHAR(43), CHAR(45))</f>
        <v>+</v>
      </c>
      <c r="U73" s="14" t="str">
        <f>IF(MIN(Class_0!R20,Class_1!R20,Class_2!R20) &gt;0, CHAR(43), CHAR(45))</f>
        <v>+</v>
      </c>
      <c r="V73" s="14" t="str">
        <f>IF(MIN(Class_0!S20,Class_1!S20,Class_2!S20) &gt;0, CHAR(43), CHAR(45))</f>
        <v>+</v>
      </c>
      <c r="W73" s="14" t="str">
        <f>IF(MIN(Class_0!T20,Class_1!T20,Class_2!T20) &gt;0, CHAR(43), CHAR(45))</f>
        <v>+</v>
      </c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5"/>
    </row>
    <row r="74" spans="3:58" x14ac:dyDescent="0.35">
      <c r="C74" s="13" t="s">
        <v>65</v>
      </c>
      <c r="D74" s="10">
        <f t="shared" si="6"/>
        <v>20</v>
      </c>
      <c r="E74" s="14" t="str">
        <f>IF(MIN(Class_0!B21,Class_1!B21,Class_2!B21) &gt;0, CHAR(43), CHAR(45))</f>
        <v>-</v>
      </c>
      <c r="F74" s="14" t="str">
        <f>IF(MIN(Class_0!C21,Class_1!C21,Class_2!C21) &gt;0, CHAR(43), CHAR(45))</f>
        <v>-</v>
      </c>
      <c r="G74" s="14" t="str">
        <f>IF(MIN(Class_0!D21,Class_1!D21,Class_2!D21) &gt;0, CHAR(43), CHAR(45))</f>
        <v>-</v>
      </c>
      <c r="H74" s="14" t="str">
        <f>IF(MIN(Class_0!E21,Class_1!E21,Class_2!E21) &gt;0, CHAR(43), CHAR(45))</f>
        <v>-</v>
      </c>
      <c r="I74" s="14" t="str">
        <f>IF(MIN(Class_0!F21,Class_1!F21,Class_2!F21) &gt;0, CHAR(43), CHAR(45))</f>
        <v>-</v>
      </c>
      <c r="J74" s="14" t="str">
        <f>IF(MIN(Class_0!G21,Class_1!G21,Class_2!G21) &gt;0, CHAR(43), CHAR(45))</f>
        <v>-</v>
      </c>
      <c r="K74" s="14" t="str">
        <f>IF(MIN(Class_0!H21,Class_1!H21,Class_2!H21) &gt;0, CHAR(43), CHAR(45))</f>
        <v>-</v>
      </c>
      <c r="L74" s="14" t="str">
        <f>IF(MIN(Class_0!I21,Class_1!I21,Class_2!I21) &gt;0, CHAR(43), CHAR(45))</f>
        <v>+</v>
      </c>
      <c r="M74" s="14" t="str">
        <f>IF(MIN(Class_0!J21,Class_1!J21,Class_2!J21) &gt;0, CHAR(43), CHAR(45))</f>
        <v>+</v>
      </c>
      <c r="N74" s="14" t="str">
        <f>IF(MIN(Class_0!K21,Class_1!K21,Class_2!K21) &gt;0, CHAR(43), CHAR(45))</f>
        <v>-</v>
      </c>
      <c r="O74" s="14" t="str">
        <f>IF(MIN(Class_0!L21,Class_1!L21,Class_2!L21) &gt;0, CHAR(43), CHAR(45))</f>
        <v>-</v>
      </c>
      <c r="P74" s="14" t="str">
        <f>IF(MIN(Class_0!M21,Class_1!M21,Class_2!M21) &gt;0, CHAR(43), CHAR(45))</f>
        <v>+</v>
      </c>
      <c r="Q74" s="14" t="str">
        <f>IF(MIN(Class_0!N21,Class_1!N21,Class_2!N21) &gt;0, CHAR(43), CHAR(45))</f>
        <v>+</v>
      </c>
      <c r="R74" s="14" t="str">
        <f>IF(MIN(Class_0!O21,Class_1!O21,Class_2!O21) &gt;0, CHAR(43), CHAR(45))</f>
        <v>+</v>
      </c>
      <c r="S74" s="14" t="str">
        <f>IF(MIN(Class_0!P21,Class_1!P21,Class_2!P21) &gt;0, CHAR(43), CHAR(45))</f>
        <v>+</v>
      </c>
      <c r="T74" s="14" t="str">
        <f>IF(MIN(Class_0!Q21,Class_1!Q21,Class_2!Q21) &gt;0, CHAR(43), CHAR(45))</f>
        <v>+</v>
      </c>
      <c r="U74" s="14" t="str">
        <f>IF(MIN(Class_0!R21,Class_1!R21,Class_2!R21) &gt;0, CHAR(43), CHAR(45))</f>
        <v>+</v>
      </c>
      <c r="V74" s="14" t="str">
        <f>IF(MIN(Class_0!S21,Class_1!S21,Class_2!S21) &gt;0, CHAR(43), CHAR(45))</f>
        <v>+</v>
      </c>
      <c r="W74" s="14" t="str">
        <f>IF(MIN(Class_0!T21,Class_1!T21,Class_2!T21) &gt;0, CHAR(43), CHAR(45))</f>
        <v>+</v>
      </c>
      <c r="X74" s="14" t="str">
        <f>IF(MIN(Class_0!U21,Class_1!U21,Class_2!U21) &gt;0, CHAR(43), CHAR(45))</f>
        <v>+</v>
      </c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5"/>
    </row>
    <row r="75" spans="3:58" x14ac:dyDescent="0.35">
      <c r="C75" s="13" t="s">
        <v>142</v>
      </c>
      <c r="D75" s="10">
        <f t="shared" si="6"/>
        <v>21</v>
      </c>
      <c r="E75" s="14" t="str">
        <f>IF(MIN(Class_0!B22,Class_1!B22,Class_2!B22) &gt;0, CHAR(43), CHAR(45))</f>
        <v>+</v>
      </c>
      <c r="F75" s="14" t="str">
        <f>IF(MIN(Class_0!C22,Class_1!C22,Class_2!C22) &gt;0, CHAR(43), CHAR(45))</f>
        <v>-</v>
      </c>
      <c r="G75" s="14" t="str">
        <f>IF(MIN(Class_0!D22,Class_1!D22,Class_2!D22) &gt;0, CHAR(43), CHAR(45))</f>
        <v>-</v>
      </c>
      <c r="H75" s="14" t="str">
        <f>IF(MIN(Class_0!E22,Class_1!E22,Class_2!E22) &gt;0, CHAR(43), CHAR(45))</f>
        <v>-</v>
      </c>
      <c r="I75" s="14" t="str">
        <f>IF(MIN(Class_0!F22,Class_1!F22,Class_2!F22) &gt;0, CHAR(43), CHAR(45))</f>
        <v>-</v>
      </c>
      <c r="J75" s="14" t="str">
        <f>IF(MIN(Class_0!G22,Class_1!G22,Class_2!G22) &gt;0, CHAR(43), CHAR(45))</f>
        <v>-</v>
      </c>
      <c r="K75" s="14" t="str">
        <f>IF(MIN(Class_0!H22,Class_1!H22,Class_2!H22) &gt;0, CHAR(43), CHAR(45))</f>
        <v>+</v>
      </c>
      <c r="L75" s="14" t="str">
        <f>IF(MIN(Class_0!I22,Class_1!I22,Class_2!I22) &gt;0, CHAR(43), CHAR(45))</f>
        <v>+</v>
      </c>
      <c r="M75" s="14" t="str">
        <f>IF(MIN(Class_0!J22,Class_1!J22,Class_2!J22) &gt;0, CHAR(43), CHAR(45))</f>
        <v>+</v>
      </c>
      <c r="N75" s="14" t="str">
        <f>IF(MIN(Class_0!K22,Class_1!K22,Class_2!K22) &gt;0, CHAR(43), CHAR(45))</f>
        <v>-</v>
      </c>
      <c r="O75" s="14" t="str">
        <f>IF(MIN(Class_0!L22,Class_1!L22,Class_2!L22) &gt;0, CHAR(43), CHAR(45))</f>
        <v>-</v>
      </c>
      <c r="P75" s="14" t="str">
        <f>IF(MIN(Class_0!M22,Class_1!M22,Class_2!M22) &gt;0, CHAR(43), CHAR(45))</f>
        <v>-</v>
      </c>
      <c r="Q75" s="14" t="str">
        <f>IF(MIN(Class_0!N22,Class_1!N22,Class_2!N22) &gt;0, CHAR(43), CHAR(45))</f>
        <v>-</v>
      </c>
      <c r="R75" s="14" t="str">
        <f>IF(MIN(Class_0!O22,Class_1!O22,Class_2!O22) &gt;0, CHAR(43), CHAR(45))</f>
        <v>+</v>
      </c>
      <c r="S75" s="14" t="str">
        <f>IF(MIN(Class_0!P22,Class_1!P22,Class_2!P22) &gt;0, CHAR(43), CHAR(45))</f>
        <v>+</v>
      </c>
      <c r="T75" s="14" t="str">
        <f>IF(MIN(Class_0!Q22,Class_1!Q22,Class_2!Q22) &gt;0, CHAR(43), CHAR(45))</f>
        <v>+</v>
      </c>
      <c r="U75" s="14" t="str">
        <f>IF(MIN(Class_0!R22,Class_1!R22,Class_2!R22) &gt;0, CHAR(43), CHAR(45))</f>
        <v>+</v>
      </c>
      <c r="V75" s="14" t="str">
        <f>IF(MIN(Class_0!S22,Class_1!S22,Class_2!S22) &gt;0, CHAR(43), CHAR(45))</f>
        <v>+</v>
      </c>
      <c r="W75" s="14" t="str">
        <f>IF(MIN(Class_0!T22,Class_1!T22,Class_2!T22) &gt;0, CHAR(43), CHAR(45))</f>
        <v>+</v>
      </c>
      <c r="X75" s="14" t="str">
        <f>IF(MIN(Class_0!U22,Class_1!U22,Class_2!U22) &gt;0, CHAR(43), CHAR(45))</f>
        <v>+</v>
      </c>
      <c r="Y75" s="14" t="str">
        <f>IF(MIN(Class_0!V22,Class_1!V22,Class_2!V22) &gt;0, CHAR(43), CHAR(45))</f>
        <v>+</v>
      </c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5"/>
    </row>
    <row r="76" spans="3:58" x14ac:dyDescent="0.35">
      <c r="C76" s="13" t="s">
        <v>66</v>
      </c>
      <c r="D76" s="10">
        <f t="shared" si="6"/>
        <v>22</v>
      </c>
      <c r="E76" s="14" t="str">
        <f>IF(MIN(Class_0!B23,Class_1!B23,Class_2!B23) &gt;0, CHAR(43), CHAR(45))</f>
        <v>-</v>
      </c>
      <c r="F76" s="14" t="str">
        <f>IF(MIN(Class_0!C23,Class_1!C23,Class_2!C23) &gt;0, CHAR(43), CHAR(45))</f>
        <v>-</v>
      </c>
      <c r="G76" s="14" t="str">
        <f>IF(MIN(Class_0!D23,Class_1!D23,Class_2!D23) &gt;0, CHAR(43), CHAR(45))</f>
        <v>-</v>
      </c>
      <c r="H76" s="14" t="str">
        <f>IF(MIN(Class_0!E23,Class_1!E23,Class_2!E23) &gt;0, CHAR(43), CHAR(45))</f>
        <v>-</v>
      </c>
      <c r="I76" s="14" t="str">
        <f>IF(MIN(Class_0!F23,Class_1!F23,Class_2!F23) &gt;0, CHAR(43), CHAR(45))</f>
        <v>-</v>
      </c>
      <c r="J76" s="14" t="str">
        <f>IF(MIN(Class_0!G23,Class_1!G23,Class_2!G23) &gt;0, CHAR(43), CHAR(45))</f>
        <v>-</v>
      </c>
      <c r="K76" s="14" t="str">
        <f>IF(MIN(Class_0!H23,Class_1!H23,Class_2!H23) &gt;0, CHAR(43), CHAR(45))</f>
        <v>-</v>
      </c>
      <c r="L76" s="14" t="str">
        <f>IF(MIN(Class_0!I23,Class_1!I23,Class_2!I23) &gt;0, CHAR(43), CHAR(45))</f>
        <v>-</v>
      </c>
      <c r="M76" s="14" t="str">
        <f>IF(MIN(Class_0!J23,Class_1!J23,Class_2!J23) &gt;0, CHAR(43), CHAR(45))</f>
        <v>+</v>
      </c>
      <c r="N76" s="14" t="str">
        <f>IF(MIN(Class_0!K23,Class_1!K23,Class_2!K23) &gt;0, CHAR(43), CHAR(45))</f>
        <v>-</v>
      </c>
      <c r="O76" s="14" t="str">
        <f>IF(MIN(Class_0!L23,Class_1!L23,Class_2!L23) &gt;0, CHAR(43), CHAR(45))</f>
        <v>-</v>
      </c>
      <c r="P76" s="14" t="str">
        <f>IF(MIN(Class_0!M23,Class_1!M23,Class_2!M23) &gt;0, CHAR(43), CHAR(45))</f>
        <v>+</v>
      </c>
      <c r="Q76" s="14" t="str">
        <f>IF(MIN(Class_0!N23,Class_1!N23,Class_2!N23) &gt;0, CHAR(43), CHAR(45))</f>
        <v>-</v>
      </c>
      <c r="R76" s="14" t="str">
        <f>IF(MIN(Class_0!O23,Class_1!O23,Class_2!O23) &gt;0, CHAR(43), CHAR(45))</f>
        <v>+</v>
      </c>
      <c r="S76" s="14" t="str">
        <f>IF(MIN(Class_0!P23,Class_1!P23,Class_2!P23) &gt;0, CHAR(43), CHAR(45))</f>
        <v>+</v>
      </c>
      <c r="T76" s="14" t="str">
        <f>IF(MIN(Class_0!Q23,Class_1!Q23,Class_2!Q23) &gt;0, CHAR(43), CHAR(45))</f>
        <v>-</v>
      </c>
      <c r="U76" s="14" t="str">
        <f>IF(MIN(Class_0!R23,Class_1!R23,Class_2!R23) &gt;0, CHAR(43), CHAR(45))</f>
        <v>-</v>
      </c>
      <c r="V76" s="14" t="str">
        <f>IF(MIN(Class_0!S23,Class_1!S23,Class_2!S23) &gt;0, CHAR(43), CHAR(45))</f>
        <v>+</v>
      </c>
      <c r="W76" s="14" t="str">
        <f>IF(MIN(Class_0!T23,Class_1!T23,Class_2!T23) &gt;0, CHAR(43), CHAR(45))</f>
        <v>+</v>
      </c>
      <c r="X76" s="14" t="str">
        <f>IF(MIN(Class_0!U23,Class_1!U23,Class_2!U23) &gt;0, CHAR(43), CHAR(45))</f>
        <v>+</v>
      </c>
      <c r="Y76" s="14" t="str">
        <f>IF(MIN(Class_0!V23,Class_1!V23,Class_2!V23) &gt;0, CHAR(43), CHAR(45))</f>
        <v>+</v>
      </c>
      <c r="Z76" s="14" t="str">
        <f>IF(MIN(Class_0!W23,Class_1!W23,Class_2!W23) &gt;0, CHAR(43), CHAR(45))</f>
        <v>+</v>
      </c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5"/>
    </row>
    <row r="77" spans="3:58" x14ac:dyDescent="0.35">
      <c r="C77" s="13" t="s">
        <v>67</v>
      </c>
      <c r="D77" s="10">
        <f t="shared" si="6"/>
        <v>23</v>
      </c>
      <c r="E77" s="14" t="str">
        <f>IF(MIN(Class_0!B24,Class_1!B24,Class_2!B24) &gt;0, CHAR(43), CHAR(45))</f>
        <v>+</v>
      </c>
      <c r="F77" s="14" t="str">
        <f>IF(MIN(Class_0!C24,Class_1!C24,Class_2!C24) &gt;0, CHAR(43), CHAR(45))</f>
        <v>-</v>
      </c>
      <c r="G77" s="14" t="str">
        <f>IF(MIN(Class_0!D24,Class_1!D24,Class_2!D24) &gt;0, CHAR(43), CHAR(45))</f>
        <v>-</v>
      </c>
      <c r="H77" s="14" t="str">
        <f>IF(MIN(Class_0!E24,Class_1!E24,Class_2!E24) &gt;0, CHAR(43), CHAR(45))</f>
        <v>-</v>
      </c>
      <c r="I77" s="14" t="str">
        <f>IF(MIN(Class_0!F24,Class_1!F24,Class_2!F24) &gt;0, CHAR(43), CHAR(45))</f>
        <v>-</v>
      </c>
      <c r="J77" s="14" t="str">
        <f>IF(MIN(Class_0!G24,Class_1!G24,Class_2!G24) &gt;0, CHAR(43), CHAR(45))</f>
        <v>-</v>
      </c>
      <c r="K77" s="14" t="str">
        <f>IF(MIN(Class_0!H24,Class_1!H24,Class_2!H24) &gt;0, CHAR(43), CHAR(45))</f>
        <v>-</v>
      </c>
      <c r="L77" s="14" t="str">
        <f>IF(MIN(Class_0!I24,Class_1!I24,Class_2!I24) &gt;0, CHAR(43), CHAR(45))</f>
        <v>+</v>
      </c>
      <c r="M77" s="14" t="str">
        <f>IF(MIN(Class_0!J24,Class_1!J24,Class_2!J24) &gt;0, CHAR(43), CHAR(45))</f>
        <v>+</v>
      </c>
      <c r="N77" s="14" t="str">
        <f>IF(MIN(Class_0!K24,Class_1!K24,Class_2!K24) &gt;0, CHAR(43), CHAR(45))</f>
        <v>-</v>
      </c>
      <c r="O77" s="14" t="str">
        <f>IF(MIN(Class_0!L24,Class_1!L24,Class_2!L24) &gt;0, CHAR(43), CHAR(45))</f>
        <v>-</v>
      </c>
      <c r="P77" s="14" t="str">
        <f>IF(MIN(Class_0!M24,Class_1!M24,Class_2!M24) &gt;0, CHAR(43), CHAR(45))</f>
        <v>+</v>
      </c>
      <c r="Q77" s="14" t="str">
        <f>IF(MIN(Class_0!N24,Class_1!N24,Class_2!N24) &gt;0, CHAR(43), CHAR(45))</f>
        <v>+</v>
      </c>
      <c r="R77" s="14" t="str">
        <f>IF(MIN(Class_0!O24,Class_1!O24,Class_2!O24) &gt;0, CHAR(43), CHAR(45))</f>
        <v>+</v>
      </c>
      <c r="S77" s="14" t="str">
        <f>IF(MIN(Class_0!P24,Class_1!P24,Class_2!P24) &gt;0, CHAR(43), CHAR(45))</f>
        <v>+</v>
      </c>
      <c r="T77" s="14" t="str">
        <f>IF(MIN(Class_0!Q24,Class_1!Q24,Class_2!Q24) &gt;0, CHAR(43), CHAR(45))</f>
        <v>-</v>
      </c>
      <c r="U77" s="14" t="str">
        <f>IF(MIN(Class_0!R24,Class_1!R24,Class_2!R24) &gt;0, CHAR(43), CHAR(45))</f>
        <v>-</v>
      </c>
      <c r="V77" s="14" t="str">
        <f>IF(MIN(Class_0!S24,Class_1!S24,Class_2!S24) &gt;0, CHAR(43), CHAR(45))</f>
        <v>-</v>
      </c>
      <c r="W77" s="14" t="str">
        <f>IF(MIN(Class_0!T24,Class_1!T24,Class_2!T24) &gt;0, CHAR(43), CHAR(45))</f>
        <v>+</v>
      </c>
      <c r="X77" s="14" t="str">
        <f>IF(MIN(Class_0!U24,Class_1!U24,Class_2!U24) &gt;0, CHAR(43), CHAR(45))</f>
        <v>+</v>
      </c>
      <c r="Y77" s="14" t="str">
        <f>IF(MIN(Class_0!V24,Class_1!V24,Class_2!V24) &gt;0, CHAR(43), CHAR(45))</f>
        <v>+</v>
      </c>
      <c r="Z77" s="14" t="str">
        <f>IF(MIN(Class_0!W24,Class_1!W24,Class_2!W24) &gt;0, CHAR(43), CHAR(45))</f>
        <v>+</v>
      </c>
      <c r="AA77" s="14" t="str">
        <f>IF(MIN(Class_0!X24,Class_1!X24,Class_2!X24) &gt;0, CHAR(43), CHAR(45))</f>
        <v>+</v>
      </c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5"/>
    </row>
    <row r="78" spans="3:58" x14ac:dyDescent="0.35">
      <c r="C78" s="13" t="s">
        <v>68</v>
      </c>
      <c r="D78" s="10">
        <f t="shared" si="6"/>
        <v>24</v>
      </c>
      <c r="E78" s="14" t="str">
        <f>IF(MIN(Class_0!B25,Class_1!B25,Class_2!B25) &gt;0, CHAR(43), CHAR(45))</f>
        <v>+</v>
      </c>
      <c r="F78" s="14" t="str">
        <f>IF(MIN(Class_0!C25,Class_1!C25,Class_2!C25) &gt;0, CHAR(43), CHAR(45))</f>
        <v>-</v>
      </c>
      <c r="G78" s="14" t="str">
        <f>IF(MIN(Class_0!D25,Class_1!D25,Class_2!D25) &gt;0, CHAR(43), CHAR(45))</f>
        <v>-</v>
      </c>
      <c r="H78" s="14" t="str">
        <f>IF(MIN(Class_0!E25,Class_1!E25,Class_2!E25) &gt;0, CHAR(43), CHAR(45))</f>
        <v>+</v>
      </c>
      <c r="I78" s="14" t="str">
        <f>IF(MIN(Class_0!F25,Class_1!F25,Class_2!F25) &gt;0, CHAR(43), CHAR(45))</f>
        <v>-</v>
      </c>
      <c r="J78" s="14" t="str">
        <f>IF(MIN(Class_0!G25,Class_1!G25,Class_2!G25) &gt;0, CHAR(43), CHAR(45))</f>
        <v>-</v>
      </c>
      <c r="K78" s="14" t="str">
        <f>IF(MIN(Class_0!H25,Class_1!H25,Class_2!H25) &gt;0, CHAR(43), CHAR(45))</f>
        <v>-</v>
      </c>
      <c r="L78" s="14" t="str">
        <f>IF(MIN(Class_0!I25,Class_1!I25,Class_2!I25) &gt;0, CHAR(43), CHAR(45))</f>
        <v>-</v>
      </c>
      <c r="M78" s="14" t="str">
        <f>IF(MIN(Class_0!J25,Class_1!J25,Class_2!J25) &gt;0, CHAR(43), CHAR(45))</f>
        <v>+</v>
      </c>
      <c r="N78" s="14" t="str">
        <f>IF(MIN(Class_0!K25,Class_1!K25,Class_2!K25) &gt;0, CHAR(43), CHAR(45))</f>
        <v>-</v>
      </c>
      <c r="O78" s="14" t="str">
        <f>IF(MIN(Class_0!L25,Class_1!L25,Class_2!L25) &gt;0, CHAR(43), CHAR(45))</f>
        <v>-</v>
      </c>
      <c r="P78" s="14" t="str">
        <f>IF(MIN(Class_0!M25,Class_1!M25,Class_2!M25) &gt;0, CHAR(43), CHAR(45))</f>
        <v>-</v>
      </c>
      <c r="Q78" s="14" t="str">
        <f>IF(MIN(Class_0!N25,Class_1!N25,Class_2!N25) &gt;0, CHAR(43), CHAR(45))</f>
        <v>+</v>
      </c>
      <c r="R78" s="14" t="str">
        <f>IF(MIN(Class_0!O25,Class_1!O25,Class_2!O25) &gt;0, CHAR(43), CHAR(45))</f>
        <v>+</v>
      </c>
      <c r="S78" s="14" t="str">
        <f>IF(MIN(Class_0!P25,Class_1!P25,Class_2!P25) &gt;0, CHAR(43), CHAR(45))</f>
        <v>+</v>
      </c>
      <c r="T78" s="14" t="str">
        <f>IF(MIN(Class_0!Q25,Class_1!Q25,Class_2!Q25) &gt;0, CHAR(43), CHAR(45))</f>
        <v>-</v>
      </c>
      <c r="U78" s="14" t="str">
        <f>IF(MIN(Class_0!R25,Class_1!R25,Class_2!R25) &gt;0, CHAR(43), CHAR(45))</f>
        <v>-</v>
      </c>
      <c r="V78" s="14" t="str">
        <f>IF(MIN(Class_0!S25,Class_1!S25,Class_2!S25) &gt;0, CHAR(43), CHAR(45))</f>
        <v>+</v>
      </c>
      <c r="W78" s="14" t="str">
        <f>IF(MIN(Class_0!T25,Class_1!T25,Class_2!T25) &gt;0, CHAR(43), CHAR(45))</f>
        <v>+</v>
      </c>
      <c r="X78" s="14" t="str">
        <f>IF(MIN(Class_0!U25,Class_1!U25,Class_2!U25) &gt;0, CHAR(43), CHAR(45))</f>
        <v>+</v>
      </c>
      <c r="Y78" s="14" t="str">
        <f>IF(MIN(Class_0!V25,Class_1!V25,Class_2!V25) &gt;0, CHAR(43), CHAR(45))</f>
        <v>+</v>
      </c>
      <c r="Z78" s="14" t="str">
        <f>IF(MIN(Class_0!W25,Class_1!W25,Class_2!W25) &gt;0, CHAR(43), CHAR(45))</f>
        <v>+</v>
      </c>
      <c r="AA78" s="14" t="str">
        <f>IF(MIN(Class_0!X25,Class_1!X25,Class_2!X25) &gt;0, CHAR(43), CHAR(45))</f>
        <v>+</v>
      </c>
      <c r="AB78" s="14" t="str">
        <f>IF(MIN(Class_0!Y25,Class_1!Y25,Class_2!Y25) &gt;0, CHAR(43), CHAR(45))</f>
        <v>+</v>
      </c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5"/>
    </row>
    <row r="79" spans="3:58" x14ac:dyDescent="0.35">
      <c r="C79" s="13" t="s">
        <v>143</v>
      </c>
      <c r="D79" s="10">
        <f t="shared" si="6"/>
        <v>25</v>
      </c>
      <c r="E79" s="14" t="str">
        <f>IF(MIN(Class_0!B26,Class_1!B26,Class_2!B26) &gt;0, CHAR(43), CHAR(45))</f>
        <v>+</v>
      </c>
      <c r="F79" s="14" t="str">
        <f>IF(MIN(Class_0!C26,Class_1!C26,Class_2!C26) &gt;0, CHAR(43), CHAR(45))</f>
        <v>-</v>
      </c>
      <c r="G79" s="14" t="str">
        <f>IF(MIN(Class_0!D26,Class_1!D26,Class_2!D26) &gt;0, CHAR(43), CHAR(45))</f>
        <v>-</v>
      </c>
      <c r="H79" s="14" t="str">
        <f>IF(MIN(Class_0!E26,Class_1!E26,Class_2!E26) &gt;0, CHAR(43), CHAR(45))</f>
        <v>-</v>
      </c>
      <c r="I79" s="14" t="str">
        <f>IF(MIN(Class_0!F26,Class_1!F26,Class_2!F26) &gt;0, CHAR(43), CHAR(45))</f>
        <v>-</v>
      </c>
      <c r="J79" s="14" t="str">
        <f>IF(MIN(Class_0!G26,Class_1!G26,Class_2!G26) &gt;0, CHAR(43), CHAR(45))</f>
        <v>-</v>
      </c>
      <c r="K79" s="14" t="str">
        <f>IF(MIN(Class_0!H26,Class_1!H26,Class_2!H26) &gt;0, CHAR(43), CHAR(45))</f>
        <v>+</v>
      </c>
      <c r="L79" s="14" t="str">
        <f>IF(MIN(Class_0!I26,Class_1!I26,Class_2!I26) &gt;0, CHAR(43), CHAR(45))</f>
        <v>+</v>
      </c>
      <c r="M79" s="14" t="str">
        <f>IF(MIN(Class_0!J26,Class_1!J26,Class_2!J26) &gt;0, CHAR(43), CHAR(45))</f>
        <v>+</v>
      </c>
      <c r="N79" s="14" t="str">
        <f>IF(MIN(Class_0!K26,Class_1!K26,Class_2!K26) &gt;0, CHAR(43), CHAR(45))</f>
        <v>-</v>
      </c>
      <c r="O79" s="14" t="str">
        <f>IF(MIN(Class_0!L26,Class_1!L26,Class_2!L26) &gt;0, CHAR(43), CHAR(45))</f>
        <v>-</v>
      </c>
      <c r="P79" s="14" t="str">
        <f>IF(MIN(Class_0!M26,Class_1!M26,Class_2!M26) &gt;0, CHAR(43), CHAR(45))</f>
        <v>+</v>
      </c>
      <c r="Q79" s="14" t="str">
        <f>IF(MIN(Class_0!N26,Class_1!N26,Class_2!N26) &gt;0, CHAR(43), CHAR(45))</f>
        <v>-</v>
      </c>
      <c r="R79" s="14" t="str">
        <f>IF(MIN(Class_0!O26,Class_1!O26,Class_2!O26) &gt;0, CHAR(43), CHAR(45))</f>
        <v>+</v>
      </c>
      <c r="S79" s="14" t="str">
        <f>IF(MIN(Class_0!P26,Class_1!P26,Class_2!P26) &gt;0, CHAR(43), CHAR(45))</f>
        <v>+</v>
      </c>
      <c r="T79" s="14" t="str">
        <f>IF(MIN(Class_0!Q26,Class_1!Q26,Class_2!Q26) &gt;0, CHAR(43), CHAR(45))</f>
        <v>-</v>
      </c>
      <c r="U79" s="14" t="str">
        <f>IF(MIN(Class_0!R26,Class_1!R26,Class_2!R26) &gt;0, CHAR(43), CHAR(45))</f>
        <v>-</v>
      </c>
      <c r="V79" s="14" t="str">
        <f>IF(MIN(Class_0!S26,Class_1!S26,Class_2!S26) &gt;0, CHAR(43), CHAR(45))</f>
        <v>-</v>
      </c>
      <c r="W79" s="14" t="str">
        <f>IF(MIN(Class_0!T26,Class_1!T26,Class_2!T26) &gt;0, CHAR(43), CHAR(45))</f>
        <v>+</v>
      </c>
      <c r="X79" s="14" t="str">
        <f>IF(MIN(Class_0!U26,Class_1!U26,Class_2!U26) &gt;0, CHAR(43), CHAR(45))</f>
        <v>-</v>
      </c>
      <c r="Y79" s="14" t="str">
        <f>IF(MIN(Class_0!V26,Class_1!V26,Class_2!V26) &gt;0, CHAR(43), CHAR(45))</f>
        <v>+</v>
      </c>
      <c r="Z79" s="14" t="str">
        <f>IF(MIN(Class_0!W26,Class_1!W26,Class_2!W26) &gt;0, CHAR(43), CHAR(45))</f>
        <v>+</v>
      </c>
      <c r="AA79" s="14" t="str">
        <f>IF(MIN(Class_0!X26,Class_1!X26,Class_2!X26) &gt;0, CHAR(43), CHAR(45))</f>
        <v>+</v>
      </c>
      <c r="AB79" s="14" t="str">
        <f>IF(MIN(Class_0!Y26,Class_1!Y26,Class_2!Y26) &gt;0, CHAR(43), CHAR(45))</f>
        <v>+</v>
      </c>
      <c r="AC79" s="14" t="str">
        <f>IF(MIN(Class_0!Z26,Class_1!Z26,Class_2!Z26) &gt;0, CHAR(43), CHAR(45))</f>
        <v>+</v>
      </c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5"/>
    </row>
    <row r="80" spans="3:58" x14ac:dyDescent="0.35">
      <c r="C80" s="13" t="s">
        <v>144</v>
      </c>
      <c r="D80" s="10">
        <f t="shared" si="6"/>
        <v>26</v>
      </c>
      <c r="E80" s="14" t="str">
        <f>IF(MIN(Class_0!B27,Class_1!B27,Class_2!B27) &gt;0, CHAR(43), CHAR(45))</f>
        <v>-</v>
      </c>
      <c r="F80" s="14" t="str">
        <f>IF(MIN(Class_0!C27,Class_1!C27,Class_2!C27) &gt;0, CHAR(43), CHAR(45))</f>
        <v>-</v>
      </c>
      <c r="G80" s="14" t="str">
        <f>IF(MIN(Class_0!D27,Class_1!D27,Class_2!D27) &gt;0, CHAR(43), CHAR(45))</f>
        <v>-</v>
      </c>
      <c r="H80" s="14" t="str">
        <f>IF(MIN(Class_0!E27,Class_1!E27,Class_2!E27) &gt;0, CHAR(43), CHAR(45))</f>
        <v>-</v>
      </c>
      <c r="I80" s="14" t="str">
        <f>IF(MIN(Class_0!F27,Class_1!F27,Class_2!F27) &gt;0, CHAR(43), CHAR(45))</f>
        <v>-</v>
      </c>
      <c r="J80" s="14" t="str">
        <f>IF(MIN(Class_0!G27,Class_1!G27,Class_2!G27) &gt;0, CHAR(43), CHAR(45))</f>
        <v>-</v>
      </c>
      <c r="K80" s="14" t="str">
        <f>IF(MIN(Class_0!H27,Class_1!H27,Class_2!H27) &gt;0, CHAR(43), CHAR(45))</f>
        <v>-</v>
      </c>
      <c r="L80" s="14" t="str">
        <f>IF(MIN(Class_0!I27,Class_1!I27,Class_2!I27) &gt;0, CHAR(43), CHAR(45))</f>
        <v>-</v>
      </c>
      <c r="M80" s="14" t="str">
        <f>IF(MIN(Class_0!J27,Class_1!J27,Class_2!J27) &gt;0, CHAR(43), CHAR(45))</f>
        <v>+</v>
      </c>
      <c r="N80" s="14" t="str">
        <f>IF(MIN(Class_0!K27,Class_1!K27,Class_2!K27) &gt;0, CHAR(43), CHAR(45))</f>
        <v>-</v>
      </c>
      <c r="O80" s="14" t="str">
        <f>IF(MIN(Class_0!L27,Class_1!L27,Class_2!L27) &gt;0, CHAR(43), CHAR(45))</f>
        <v>-</v>
      </c>
      <c r="P80" s="14" t="str">
        <f>IF(MIN(Class_0!M27,Class_1!M27,Class_2!M27) &gt;0, CHAR(43), CHAR(45))</f>
        <v>+</v>
      </c>
      <c r="Q80" s="14" t="str">
        <f>IF(MIN(Class_0!N27,Class_1!N27,Class_2!N27) &gt;0, CHAR(43), CHAR(45))</f>
        <v>+</v>
      </c>
      <c r="R80" s="14" t="str">
        <f>IF(MIN(Class_0!O27,Class_1!O27,Class_2!O27) &gt;0, CHAR(43), CHAR(45))</f>
        <v>+</v>
      </c>
      <c r="S80" s="14" t="str">
        <f>IF(MIN(Class_0!P27,Class_1!P27,Class_2!P27) &gt;0, CHAR(43), CHAR(45))</f>
        <v>+</v>
      </c>
      <c r="T80" s="14" t="str">
        <f>IF(MIN(Class_0!Q27,Class_1!Q27,Class_2!Q27) &gt;0, CHAR(43), CHAR(45))</f>
        <v>+</v>
      </c>
      <c r="U80" s="14" t="str">
        <f>IF(MIN(Class_0!R27,Class_1!R27,Class_2!R27) &gt;0, CHAR(43), CHAR(45))</f>
        <v>-</v>
      </c>
      <c r="V80" s="14" t="str">
        <f>IF(MIN(Class_0!S27,Class_1!S27,Class_2!S27) &gt;0, CHAR(43), CHAR(45))</f>
        <v>+</v>
      </c>
      <c r="W80" s="14" t="str">
        <f>IF(MIN(Class_0!T27,Class_1!T27,Class_2!T27) &gt;0, CHAR(43), CHAR(45))</f>
        <v>+</v>
      </c>
      <c r="X80" s="14" t="str">
        <f>IF(MIN(Class_0!U27,Class_1!U27,Class_2!U27) &gt;0, CHAR(43), CHAR(45))</f>
        <v>-</v>
      </c>
      <c r="Y80" s="14" t="str">
        <f>IF(MIN(Class_0!V27,Class_1!V27,Class_2!V27) &gt;0, CHAR(43), CHAR(45))</f>
        <v>-</v>
      </c>
      <c r="Z80" s="14" t="str">
        <f>IF(MIN(Class_0!W27,Class_1!W27,Class_2!W27) &gt;0, CHAR(43), CHAR(45))</f>
        <v>+</v>
      </c>
      <c r="AA80" s="14" t="str">
        <f>IF(MIN(Class_0!X27,Class_1!X27,Class_2!X27) &gt;0, CHAR(43), CHAR(45))</f>
        <v>+</v>
      </c>
      <c r="AB80" s="14" t="str">
        <f>IF(MIN(Class_0!Y27,Class_1!Y27,Class_2!Y27) &gt;0, CHAR(43), CHAR(45))</f>
        <v>+</v>
      </c>
      <c r="AC80" s="14" t="str">
        <f>IF(MIN(Class_0!Z27,Class_1!Z27,Class_2!Z27) &gt;0, CHAR(43), CHAR(45))</f>
        <v>+</v>
      </c>
      <c r="AD80" s="14" t="str">
        <f>IF(MIN(Class_0!AA27,Class_1!AA27,Class_2!AA27) &gt;0, CHAR(43), CHAR(45))</f>
        <v>+</v>
      </c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5"/>
    </row>
    <row r="81" spans="3:58" x14ac:dyDescent="0.35">
      <c r="C81" s="13" t="s">
        <v>69</v>
      </c>
      <c r="D81" s="10">
        <f t="shared" si="6"/>
        <v>27</v>
      </c>
      <c r="E81" s="14" t="str">
        <f>IF(MIN(Class_0!B28,Class_1!B28,Class_2!B28) &gt;0, CHAR(43), CHAR(45))</f>
        <v>-</v>
      </c>
      <c r="F81" s="14" t="str">
        <f>IF(MIN(Class_0!C28,Class_1!C28,Class_2!C28) &gt;0, CHAR(43), CHAR(45))</f>
        <v>-</v>
      </c>
      <c r="G81" s="14" t="str">
        <f>IF(MIN(Class_0!D28,Class_1!D28,Class_2!D28) &gt;0, CHAR(43), CHAR(45))</f>
        <v>-</v>
      </c>
      <c r="H81" s="14" t="str">
        <f>IF(MIN(Class_0!E28,Class_1!E28,Class_2!E28) &gt;0, CHAR(43), CHAR(45))</f>
        <v>-</v>
      </c>
      <c r="I81" s="14" t="str">
        <f>IF(MIN(Class_0!F28,Class_1!F28,Class_2!F28) &gt;0, CHAR(43), CHAR(45))</f>
        <v>-</v>
      </c>
      <c r="J81" s="14" t="str">
        <f>IF(MIN(Class_0!G28,Class_1!G28,Class_2!G28) &gt;0, CHAR(43), CHAR(45))</f>
        <v>-</v>
      </c>
      <c r="K81" s="14" t="str">
        <f>IF(MIN(Class_0!H28,Class_1!H28,Class_2!H28) &gt;0, CHAR(43), CHAR(45))</f>
        <v>-</v>
      </c>
      <c r="L81" s="14" t="str">
        <f>IF(MIN(Class_0!I28,Class_1!I28,Class_2!I28) &gt;0, CHAR(43), CHAR(45))</f>
        <v>-</v>
      </c>
      <c r="M81" s="14" t="str">
        <f>IF(MIN(Class_0!J28,Class_1!J28,Class_2!J28) &gt;0, CHAR(43), CHAR(45))</f>
        <v>+</v>
      </c>
      <c r="N81" s="14" t="str">
        <f>IF(MIN(Class_0!K28,Class_1!K28,Class_2!K28) &gt;0, CHAR(43), CHAR(45))</f>
        <v>-</v>
      </c>
      <c r="O81" s="14" t="str">
        <f>IF(MIN(Class_0!L28,Class_1!L28,Class_2!L28) &gt;0, CHAR(43), CHAR(45))</f>
        <v>-</v>
      </c>
      <c r="P81" s="14" t="str">
        <f>IF(MIN(Class_0!M28,Class_1!M28,Class_2!M28) &gt;0, CHAR(43), CHAR(45))</f>
        <v>+</v>
      </c>
      <c r="Q81" s="14" t="str">
        <f>IF(MIN(Class_0!N28,Class_1!N28,Class_2!N28) &gt;0, CHAR(43), CHAR(45))</f>
        <v>+</v>
      </c>
      <c r="R81" s="14" t="str">
        <f>IF(MIN(Class_0!O28,Class_1!O28,Class_2!O28) &gt;0, CHAR(43), CHAR(45))</f>
        <v>+</v>
      </c>
      <c r="S81" s="14" t="str">
        <f>IF(MIN(Class_0!P28,Class_1!P28,Class_2!P28) &gt;0, CHAR(43), CHAR(45))</f>
        <v>+</v>
      </c>
      <c r="T81" s="14" t="str">
        <f>IF(MIN(Class_0!Q28,Class_1!Q28,Class_2!Q28) &gt;0, CHAR(43), CHAR(45))</f>
        <v>+</v>
      </c>
      <c r="U81" s="14" t="str">
        <f>IF(MIN(Class_0!R28,Class_1!R28,Class_2!R28) &gt;0, CHAR(43), CHAR(45))</f>
        <v>-</v>
      </c>
      <c r="V81" s="14" t="str">
        <f>IF(MIN(Class_0!S28,Class_1!S28,Class_2!S28) &gt;0, CHAR(43), CHAR(45))</f>
        <v>-</v>
      </c>
      <c r="W81" s="14" t="str">
        <f>IF(MIN(Class_0!T28,Class_1!T28,Class_2!T28) &gt;0, CHAR(43), CHAR(45))</f>
        <v>-</v>
      </c>
      <c r="X81" s="14" t="str">
        <f>IF(MIN(Class_0!U28,Class_1!U28,Class_2!U28) &gt;0, CHAR(43), CHAR(45))</f>
        <v>-</v>
      </c>
      <c r="Y81" s="14" t="str">
        <f>IF(MIN(Class_0!V28,Class_1!V28,Class_2!V28) &gt;0, CHAR(43), CHAR(45))</f>
        <v>-</v>
      </c>
      <c r="Z81" s="14" t="str">
        <f>IF(MIN(Class_0!W28,Class_1!W28,Class_2!W28) &gt;0, CHAR(43), CHAR(45))</f>
        <v>+</v>
      </c>
      <c r="AA81" s="14" t="str">
        <f>IF(MIN(Class_0!X28,Class_1!X28,Class_2!X28) &gt;0, CHAR(43), CHAR(45))</f>
        <v>+</v>
      </c>
      <c r="AB81" s="14" t="str">
        <f>IF(MIN(Class_0!Y28,Class_1!Y28,Class_2!Y28) &gt;0, CHAR(43), CHAR(45))</f>
        <v>+</v>
      </c>
      <c r="AC81" s="14" t="str">
        <f>IF(MIN(Class_0!Z28,Class_1!Z28,Class_2!Z28) &gt;0, CHAR(43), CHAR(45))</f>
        <v>+</v>
      </c>
      <c r="AD81" s="14" t="str">
        <f>IF(MIN(Class_0!AA28,Class_1!AA28,Class_2!AA28) &gt;0, CHAR(43), CHAR(45))</f>
        <v>+</v>
      </c>
      <c r="AE81" s="14" t="str">
        <f>IF(MIN(Class_0!AB28,Class_1!AB28,Class_2!AB28) &gt;0, CHAR(43), CHAR(45))</f>
        <v>+</v>
      </c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5"/>
    </row>
    <row r="82" spans="3:58" x14ac:dyDescent="0.35">
      <c r="C82" s="13" t="s">
        <v>70</v>
      </c>
      <c r="D82" s="10">
        <f t="shared" si="6"/>
        <v>28</v>
      </c>
      <c r="E82" s="14" t="str">
        <f>IF(MIN(Class_0!B29,Class_1!B29,Class_2!B29) &gt;0, CHAR(43), CHAR(45))</f>
        <v>-</v>
      </c>
      <c r="F82" s="14" t="str">
        <f>IF(MIN(Class_0!C29,Class_1!C29,Class_2!C29) &gt;0, CHAR(43), CHAR(45))</f>
        <v>-</v>
      </c>
      <c r="G82" s="14" t="str">
        <f>IF(MIN(Class_0!D29,Class_1!D29,Class_2!D29) &gt;0, CHAR(43), CHAR(45))</f>
        <v>-</v>
      </c>
      <c r="H82" s="14" t="str">
        <f>IF(MIN(Class_0!E29,Class_1!E29,Class_2!E29) &gt;0, CHAR(43), CHAR(45))</f>
        <v>-</v>
      </c>
      <c r="I82" s="14" t="str">
        <f>IF(MIN(Class_0!F29,Class_1!F29,Class_2!F29) &gt;0, CHAR(43), CHAR(45))</f>
        <v>-</v>
      </c>
      <c r="J82" s="14" t="str">
        <f>IF(MIN(Class_0!G29,Class_1!G29,Class_2!G29) &gt;0, CHAR(43), CHAR(45))</f>
        <v>-</v>
      </c>
      <c r="K82" s="14" t="str">
        <f>IF(MIN(Class_0!H29,Class_1!H29,Class_2!H29) &gt;0, CHAR(43), CHAR(45))</f>
        <v>-</v>
      </c>
      <c r="L82" s="14" t="str">
        <f>IF(MIN(Class_0!I29,Class_1!I29,Class_2!I29) &gt;0, CHAR(43), CHAR(45))</f>
        <v>+</v>
      </c>
      <c r="M82" s="14" t="str">
        <f>IF(MIN(Class_0!J29,Class_1!J29,Class_2!J29) &gt;0, CHAR(43), CHAR(45))</f>
        <v>+</v>
      </c>
      <c r="N82" s="14" t="str">
        <f>IF(MIN(Class_0!K29,Class_1!K29,Class_2!K29) &gt;0, CHAR(43), CHAR(45))</f>
        <v>-</v>
      </c>
      <c r="O82" s="14" t="str">
        <f>IF(MIN(Class_0!L29,Class_1!L29,Class_2!L29) &gt;0, CHAR(43), CHAR(45))</f>
        <v>-</v>
      </c>
      <c r="P82" s="14" t="str">
        <f>IF(MIN(Class_0!M29,Class_1!M29,Class_2!M29) &gt;0, CHAR(43), CHAR(45))</f>
        <v>+</v>
      </c>
      <c r="Q82" s="14" t="str">
        <f>IF(MIN(Class_0!N29,Class_1!N29,Class_2!N29) &gt;0, CHAR(43), CHAR(45))</f>
        <v>+</v>
      </c>
      <c r="R82" s="14" t="str">
        <f>IF(MIN(Class_0!O29,Class_1!O29,Class_2!O29) &gt;0, CHAR(43), CHAR(45))</f>
        <v>+</v>
      </c>
      <c r="S82" s="14" t="str">
        <f>IF(MIN(Class_0!P29,Class_1!P29,Class_2!P29) &gt;0, CHAR(43), CHAR(45))</f>
        <v>+</v>
      </c>
      <c r="T82" s="14" t="str">
        <f>IF(MIN(Class_0!Q29,Class_1!Q29,Class_2!Q29) &gt;0, CHAR(43), CHAR(45))</f>
        <v>+</v>
      </c>
      <c r="U82" s="14" t="str">
        <f>IF(MIN(Class_0!R29,Class_1!R29,Class_2!R29) &gt;0, CHAR(43), CHAR(45))</f>
        <v>-</v>
      </c>
      <c r="V82" s="14" t="str">
        <f>IF(MIN(Class_0!S29,Class_1!S29,Class_2!S29) &gt;0, CHAR(43), CHAR(45))</f>
        <v>-</v>
      </c>
      <c r="W82" s="14" t="str">
        <f>IF(MIN(Class_0!T29,Class_1!T29,Class_2!T29) &gt;0, CHAR(43), CHAR(45))</f>
        <v>+</v>
      </c>
      <c r="X82" s="14" t="str">
        <f>IF(MIN(Class_0!U29,Class_1!U29,Class_2!U29) &gt;0, CHAR(43), CHAR(45))</f>
        <v>-</v>
      </c>
      <c r="Y82" s="14" t="str">
        <f>IF(MIN(Class_0!V29,Class_1!V29,Class_2!V29) &gt;0, CHAR(43), CHAR(45))</f>
        <v>-</v>
      </c>
      <c r="Z82" s="14" t="str">
        <f>IF(MIN(Class_0!W29,Class_1!W29,Class_2!W29) &gt;0, CHAR(43), CHAR(45))</f>
        <v>+</v>
      </c>
      <c r="AA82" s="14" t="str">
        <f>IF(MIN(Class_0!X29,Class_1!X29,Class_2!X29) &gt;0, CHAR(43), CHAR(45))</f>
        <v>+</v>
      </c>
      <c r="AB82" s="14" t="str">
        <f>IF(MIN(Class_0!Y29,Class_1!Y29,Class_2!Y29) &gt;0, CHAR(43), CHAR(45))</f>
        <v>+</v>
      </c>
      <c r="AC82" s="14" t="str">
        <f>IF(MIN(Class_0!Z29,Class_1!Z29,Class_2!Z29) &gt;0, CHAR(43), CHAR(45))</f>
        <v>+</v>
      </c>
      <c r="AD82" s="14" t="str">
        <f>IF(MIN(Class_0!AA29,Class_1!AA29,Class_2!AA29) &gt;0, CHAR(43), CHAR(45))</f>
        <v>+</v>
      </c>
      <c r="AE82" s="14" t="str">
        <f>IF(MIN(Class_0!AB29,Class_1!AB29,Class_2!AB29) &gt;0, CHAR(43), CHAR(45))</f>
        <v>+</v>
      </c>
      <c r="AF82" s="14" t="str">
        <f>IF(MIN(Class_0!AC29,Class_1!AC29,Class_2!AC29) &gt;0, CHAR(43), CHAR(45))</f>
        <v>+</v>
      </c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5"/>
    </row>
    <row r="83" spans="3:58" x14ac:dyDescent="0.35">
      <c r="C83" s="13" t="s">
        <v>71</v>
      </c>
      <c r="D83" s="10">
        <f t="shared" si="6"/>
        <v>29</v>
      </c>
      <c r="E83" s="14" t="str">
        <f>IF(MIN(Class_0!B30,Class_1!B30,Class_2!B30) &gt;0, CHAR(43), CHAR(45))</f>
        <v>-</v>
      </c>
      <c r="F83" s="14" t="str">
        <f>IF(MIN(Class_0!C30,Class_1!C30,Class_2!C30) &gt;0, CHAR(43), CHAR(45))</f>
        <v>+</v>
      </c>
      <c r="G83" s="14" t="str">
        <f>IF(MIN(Class_0!D30,Class_1!D30,Class_2!D30) &gt;0, CHAR(43), CHAR(45))</f>
        <v>-</v>
      </c>
      <c r="H83" s="14" t="str">
        <f>IF(MIN(Class_0!E30,Class_1!E30,Class_2!E30) &gt;0, CHAR(43), CHAR(45))</f>
        <v>-</v>
      </c>
      <c r="I83" s="14" t="str">
        <f>IF(MIN(Class_0!F30,Class_1!F30,Class_2!F30) &gt;0, CHAR(43), CHAR(45))</f>
        <v>-</v>
      </c>
      <c r="J83" s="14" t="str">
        <f>IF(MIN(Class_0!G30,Class_1!G30,Class_2!G30) &gt;0, CHAR(43), CHAR(45))</f>
        <v>-</v>
      </c>
      <c r="K83" s="14" t="str">
        <f>IF(MIN(Class_0!H30,Class_1!H30,Class_2!H30) &gt;0, CHAR(43), CHAR(45))</f>
        <v>-</v>
      </c>
      <c r="L83" s="14" t="str">
        <f>IF(MIN(Class_0!I30,Class_1!I30,Class_2!I30) &gt;0, CHAR(43), CHAR(45))</f>
        <v>-</v>
      </c>
      <c r="M83" s="14" t="str">
        <f>IF(MIN(Class_0!J30,Class_1!J30,Class_2!J30) &gt;0, CHAR(43), CHAR(45))</f>
        <v>+</v>
      </c>
      <c r="N83" s="14" t="str">
        <f>IF(MIN(Class_0!K30,Class_1!K30,Class_2!K30) &gt;0, CHAR(43), CHAR(45))</f>
        <v>-</v>
      </c>
      <c r="O83" s="14" t="str">
        <f>IF(MIN(Class_0!L30,Class_1!L30,Class_2!L30) &gt;0, CHAR(43), CHAR(45))</f>
        <v>-</v>
      </c>
      <c r="P83" s="14" t="str">
        <f>IF(MIN(Class_0!M30,Class_1!M30,Class_2!M30) &gt;0, CHAR(43), CHAR(45))</f>
        <v>+</v>
      </c>
      <c r="Q83" s="14" t="str">
        <f>IF(MIN(Class_0!N30,Class_1!N30,Class_2!N30) &gt;0, CHAR(43), CHAR(45))</f>
        <v>+</v>
      </c>
      <c r="R83" s="14" t="str">
        <f>IF(MIN(Class_0!O30,Class_1!O30,Class_2!O30) &gt;0, CHAR(43), CHAR(45))</f>
        <v>+</v>
      </c>
      <c r="S83" s="14" t="str">
        <f>IF(MIN(Class_0!P30,Class_1!P30,Class_2!P30) &gt;0, CHAR(43), CHAR(45))</f>
        <v>+</v>
      </c>
      <c r="T83" s="14" t="str">
        <f>IF(MIN(Class_0!Q30,Class_1!Q30,Class_2!Q30) &gt;0, CHAR(43), CHAR(45))</f>
        <v>+</v>
      </c>
      <c r="U83" s="14" t="str">
        <f>IF(MIN(Class_0!R30,Class_1!R30,Class_2!R30) &gt;0, CHAR(43), CHAR(45))</f>
        <v>-</v>
      </c>
      <c r="V83" s="14" t="str">
        <f>IF(MIN(Class_0!S30,Class_1!S30,Class_2!S30) &gt;0, CHAR(43), CHAR(45))</f>
        <v>+</v>
      </c>
      <c r="W83" s="14" t="str">
        <f>IF(MIN(Class_0!T30,Class_1!T30,Class_2!T30) &gt;0, CHAR(43), CHAR(45))</f>
        <v>+</v>
      </c>
      <c r="X83" s="14" t="str">
        <f>IF(MIN(Class_0!U30,Class_1!U30,Class_2!U30) &gt;0, CHAR(43), CHAR(45))</f>
        <v>+</v>
      </c>
      <c r="Y83" s="14" t="str">
        <f>IF(MIN(Class_0!V30,Class_1!V30,Class_2!V30) &gt;0, CHAR(43), CHAR(45))</f>
        <v>+</v>
      </c>
      <c r="Z83" s="14" t="str">
        <f>IF(MIN(Class_0!W30,Class_1!W30,Class_2!W30) &gt;0, CHAR(43), CHAR(45))</f>
        <v>+</v>
      </c>
      <c r="AA83" s="14" t="str">
        <f>IF(MIN(Class_0!X30,Class_1!X30,Class_2!X30) &gt;0, CHAR(43), CHAR(45))</f>
        <v>+</v>
      </c>
      <c r="AB83" s="14" t="str">
        <f>IF(MIN(Class_0!Y30,Class_1!Y30,Class_2!Y30) &gt;0, CHAR(43), CHAR(45))</f>
        <v>+</v>
      </c>
      <c r="AC83" s="14" t="str">
        <f>IF(MIN(Class_0!Z30,Class_1!Z30,Class_2!Z30) &gt;0, CHAR(43), CHAR(45))</f>
        <v>+</v>
      </c>
      <c r="AD83" s="14" t="str">
        <f>IF(MIN(Class_0!AA30,Class_1!AA30,Class_2!AA30) &gt;0, CHAR(43), CHAR(45))</f>
        <v>+</v>
      </c>
      <c r="AE83" s="14" t="str">
        <f>IF(MIN(Class_0!AB30,Class_1!AB30,Class_2!AB30) &gt;0, CHAR(43), CHAR(45))</f>
        <v>+</v>
      </c>
      <c r="AF83" s="14" t="str">
        <f>IF(MIN(Class_0!AC30,Class_1!AC30,Class_2!AC30) &gt;0, CHAR(43), CHAR(45))</f>
        <v>+</v>
      </c>
      <c r="AG83" s="14" t="str">
        <f>IF(MIN(Class_0!AD30,Class_1!AD30,Class_2!AD30) &gt;0, CHAR(43), CHAR(45))</f>
        <v>+</v>
      </c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5"/>
    </row>
    <row r="84" spans="3:58" x14ac:dyDescent="0.35">
      <c r="C84" s="13" t="s">
        <v>72</v>
      </c>
      <c r="D84" s="10">
        <f t="shared" si="6"/>
        <v>30</v>
      </c>
      <c r="E84" s="14" t="str">
        <f>IF(MIN(Class_0!B31,Class_1!B31,Class_2!B31) &gt;0, CHAR(43), CHAR(45))</f>
        <v>-</v>
      </c>
      <c r="F84" s="14" t="str">
        <f>IF(MIN(Class_0!C31,Class_1!C31,Class_2!C31) &gt;0, CHAR(43), CHAR(45))</f>
        <v>-</v>
      </c>
      <c r="G84" s="14" t="str">
        <f>IF(MIN(Class_0!D31,Class_1!D31,Class_2!D31) &gt;0, CHAR(43), CHAR(45))</f>
        <v>-</v>
      </c>
      <c r="H84" s="14" t="str">
        <f>IF(MIN(Class_0!E31,Class_1!E31,Class_2!E31) &gt;0, CHAR(43), CHAR(45))</f>
        <v>-</v>
      </c>
      <c r="I84" s="14" t="str">
        <f>IF(MIN(Class_0!F31,Class_1!F31,Class_2!F31) &gt;0, CHAR(43), CHAR(45))</f>
        <v>-</v>
      </c>
      <c r="J84" s="14" t="str">
        <f>IF(MIN(Class_0!G31,Class_1!G31,Class_2!G31) &gt;0, CHAR(43), CHAR(45))</f>
        <v>-</v>
      </c>
      <c r="K84" s="14" t="str">
        <f>IF(MIN(Class_0!H31,Class_1!H31,Class_2!H31) &gt;0, CHAR(43), CHAR(45))</f>
        <v>-</v>
      </c>
      <c r="L84" s="14" t="str">
        <f>IF(MIN(Class_0!I31,Class_1!I31,Class_2!I31) &gt;0, CHAR(43), CHAR(45))</f>
        <v>-</v>
      </c>
      <c r="M84" s="14" t="str">
        <f>IF(MIN(Class_0!J31,Class_1!J31,Class_2!J31) &gt;0, CHAR(43), CHAR(45))</f>
        <v>+</v>
      </c>
      <c r="N84" s="14" t="str">
        <f>IF(MIN(Class_0!K31,Class_1!K31,Class_2!K31) &gt;0, CHAR(43), CHAR(45))</f>
        <v>-</v>
      </c>
      <c r="O84" s="14" t="str">
        <f>IF(MIN(Class_0!L31,Class_1!L31,Class_2!L31) &gt;0, CHAR(43), CHAR(45))</f>
        <v>-</v>
      </c>
      <c r="P84" s="14" t="str">
        <f>IF(MIN(Class_0!M31,Class_1!M31,Class_2!M31) &gt;0, CHAR(43), CHAR(45))</f>
        <v>-</v>
      </c>
      <c r="Q84" s="14" t="str">
        <f>IF(MIN(Class_0!N31,Class_1!N31,Class_2!N31) &gt;0, CHAR(43), CHAR(45))</f>
        <v>-</v>
      </c>
      <c r="R84" s="14" t="str">
        <f>IF(MIN(Class_0!O31,Class_1!O31,Class_2!O31) &gt;0, CHAR(43), CHAR(45))</f>
        <v>+</v>
      </c>
      <c r="S84" s="14" t="str">
        <f>IF(MIN(Class_0!P31,Class_1!P31,Class_2!P31) &gt;0, CHAR(43), CHAR(45))</f>
        <v>+</v>
      </c>
      <c r="T84" s="14" t="str">
        <f>IF(MIN(Class_0!Q31,Class_1!Q31,Class_2!Q31) &gt;0, CHAR(43), CHAR(45))</f>
        <v>+</v>
      </c>
      <c r="U84" s="14" t="str">
        <f>IF(MIN(Class_0!R31,Class_1!R31,Class_2!R31) &gt;0, CHAR(43), CHAR(45))</f>
        <v>-</v>
      </c>
      <c r="V84" s="14" t="str">
        <f>IF(MIN(Class_0!S31,Class_1!S31,Class_2!S31) &gt;0, CHAR(43), CHAR(45))</f>
        <v>+</v>
      </c>
      <c r="W84" s="14" t="str">
        <f>IF(MIN(Class_0!T31,Class_1!T31,Class_2!T31) &gt;0, CHAR(43), CHAR(45))</f>
        <v>+</v>
      </c>
      <c r="X84" s="14" t="str">
        <f>IF(MIN(Class_0!U31,Class_1!U31,Class_2!U31) &gt;0, CHAR(43), CHAR(45))</f>
        <v>+</v>
      </c>
      <c r="Y84" s="14" t="str">
        <f>IF(MIN(Class_0!V31,Class_1!V31,Class_2!V31) &gt;0, CHAR(43), CHAR(45))</f>
        <v>+</v>
      </c>
      <c r="Z84" s="14" t="str">
        <f>IF(MIN(Class_0!W31,Class_1!W31,Class_2!W31) &gt;0, CHAR(43), CHAR(45))</f>
        <v>+</v>
      </c>
      <c r="AA84" s="14" t="str">
        <f>IF(MIN(Class_0!X31,Class_1!X31,Class_2!X31) &gt;0, CHAR(43), CHAR(45))</f>
        <v>+</v>
      </c>
      <c r="AB84" s="14" t="str">
        <f>IF(MIN(Class_0!Y31,Class_1!Y31,Class_2!Y31) &gt;0, CHAR(43), CHAR(45))</f>
        <v>+</v>
      </c>
      <c r="AC84" s="14" t="str">
        <f>IF(MIN(Class_0!Z31,Class_1!Z31,Class_2!Z31) &gt;0, CHAR(43), CHAR(45))</f>
        <v>+</v>
      </c>
      <c r="AD84" s="14" t="str">
        <f>IF(MIN(Class_0!AA31,Class_1!AA31,Class_2!AA31) &gt;0, CHAR(43), CHAR(45))</f>
        <v>+</v>
      </c>
      <c r="AE84" s="14" t="str">
        <f>IF(MIN(Class_0!AB31,Class_1!AB31,Class_2!AB31) &gt;0, CHAR(43), CHAR(45))</f>
        <v>+</v>
      </c>
      <c r="AF84" s="14" t="str">
        <f>IF(MIN(Class_0!AC31,Class_1!AC31,Class_2!AC31) &gt;0, CHAR(43), CHAR(45))</f>
        <v>+</v>
      </c>
      <c r="AG84" s="14" t="str">
        <f>IF(MIN(Class_0!AD31,Class_1!AD31,Class_2!AD31) &gt;0, CHAR(43), CHAR(45))</f>
        <v>+</v>
      </c>
      <c r="AH84" s="14" t="str">
        <f>IF(MIN(Class_0!AE31,Class_1!AE31,Class_2!AE31) &gt;0, CHAR(43), CHAR(45))</f>
        <v>+</v>
      </c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5"/>
    </row>
    <row r="85" spans="3:58" x14ac:dyDescent="0.35">
      <c r="C85" s="13" t="s">
        <v>145</v>
      </c>
      <c r="D85" s="10">
        <f t="shared" si="6"/>
        <v>31</v>
      </c>
      <c r="E85" s="14" t="str">
        <f>IF(MIN(Class_0!B32,Class_1!B32,Class_2!B32) &gt;0, CHAR(43), CHAR(45))</f>
        <v>+</v>
      </c>
      <c r="F85" s="14" t="str">
        <f>IF(MIN(Class_0!C32,Class_1!C32,Class_2!C32) &gt;0, CHAR(43), CHAR(45))</f>
        <v>-</v>
      </c>
      <c r="G85" s="14" t="str">
        <f>IF(MIN(Class_0!D32,Class_1!D32,Class_2!D32) &gt;0, CHAR(43), CHAR(45))</f>
        <v>-</v>
      </c>
      <c r="H85" s="14" t="str">
        <f>IF(MIN(Class_0!E32,Class_1!E32,Class_2!E32) &gt;0, CHAR(43), CHAR(45))</f>
        <v>-</v>
      </c>
      <c r="I85" s="14" t="str">
        <f>IF(MIN(Class_0!F32,Class_1!F32,Class_2!F32) &gt;0, CHAR(43), CHAR(45))</f>
        <v>-</v>
      </c>
      <c r="J85" s="14" t="str">
        <f>IF(MIN(Class_0!G32,Class_1!G32,Class_2!G32) &gt;0, CHAR(43), CHAR(45))</f>
        <v>-</v>
      </c>
      <c r="K85" s="14" t="str">
        <f>IF(MIN(Class_0!H32,Class_1!H32,Class_2!H32) &gt;0, CHAR(43), CHAR(45))</f>
        <v>-</v>
      </c>
      <c r="L85" s="14" t="str">
        <f>IF(MIN(Class_0!I32,Class_1!I32,Class_2!I32) &gt;0, CHAR(43), CHAR(45))</f>
        <v>-</v>
      </c>
      <c r="M85" s="14" t="str">
        <f>IF(MIN(Class_0!J32,Class_1!J32,Class_2!J32) &gt;0, CHAR(43), CHAR(45))</f>
        <v>+</v>
      </c>
      <c r="N85" s="14" t="str">
        <f>IF(MIN(Class_0!K32,Class_1!K32,Class_2!K32) &gt;0, CHAR(43), CHAR(45))</f>
        <v>-</v>
      </c>
      <c r="O85" s="14" t="str">
        <f>IF(MIN(Class_0!L32,Class_1!L32,Class_2!L32) &gt;0, CHAR(43), CHAR(45))</f>
        <v>-</v>
      </c>
      <c r="P85" s="14" t="str">
        <f>IF(MIN(Class_0!M32,Class_1!M32,Class_2!M32) &gt;0, CHAR(43), CHAR(45))</f>
        <v>-</v>
      </c>
      <c r="Q85" s="14" t="str">
        <f>IF(MIN(Class_0!N32,Class_1!N32,Class_2!N32) &gt;0, CHAR(43), CHAR(45))</f>
        <v>-</v>
      </c>
      <c r="R85" s="14" t="str">
        <f>IF(MIN(Class_0!O32,Class_1!O32,Class_2!O32) &gt;0, CHAR(43), CHAR(45))</f>
        <v>+</v>
      </c>
      <c r="S85" s="14" t="str">
        <f>IF(MIN(Class_0!P32,Class_1!P32,Class_2!P32) &gt;0, CHAR(43), CHAR(45))</f>
        <v>+</v>
      </c>
      <c r="T85" s="14" t="str">
        <f>IF(MIN(Class_0!Q32,Class_1!Q32,Class_2!Q32) &gt;0, CHAR(43), CHAR(45))</f>
        <v>+</v>
      </c>
      <c r="U85" s="14" t="str">
        <f>IF(MIN(Class_0!R32,Class_1!R32,Class_2!R32) &gt;0, CHAR(43), CHAR(45))</f>
        <v>-</v>
      </c>
      <c r="V85" s="14" t="str">
        <f>IF(MIN(Class_0!S32,Class_1!S32,Class_2!S32) &gt;0, CHAR(43), CHAR(45))</f>
        <v>+</v>
      </c>
      <c r="W85" s="14" t="str">
        <f>IF(MIN(Class_0!T32,Class_1!T32,Class_2!T32) &gt;0, CHAR(43), CHAR(45))</f>
        <v>+</v>
      </c>
      <c r="X85" s="14" t="str">
        <f>IF(MIN(Class_0!U32,Class_1!U32,Class_2!U32) &gt;0, CHAR(43), CHAR(45))</f>
        <v>+</v>
      </c>
      <c r="Y85" s="14" t="str">
        <f>IF(MIN(Class_0!V32,Class_1!V32,Class_2!V32) &gt;0, CHAR(43), CHAR(45))</f>
        <v>+</v>
      </c>
      <c r="Z85" s="14" t="str">
        <f>IF(MIN(Class_0!W32,Class_1!W32,Class_2!W32) &gt;0, CHAR(43), CHAR(45))</f>
        <v>+</v>
      </c>
      <c r="AA85" s="14" t="str">
        <f>IF(MIN(Class_0!X32,Class_1!X32,Class_2!X32) &gt;0, CHAR(43), CHAR(45))</f>
        <v>+</v>
      </c>
      <c r="AB85" s="14" t="str">
        <f>IF(MIN(Class_0!Y32,Class_1!Y32,Class_2!Y32) &gt;0, CHAR(43), CHAR(45))</f>
        <v>+</v>
      </c>
      <c r="AC85" s="14" t="str">
        <f>IF(MIN(Class_0!Z32,Class_1!Z32,Class_2!Z32) &gt;0, CHAR(43), CHAR(45))</f>
        <v>+</v>
      </c>
      <c r="AD85" s="14" t="str">
        <f>IF(MIN(Class_0!AA32,Class_1!AA32,Class_2!AA32) &gt;0, CHAR(43), CHAR(45))</f>
        <v>+</v>
      </c>
      <c r="AE85" s="14" t="str">
        <f>IF(MIN(Class_0!AB32,Class_1!AB32,Class_2!AB32) &gt;0, CHAR(43), CHAR(45))</f>
        <v>+</v>
      </c>
      <c r="AF85" s="14" t="str">
        <f>IF(MIN(Class_0!AC32,Class_1!AC32,Class_2!AC32) &gt;0, CHAR(43), CHAR(45))</f>
        <v>+</v>
      </c>
      <c r="AG85" s="14" t="str">
        <f>IF(MIN(Class_0!AD32,Class_1!AD32,Class_2!AD32) &gt;0, CHAR(43), CHAR(45))</f>
        <v>+</v>
      </c>
      <c r="AH85" s="14" t="str">
        <f>IF(MIN(Class_0!AE32,Class_1!AE32,Class_2!AE32) &gt;0, CHAR(43), CHAR(45))</f>
        <v>+</v>
      </c>
      <c r="AI85" s="14" t="str">
        <f>IF(MIN(Class_0!AF32,Class_1!AF32,Class_2!AF32) &gt;0, CHAR(43), CHAR(45))</f>
        <v>+</v>
      </c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5"/>
    </row>
    <row r="86" spans="3:58" x14ac:dyDescent="0.35">
      <c r="C86" s="13" t="s">
        <v>73</v>
      </c>
      <c r="D86" s="10">
        <f t="shared" si="6"/>
        <v>32</v>
      </c>
      <c r="E86" s="14" t="str">
        <f>IF(MIN(Class_0!B33,Class_1!B33,Class_2!B33) &gt;0, CHAR(43), CHAR(45))</f>
        <v>-</v>
      </c>
      <c r="F86" s="14" t="str">
        <f>IF(MIN(Class_0!C33,Class_1!C33,Class_2!C33) &gt;0, CHAR(43), CHAR(45))</f>
        <v>-</v>
      </c>
      <c r="G86" s="14" t="str">
        <f>IF(MIN(Class_0!D33,Class_1!D33,Class_2!D33) &gt;0, CHAR(43), CHAR(45))</f>
        <v>-</v>
      </c>
      <c r="H86" s="14" t="str">
        <f>IF(MIN(Class_0!E33,Class_1!E33,Class_2!E33) &gt;0, CHAR(43), CHAR(45))</f>
        <v>-</v>
      </c>
      <c r="I86" s="14" t="str">
        <f>IF(MIN(Class_0!F33,Class_1!F33,Class_2!F33) &gt;0, CHAR(43), CHAR(45))</f>
        <v>-</v>
      </c>
      <c r="J86" s="14" t="str">
        <f>IF(MIN(Class_0!G33,Class_1!G33,Class_2!G33) &gt;0, CHAR(43), CHAR(45))</f>
        <v>-</v>
      </c>
      <c r="K86" s="14" t="str">
        <f>IF(MIN(Class_0!H33,Class_1!H33,Class_2!H33) &gt;0, CHAR(43), CHAR(45))</f>
        <v>-</v>
      </c>
      <c r="L86" s="14" t="str">
        <f>IF(MIN(Class_0!I33,Class_1!I33,Class_2!I33) &gt;0, CHAR(43), CHAR(45))</f>
        <v>+</v>
      </c>
      <c r="M86" s="14" t="str">
        <f>IF(MIN(Class_0!J33,Class_1!J33,Class_2!J33) &gt;0, CHAR(43), CHAR(45))</f>
        <v>+</v>
      </c>
      <c r="N86" s="14" t="str">
        <f>IF(MIN(Class_0!K33,Class_1!K33,Class_2!K33) &gt;0, CHAR(43), CHAR(45))</f>
        <v>-</v>
      </c>
      <c r="O86" s="14" t="str">
        <f>IF(MIN(Class_0!L33,Class_1!L33,Class_2!L33) &gt;0, CHAR(43), CHAR(45))</f>
        <v>-</v>
      </c>
      <c r="P86" s="14" t="str">
        <f>IF(MIN(Class_0!M33,Class_1!M33,Class_2!M33) &gt;0, CHAR(43), CHAR(45))</f>
        <v>+</v>
      </c>
      <c r="Q86" s="14" t="str">
        <f>IF(MIN(Class_0!N33,Class_1!N33,Class_2!N33) &gt;0, CHAR(43), CHAR(45))</f>
        <v>-</v>
      </c>
      <c r="R86" s="14" t="str">
        <f>IF(MIN(Class_0!O33,Class_1!O33,Class_2!O33) &gt;0, CHAR(43), CHAR(45))</f>
        <v>+</v>
      </c>
      <c r="S86" s="14" t="str">
        <f>IF(MIN(Class_0!P33,Class_1!P33,Class_2!P33) &gt;0, CHAR(43), CHAR(45))</f>
        <v>+</v>
      </c>
      <c r="T86" s="14" t="str">
        <f>IF(MIN(Class_0!Q33,Class_1!Q33,Class_2!Q33) &gt;0, CHAR(43), CHAR(45))</f>
        <v>-</v>
      </c>
      <c r="U86" s="14" t="str">
        <f>IF(MIN(Class_0!R33,Class_1!R33,Class_2!R33) &gt;0, CHAR(43), CHAR(45))</f>
        <v>-</v>
      </c>
      <c r="V86" s="14" t="str">
        <f>IF(MIN(Class_0!S33,Class_1!S33,Class_2!S33) &gt;0, CHAR(43), CHAR(45))</f>
        <v>+</v>
      </c>
      <c r="W86" s="14" t="str">
        <f>IF(MIN(Class_0!T33,Class_1!T33,Class_2!T33) &gt;0, CHAR(43), CHAR(45))</f>
        <v>+</v>
      </c>
      <c r="X86" s="14" t="str">
        <f>IF(MIN(Class_0!U33,Class_1!U33,Class_2!U33) &gt;0, CHAR(43), CHAR(45))</f>
        <v>+</v>
      </c>
      <c r="Y86" s="14" t="str">
        <f>IF(MIN(Class_0!V33,Class_1!V33,Class_2!V33) &gt;0, CHAR(43), CHAR(45))</f>
        <v>+</v>
      </c>
      <c r="Z86" s="14" t="str">
        <f>IF(MIN(Class_0!W33,Class_1!W33,Class_2!W33) &gt;0, CHAR(43), CHAR(45))</f>
        <v>+</v>
      </c>
      <c r="AA86" s="14" t="str">
        <f>IF(MIN(Class_0!X33,Class_1!X33,Class_2!X33) &gt;0, CHAR(43), CHAR(45))</f>
        <v>+</v>
      </c>
      <c r="AB86" s="14" t="str">
        <f>IF(MIN(Class_0!Y33,Class_1!Y33,Class_2!Y33) &gt;0, CHAR(43), CHAR(45))</f>
        <v>+</v>
      </c>
      <c r="AC86" s="14" t="str">
        <f>IF(MIN(Class_0!Z33,Class_1!Z33,Class_2!Z33) &gt;0, CHAR(43), CHAR(45))</f>
        <v>+</v>
      </c>
      <c r="AD86" s="14" t="str">
        <f>IF(MIN(Class_0!AA33,Class_1!AA33,Class_2!AA33) &gt;0, CHAR(43), CHAR(45))</f>
        <v>+</v>
      </c>
      <c r="AE86" s="14" t="str">
        <f>IF(MIN(Class_0!AB33,Class_1!AB33,Class_2!AB33) &gt;0, CHAR(43), CHAR(45))</f>
        <v>+</v>
      </c>
      <c r="AF86" s="14" t="str">
        <f>IF(MIN(Class_0!AC33,Class_1!AC33,Class_2!AC33) &gt;0, CHAR(43), CHAR(45))</f>
        <v>+</v>
      </c>
      <c r="AG86" s="14" t="str">
        <f>IF(MIN(Class_0!AD33,Class_1!AD33,Class_2!AD33) &gt;0, CHAR(43), CHAR(45))</f>
        <v>+</v>
      </c>
      <c r="AH86" s="14" t="str">
        <f>IF(MIN(Class_0!AE33,Class_1!AE33,Class_2!AE33) &gt;0, CHAR(43), CHAR(45))</f>
        <v>+</v>
      </c>
      <c r="AI86" s="14" t="str">
        <f>IF(MIN(Class_0!AF33,Class_1!AF33,Class_2!AF33) &gt;0, CHAR(43), CHAR(45))</f>
        <v>+</v>
      </c>
      <c r="AJ86" s="14" t="str">
        <f>IF(MIN(Class_0!AG33,Class_1!AG33,Class_2!AG33) &gt;0, CHAR(43), CHAR(45))</f>
        <v>+</v>
      </c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5"/>
    </row>
    <row r="87" spans="3:58" x14ac:dyDescent="0.35">
      <c r="C87" s="13" t="s">
        <v>74</v>
      </c>
      <c r="D87" s="10">
        <f t="shared" si="6"/>
        <v>33</v>
      </c>
      <c r="E87" s="14" t="str">
        <f>IF(MIN(Class_0!B34,Class_1!B34,Class_2!B34) &gt;0, CHAR(43), CHAR(45))</f>
        <v>+</v>
      </c>
      <c r="F87" s="14" t="str">
        <f>IF(MIN(Class_0!C34,Class_1!C34,Class_2!C34) &gt;0, CHAR(43), CHAR(45))</f>
        <v>-</v>
      </c>
      <c r="G87" s="14" t="str">
        <f>IF(MIN(Class_0!D34,Class_1!D34,Class_2!D34) &gt;0, CHAR(43), CHAR(45))</f>
        <v>-</v>
      </c>
      <c r="H87" s="14" t="str">
        <f>IF(MIN(Class_0!E34,Class_1!E34,Class_2!E34) &gt;0, CHAR(43), CHAR(45))</f>
        <v>-</v>
      </c>
      <c r="I87" s="14" t="str">
        <f>IF(MIN(Class_0!F34,Class_1!F34,Class_2!F34) &gt;0, CHAR(43), CHAR(45))</f>
        <v>-</v>
      </c>
      <c r="J87" s="14" t="str">
        <f>IF(MIN(Class_0!G34,Class_1!G34,Class_2!G34) &gt;0, CHAR(43), CHAR(45))</f>
        <v>-</v>
      </c>
      <c r="K87" s="14" t="str">
        <f>IF(MIN(Class_0!H34,Class_1!H34,Class_2!H34) &gt;0, CHAR(43), CHAR(45))</f>
        <v>-</v>
      </c>
      <c r="L87" s="14" t="str">
        <f>IF(MIN(Class_0!I34,Class_1!I34,Class_2!I34) &gt;0, CHAR(43), CHAR(45))</f>
        <v>-</v>
      </c>
      <c r="M87" s="14" t="str">
        <f>IF(MIN(Class_0!J34,Class_1!J34,Class_2!J34) &gt;0, CHAR(43), CHAR(45))</f>
        <v>+</v>
      </c>
      <c r="N87" s="14" t="str">
        <f>IF(MIN(Class_0!K34,Class_1!K34,Class_2!K34) &gt;0, CHAR(43), CHAR(45))</f>
        <v>-</v>
      </c>
      <c r="O87" s="14" t="str">
        <f>IF(MIN(Class_0!L34,Class_1!L34,Class_2!L34) &gt;0, CHAR(43), CHAR(45))</f>
        <v>-</v>
      </c>
      <c r="P87" s="14" t="str">
        <f>IF(MIN(Class_0!M34,Class_1!M34,Class_2!M34) &gt;0, CHAR(43), CHAR(45))</f>
        <v>-</v>
      </c>
      <c r="Q87" s="14" t="str">
        <f>IF(MIN(Class_0!N34,Class_1!N34,Class_2!N34) &gt;0, CHAR(43), CHAR(45))</f>
        <v>-</v>
      </c>
      <c r="R87" s="14" t="str">
        <f>IF(MIN(Class_0!O34,Class_1!O34,Class_2!O34) &gt;0, CHAR(43), CHAR(45))</f>
        <v>+</v>
      </c>
      <c r="S87" s="14" t="str">
        <f>IF(MIN(Class_0!P34,Class_1!P34,Class_2!P34) &gt;0, CHAR(43), CHAR(45))</f>
        <v>+</v>
      </c>
      <c r="T87" s="14" t="str">
        <f>IF(MIN(Class_0!Q34,Class_1!Q34,Class_2!Q34) &gt;0, CHAR(43), CHAR(45))</f>
        <v>-</v>
      </c>
      <c r="U87" s="14" t="str">
        <f>IF(MIN(Class_0!R34,Class_1!R34,Class_2!R34) &gt;0, CHAR(43), CHAR(45))</f>
        <v>-</v>
      </c>
      <c r="V87" s="14" t="str">
        <f>IF(MIN(Class_0!S34,Class_1!S34,Class_2!S34) &gt;0, CHAR(43), CHAR(45))</f>
        <v>-</v>
      </c>
      <c r="W87" s="14" t="str">
        <f>IF(MIN(Class_0!T34,Class_1!T34,Class_2!T34) &gt;0, CHAR(43), CHAR(45))</f>
        <v>+</v>
      </c>
      <c r="X87" s="14" t="str">
        <f>IF(MIN(Class_0!U34,Class_1!U34,Class_2!U34) &gt;0, CHAR(43), CHAR(45))</f>
        <v>+</v>
      </c>
      <c r="Y87" s="14" t="str">
        <f>IF(MIN(Class_0!V34,Class_1!V34,Class_2!V34) &gt;0, CHAR(43), CHAR(45))</f>
        <v>+</v>
      </c>
      <c r="Z87" s="14" t="str">
        <f>IF(MIN(Class_0!W34,Class_1!W34,Class_2!W34) &gt;0, CHAR(43), CHAR(45))</f>
        <v>+</v>
      </c>
      <c r="AA87" s="14" t="str">
        <f>IF(MIN(Class_0!X34,Class_1!X34,Class_2!X34) &gt;0, CHAR(43), CHAR(45))</f>
        <v>+</v>
      </c>
      <c r="AB87" s="14" t="str">
        <f>IF(MIN(Class_0!Y34,Class_1!Y34,Class_2!Y34) &gt;0, CHAR(43), CHAR(45))</f>
        <v>+</v>
      </c>
      <c r="AC87" s="14" t="str">
        <f>IF(MIN(Class_0!Z34,Class_1!Z34,Class_2!Z34) &gt;0, CHAR(43), CHAR(45))</f>
        <v>+</v>
      </c>
      <c r="AD87" s="14" t="str">
        <f>IF(MIN(Class_0!AA34,Class_1!AA34,Class_2!AA34) &gt;0, CHAR(43), CHAR(45))</f>
        <v>+</v>
      </c>
      <c r="AE87" s="14" t="str">
        <f>IF(MIN(Class_0!AB34,Class_1!AB34,Class_2!AB34) &gt;0, CHAR(43), CHAR(45))</f>
        <v>+</v>
      </c>
      <c r="AF87" s="14" t="str">
        <f>IF(MIN(Class_0!AC34,Class_1!AC34,Class_2!AC34) &gt;0, CHAR(43), CHAR(45))</f>
        <v>+</v>
      </c>
      <c r="AG87" s="14" t="str">
        <f>IF(MIN(Class_0!AD34,Class_1!AD34,Class_2!AD34) &gt;0, CHAR(43), CHAR(45))</f>
        <v>+</v>
      </c>
      <c r="AH87" s="14" t="str">
        <f>IF(MIN(Class_0!AE34,Class_1!AE34,Class_2!AE34) &gt;0, CHAR(43), CHAR(45))</f>
        <v>+</v>
      </c>
      <c r="AI87" s="14" t="str">
        <f>IF(MIN(Class_0!AF34,Class_1!AF34,Class_2!AF34) &gt;0, CHAR(43), CHAR(45))</f>
        <v>+</v>
      </c>
      <c r="AJ87" s="14" t="str">
        <f>IF(MIN(Class_0!AG34,Class_1!AG34,Class_2!AG34) &gt;0, CHAR(43), CHAR(45))</f>
        <v>+</v>
      </c>
      <c r="AK87" s="14" t="str">
        <f>IF(MIN(Class_0!AH34,Class_1!AH34,Class_2!AH34) &gt;0, CHAR(43), CHAR(45))</f>
        <v>+</v>
      </c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5"/>
    </row>
    <row r="88" spans="3:58" x14ac:dyDescent="0.35">
      <c r="C88" s="13" t="s">
        <v>146</v>
      </c>
      <c r="D88" s="10">
        <f t="shared" si="6"/>
        <v>34</v>
      </c>
      <c r="E88" s="14" t="str">
        <f>IF(MIN(Class_0!B35,Class_1!B35,Class_2!B35) &gt;0, CHAR(43), CHAR(45))</f>
        <v>-</v>
      </c>
      <c r="F88" s="14" t="str">
        <f>IF(MIN(Class_0!C35,Class_1!C35,Class_2!C35) &gt;0, CHAR(43), CHAR(45))</f>
        <v>-</v>
      </c>
      <c r="G88" s="14" t="str">
        <f>IF(MIN(Class_0!D35,Class_1!D35,Class_2!D35) &gt;0, CHAR(43), CHAR(45))</f>
        <v>-</v>
      </c>
      <c r="H88" s="14" t="str">
        <f>IF(MIN(Class_0!E35,Class_1!E35,Class_2!E35) &gt;0, CHAR(43), CHAR(45))</f>
        <v>-</v>
      </c>
      <c r="I88" s="14" t="str">
        <f>IF(MIN(Class_0!F35,Class_1!F35,Class_2!F35) &gt;0, CHAR(43), CHAR(45))</f>
        <v>-</v>
      </c>
      <c r="J88" s="14" t="str">
        <f>IF(MIN(Class_0!G35,Class_1!G35,Class_2!G35) &gt;0, CHAR(43), CHAR(45))</f>
        <v>-</v>
      </c>
      <c r="K88" s="14" t="str">
        <f>IF(MIN(Class_0!H35,Class_1!H35,Class_2!H35) &gt;0, CHAR(43), CHAR(45))</f>
        <v>-</v>
      </c>
      <c r="L88" s="14" t="str">
        <f>IF(MIN(Class_0!I35,Class_1!I35,Class_2!I35) &gt;0, CHAR(43), CHAR(45))</f>
        <v>-</v>
      </c>
      <c r="M88" s="14" t="str">
        <f>IF(MIN(Class_0!J35,Class_1!J35,Class_2!J35) &gt;0, CHAR(43), CHAR(45))</f>
        <v>+</v>
      </c>
      <c r="N88" s="14" t="str">
        <f>IF(MIN(Class_0!K35,Class_1!K35,Class_2!K35) &gt;0, CHAR(43), CHAR(45))</f>
        <v>-</v>
      </c>
      <c r="O88" s="14" t="str">
        <f>IF(MIN(Class_0!L35,Class_1!L35,Class_2!L35) &gt;0, CHAR(43), CHAR(45))</f>
        <v>-</v>
      </c>
      <c r="P88" s="14" t="str">
        <f>IF(MIN(Class_0!M35,Class_1!M35,Class_2!M35) &gt;0, CHAR(43), CHAR(45))</f>
        <v>-</v>
      </c>
      <c r="Q88" s="14" t="str">
        <f>IF(MIN(Class_0!N35,Class_1!N35,Class_2!N35) &gt;0, CHAR(43), CHAR(45))</f>
        <v>-</v>
      </c>
      <c r="R88" s="14" t="str">
        <f>IF(MIN(Class_0!O35,Class_1!O35,Class_2!O35) &gt;0, CHAR(43), CHAR(45))</f>
        <v>+</v>
      </c>
      <c r="S88" s="14" t="str">
        <f>IF(MIN(Class_0!P35,Class_1!P35,Class_2!P35) &gt;0, CHAR(43), CHAR(45))</f>
        <v>+</v>
      </c>
      <c r="T88" s="14" t="str">
        <f>IF(MIN(Class_0!Q35,Class_1!Q35,Class_2!Q35) &gt;0, CHAR(43), CHAR(45))</f>
        <v>-</v>
      </c>
      <c r="U88" s="14" t="str">
        <f>IF(MIN(Class_0!R35,Class_1!R35,Class_2!R35) &gt;0, CHAR(43), CHAR(45))</f>
        <v>-</v>
      </c>
      <c r="V88" s="14" t="str">
        <f>IF(MIN(Class_0!S35,Class_1!S35,Class_2!S35) &gt;0, CHAR(43), CHAR(45))</f>
        <v>-</v>
      </c>
      <c r="W88" s="14" t="str">
        <f>IF(MIN(Class_0!T35,Class_1!T35,Class_2!T35) &gt;0, CHAR(43), CHAR(45))</f>
        <v>+</v>
      </c>
      <c r="X88" s="14" t="str">
        <f>IF(MIN(Class_0!U35,Class_1!U35,Class_2!U35) &gt;0, CHAR(43), CHAR(45))</f>
        <v>+</v>
      </c>
      <c r="Y88" s="14" t="str">
        <f>IF(MIN(Class_0!V35,Class_1!V35,Class_2!V35) &gt;0, CHAR(43), CHAR(45))</f>
        <v>+</v>
      </c>
      <c r="Z88" s="14" t="str">
        <f>IF(MIN(Class_0!W35,Class_1!W35,Class_2!W35) &gt;0, CHAR(43), CHAR(45))</f>
        <v>+</v>
      </c>
      <c r="AA88" s="14" t="str">
        <f>IF(MIN(Class_0!X35,Class_1!X35,Class_2!X35) &gt;0, CHAR(43), CHAR(45))</f>
        <v>+</v>
      </c>
      <c r="AB88" s="14" t="str">
        <f>IF(MIN(Class_0!Y35,Class_1!Y35,Class_2!Y35) &gt;0, CHAR(43), CHAR(45))</f>
        <v>+</v>
      </c>
      <c r="AC88" s="14" t="str">
        <f>IF(MIN(Class_0!Z35,Class_1!Z35,Class_2!Z35) &gt;0, CHAR(43), CHAR(45))</f>
        <v>+</v>
      </c>
      <c r="AD88" s="14" t="str">
        <f>IF(MIN(Class_0!AA35,Class_1!AA35,Class_2!AA35) &gt;0, CHAR(43), CHAR(45))</f>
        <v>+</v>
      </c>
      <c r="AE88" s="14" t="str">
        <f>IF(MIN(Class_0!AB35,Class_1!AB35,Class_2!AB35) &gt;0, CHAR(43), CHAR(45))</f>
        <v>+</v>
      </c>
      <c r="AF88" s="14" t="str">
        <f>IF(MIN(Class_0!AC35,Class_1!AC35,Class_2!AC35) &gt;0, CHAR(43), CHAR(45))</f>
        <v>+</v>
      </c>
      <c r="AG88" s="14" t="str">
        <f>IF(MIN(Class_0!AD35,Class_1!AD35,Class_2!AD35) &gt;0, CHAR(43), CHAR(45))</f>
        <v>+</v>
      </c>
      <c r="AH88" s="14" t="str">
        <f>IF(MIN(Class_0!AE35,Class_1!AE35,Class_2!AE35) &gt;0, CHAR(43), CHAR(45))</f>
        <v>+</v>
      </c>
      <c r="AI88" s="14" t="str">
        <f>IF(MIN(Class_0!AF35,Class_1!AF35,Class_2!AF35) &gt;0, CHAR(43), CHAR(45))</f>
        <v>+</v>
      </c>
      <c r="AJ88" s="14" t="str">
        <f>IF(MIN(Class_0!AG35,Class_1!AG35,Class_2!AG35) &gt;0, CHAR(43), CHAR(45))</f>
        <v>+</v>
      </c>
      <c r="AK88" s="14" t="str">
        <f>IF(MIN(Class_0!AH35,Class_1!AH35,Class_2!AH35) &gt;0, CHAR(43), CHAR(45))</f>
        <v>+</v>
      </c>
      <c r="AL88" s="14" t="str">
        <f>IF(MIN(Class_0!AI35,Class_1!AI35,Class_2!AI35) &gt;0, CHAR(43), CHAR(45))</f>
        <v>+</v>
      </c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5"/>
    </row>
    <row r="89" spans="3:58" x14ac:dyDescent="0.35">
      <c r="C89" s="13" t="s">
        <v>147</v>
      </c>
      <c r="D89" s="10">
        <f t="shared" si="6"/>
        <v>35</v>
      </c>
      <c r="E89" s="14" t="str">
        <f>IF(MIN(Class_0!B36,Class_1!B36,Class_2!B36) &gt;0, CHAR(43), CHAR(45))</f>
        <v>-</v>
      </c>
      <c r="F89" s="14" t="str">
        <f>IF(MIN(Class_0!C36,Class_1!C36,Class_2!C36) &gt;0, CHAR(43), CHAR(45))</f>
        <v>-</v>
      </c>
      <c r="G89" s="14" t="str">
        <f>IF(MIN(Class_0!D36,Class_1!D36,Class_2!D36) &gt;0, CHAR(43), CHAR(45))</f>
        <v>-</v>
      </c>
      <c r="H89" s="14" t="str">
        <f>IF(MIN(Class_0!E36,Class_1!E36,Class_2!E36) &gt;0, CHAR(43), CHAR(45))</f>
        <v>-</v>
      </c>
      <c r="I89" s="14" t="str">
        <f>IF(MIN(Class_0!F36,Class_1!F36,Class_2!F36) &gt;0, CHAR(43), CHAR(45))</f>
        <v>-</v>
      </c>
      <c r="J89" s="14" t="str">
        <f>IF(MIN(Class_0!G36,Class_1!G36,Class_2!G36) &gt;0, CHAR(43), CHAR(45))</f>
        <v>-</v>
      </c>
      <c r="K89" s="14" t="str">
        <f>IF(MIN(Class_0!H36,Class_1!H36,Class_2!H36) &gt;0, CHAR(43), CHAR(45))</f>
        <v>-</v>
      </c>
      <c r="L89" s="14" t="str">
        <f>IF(MIN(Class_0!I36,Class_1!I36,Class_2!I36) &gt;0, CHAR(43), CHAR(45))</f>
        <v>-</v>
      </c>
      <c r="M89" s="14" t="str">
        <f>IF(MIN(Class_0!J36,Class_1!J36,Class_2!J36) &gt;0, CHAR(43), CHAR(45))</f>
        <v>+</v>
      </c>
      <c r="N89" s="14" t="str">
        <f>IF(MIN(Class_0!K36,Class_1!K36,Class_2!K36) &gt;0, CHAR(43), CHAR(45))</f>
        <v>-</v>
      </c>
      <c r="O89" s="14" t="str">
        <f>IF(MIN(Class_0!L36,Class_1!L36,Class_2!L36) &gt;0, CHAR(43), CHAR(45))</f>
        <v>-</v>
      </c>
      <c r="P89" s="14" t="str">
        <f>IF(MIN(Class_0!M36,Class_1!M36,Class_2!M36) &gt;0, CHAR(43), CHAR(45))</f>
        <v>-</v>
      </c>
      <c r="Q89" s="14" t="str">
        <f>IF(MIN(Class_0!N36,Class_1!N36,Class_2!N36) &gt;0, CHAR(43), CHAR(45))</f>
        <v>+</v>
      </c>
      <c r="R89" s="14" t="str">
        <f>IF(MIN(Class_0!O36,Class_1!O36,Class_2!O36) &gt;0, CHAR(43), CHAR(45))</f>
        <v>+</v>
      </c>
      <c r="S89" s="14" t="str">
        <f>IF(MIN(Class_0!P36,Class_1!P36,Class_2!P36) &gt;0, CHAR(43), CHAR(45))</f>
        <v>+</v>
      </c>
      <c r="T89" s="14" t="str">
        <f>IF(MIN(Class_0!Q36,Class_1!Q36,Class_2!Q36) &gt;0, CHAR(43), CHAR(45))</f>
        <v>-</v>
      </c>
      <c r="U89" s="14" t="str">
        <f>IF(MIN(Class_0!R36,Class_1!R36,Class_2!R36) &gt;0, CHAR(43), CHAR(45))</f>
        <v>-</v>
      </c>
      <c r="V89" s="14" t="str">
        <f>IF(MIN(Class_0!S36,Class_1!S36,Class_2!S36) &gt;0, CHAR(43), CHAR(45))</f>
        <v>-</v>
      </c>
      <c r="W89" s="14" t="str">
        <f>IF(MIN(Class_0!T36,Class_1!T36,Class_2!T36) &gt;0, CHAR(43), CHAR(45))</f>
        <v>+</v>
      </c>
      <c r="X89" s="14" t="str">
        <f>IF(MIN(Class_0!U36,Class_1!U36,Class_2!U36) &gt;0, CHAR(43), CHAR(45))</f>
        <v>+</v>
      </c>
      <c r="Y89" s="14" t="str">
        <f>IF(MIN(Class_0!V36,Class_1!V36,Class_2!V36) &gt;0, CHAR(43), CHAR(45))</f>
        <v>+</v>
      </c>
      <c r="Z89" s="14" t="str">
        <f>IF(MIN(Class_0!W36,Class_1!W36,Class_2!W36) &gt;0, CHAR(43), CHAR(45))</f>
        <v>+</v>
      </c>
      <c r="AA89" s="14" t="str">
        <f>IF(MIN(Class_0!X36,Class_1!X36,Class_2!X36) &gt;0, CHAR(43), CHAR(45))</f>
        <v>+</v>
      </c>
      <c r="AB89" s="14" t="str">
        <f>IF(MIN(Class_0!Y36,Class_1!Y36,Class_2!Y36) &gt;0, CHAR(43), CHAR(45))</f>
        <v>+</v>
      </c>
      <c r="AC89" s="14" t="str">
        <f>IF(MIN(Class_0!Z36,Class_1!Z36,Class_2!Z36) &gt;0, CHAR(43), CHAR(45))</f>
        <v>+</v>
      </c>
      <c r="AD89" s="14" t="str">
        <f>IF(MIN(Class_0!AA36,Class_1!AA36,Class_2!AA36) &gt;0, CHAR(43), CHAR(45))</f>
        <v>+</v>
      </c>
      <c r="AE89" s="14" t="str">
        <f>IF(MIN(Class_0!AB36,Class_1!AB36,Class_2!AB36) &gt;0, CHAR(43), CHAR(45))</f>
        <v>+</v>
      </c>
      <c r="AF89" s="14" t="str">
        <f>IF(MIN(Class_0!AC36,Class_1!AC36,Class_2!AC36) &gt;0, CHAR(43), CHAR(45))</f>
        <v>+</v>
      </c>
      <c r="AG89" s="14" t="str">
        <f>IF(MIN(Class_0!AD36,Class_1!AD36,Class_2!AD36) &gt;0, CHAR(43), CHAR(45))</f>
        <v>+</v>
      </c>
      <c r="AH89" s="14" t="str">
        <f>IF(MIN(Class_0!AE36,Class_1!AE36,Class_2!AE36) &gt;0, CHAR(43), CHAR(45))</f>
        <v>+</v>
      </c>
      <c r="AI89" s="14" t="str">
        <f>IF(MIN(Class_0!AF36,Class_1!AF36,Class_2!AF36) &gt;0, CHAR(43), CHAR(45))</f>
        <v>+</v>
      </c>
      <c r="AJ89" s="14" t="str">
        <f>IF(MIN(Class_0!AG36,Class_1!AG36,Class_2!AG36) &gt;0, CHAR(43), CHAR(45))</f>
        <v>+</v>
      </c>
      <c r="AK89" s="14" t="str">
        <f>IF(MIN(Class_0!AH36,Class_1!AH36,Class_2!AH36) &gt;0, CHAR(43), CHAR(45))</f>
        <v>+</v>
      </c>
      <c r="AL89" s="14" t="str">
        <f>IF(MIN(Class_0!AI36,Class_1!AI36,Class_2!AI36) &gt;0, CHAR(43), CHAR(45))</f>
        <v>+</v>
      </c>
      <c r="AM89" s="14" t="str">
        <f>IF(MIN(Class_0!AJ36,Class_1!AJ36,Class_2!AJ36) &gt;0, CHAR(43), CHAR(45))</f>
        <v>+</v>
      </c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5"/>
    </row>
    <row r="90" spans="3:58" x14ac:dyDescent="0.35">
      <c r="C90" s="13" t="s">
        <v>75</v>
      </c>
      <c r="D90" s="10">
        <f t="shared" si="6"/>
        <v>36</v>
      </c>
      <c r="E90" s="14" t="str">
        <f>IF(MIN(Class_0!B37,Class_1!B37,Class_2!B37) &gt;0, CHAR(43), CHAR(45))</f>
        <v>-</v>
      </c>
      <c r="F90" s="14" t="str">
        <f>IF(MIN(Class_0!C37,Class_1!C37,Class_2!C37) &gt;0, CHAR(43), CHAR(45))</f>
        <v>-</v>
      </c>
      <c r="G90" s="14" t="str">
        <f>IF(MIN(Class_0!D37,Class_1!D37,Class_2!D37) &gt;0, CHAR(43), CHAR(45))</f>
        <v>-</v>
      </c>
      <c r="H90" s="14" t="str">
        <f>IF(MIN(Class_0!E37,Class_1!E37,Class_2!E37) &gt;0, CHAR(43), CHAR(45))</f>
        <v>-</v>
      </c>
      <c r="I90" s="14" t="str">
        <f>IF(MIN(Class_0!F37,Class_1!F37,Class_2!F37) &gt;0, CHAR(43), CHAR(45))</f>
        <v>-</v>
      </c>
      <c r="J90" s="14" t="str">
        <f>IF(MIN(Class_0!G37,Class_1!G37,Class_2!G37) &gt;0, CHAR(43), CHAR(45))</f>
        <v>-</v>
      </c>
      <c r="K90" s="14" t="str">
        <f>IF(MIN(Class_0!H37,Class_1!H37,Class_2!H37) &gt;0, CHAR(43), CHAR(45))</f>
        <v>-</v>
      </c>
      <c r="L90" s="14" t="str">
        <f>IF(MIN(Class_0!I37,Class_1!I37,Class_2!I37) &gt;0, CHAR(43), CHAR(45))</f>
        <v>+</v>
      </c>
      <c r="M90" s="14" t="str">
        <f>IF(MIN(Class_0!J37,Class_1!J37,Class_2!J37) &gt;0, CHAR(43), CHAR(45))</f>
        <v>+</v>
      </c>
      <c r="N90" s="14" t="str">
        <f>IF(MIN(Class_0!K37,Class_1!K37,Class_2!K37) &gt;0, CHAR(43), CHAR(45))</f>
        <v>-</v>
      </c>
      <c r="O90" s="14" t="str">
        <f>IF(MIN(Class_0!L37,Class_1!L37,Class_2!L37) &gt;0, CHAR(43), CHAR(45))</f>
        <v>-</v>
      </c>
      <c r="P90" s="14" t="str">
        <f>IF(MIN(Class_0!M37,Class_1!M37,Class_2!M37) &gt;0, CHAR(43), CHAR(45))</f>
        <v>-</v>
      </c>
      <c r="Q90" s="14" t="str">
        <f>IF(MIN(Class_0!N37,Class_1!N37,Class_2!N37) &gt;0, CHAR(43), CHAR(45))</f>
        <v>+</v>
      </c>
      <c r="R90" s="14" t="str">
        <f>IF(MIN(Class_0!O37,Class_1!O37,Class_2!O37) &gt;0, CHAR(43), CHAR(45))</f>
        <v>+</v>
      </c>
      <c r="S90" s="14" t="str">
        <f>IF(MIN(Class_0!P37,Class_1!P37,Class_2!P37) &gt;0, CHAR(43), CHAR(45))</f>
        <v>+</v>
      </c>
      <c r="T90" s="14" t="str">
        <f>IF(MIN(Class_0!Q37,Class_1!Q37,Class_2!Q37) &gt;0, CHAR(43), CHAR(45))</f>
        <v>+</v>
      </c>
      <c r="U90" s="14" t="str">
        <f>IF(MIN(Class_0!R37,Class_1!R37,Class_2!R37) &gt;0, CHAR(43), CHAR(45))</f>
        <v>-</v>
      </c>
      <c r="V90" s="14" t="str">
        <f>IF(MIN(Class_0!S37,Class_1!S37,Class_2!S37) &gt;0, CHAR(43), CHAR(45))</f>
        <v>-</v>
      </c>
      <c r="W90" s="14" t="str">
        <f>IF(MIN(Class_0!T37,Class_1!T37,Class_2!T37) &gt;0, CHAR(43), CHAR(45))</f>
        <v>-</v>
      </c>
      <c r="X90" s="14" t="str">
        <f>IF(MIN(Class_0!U37,Class_1!U37,Class_2!U37) &gt;0, CHAR(43), CHAR(45))</f>
        <v>+</v>
      </c>
      <c r="Y90" s="14" t="str">
        <f>IF(MIN(Class_0!V37,Class_1!V37,Class_2!V37) &gt;0, CHAR(43), CHAR(45))</f>
        <v>+</v>
      </c>
      <c r="Z90" s="14" t="str">
        <f>IF(MIN(Class_0!W37,Class_1!W37,Class_2!W37) &gt;0, CHAR(43), CHAR(45))</f>
        <v>+</v>
      </c>
      <c r="AA90" s="14" t="str">
        <f>IF(MIN(Class_0!X37,Class_1!X37,Class_2!X37) &gt;0, CHAR(43), CHAR(45))</f>
        <v>+</v>
      </c>
      <c r="AB90" s="14" t="str">
        <f>IF(MIN(Class_0!Y37,Class_1!Y37,Class_2!Y37) &gt;0, CHAR(43), CHAR(45))</f>
        <v>+</v>
      </c>
      <c r="AC90" s="14" t="str">
        <f>IF(MIN(Class_0!Z37,Class_1!Z37,Class_2!Z37) &gt;0, CHAR(43), CHAR(45))</f>
        <v>+</v>
      </c>
      <c r="AD90" s="14" t="str">
        <f>IF(MIN(Class_0!AA37,Class_1!AA37,Class_2!AA37) &gt;0, CHAR(43), CHAR(45))</f>
        <v>+</v>
      </c>
      <c r="AE90" s="14" t="str">
        <f>IF(MIN(Class_0!AB37,Class_1!AB37,Class_2!AB37) &gt;0, CHAR(43), CHAR(45))</f>
        <v>+</v>
      </c>
      <c r="AF90" s="14" t="str">
        <f>IF(MIN(Class_0!AC37,Class_1!AC37,Class_2!AC37) &gt;0, CHAR(43), CHAR(45))</f>
        <v>+</v>
      </c>
      <c r="AG90" s="14" t="str">
        <f>IF(MIN(Class_0!AD37,Class_1!AD37,Class_2!AD37) &gt;0, CHAR(43), CHAR(45))</f>
        <v>+</v>
      </c>
      <c r="AH90" s="14" t="str">
        <f>IF(MIN(Class_0!AE37,Class_1!AE37,Class_2!AE37) &gt;0, CHAR(43), CHAR(45))</f>
        <v>+</v>
      </c>
      <c r="AI90" s="14" t="str">
        <f>IF(MIN(Class_0!AF37,Class_1!AF37,Class_2!AF37) &gt;0, CHAR(43), CHAR(45))</f>
        <v>+</v>
      </c>
      <c r="AJ90" s="14" t="str">
        <f>IF(MIN(Class_0!AG37,Class_1!AG37,Class_2!AG37) &gt;0, CHAR(43), CHAR(45))</f>
        <v>+</v>
      </c>
      <c r="AK90" s="14" t="str">
        <f>IF(MIN(Class_0!AH37,Class_1!AH37,Class_2!AH37) &gt;0, CHAR(43), CHAR(45))</f>
        <v>+</v>
      </c>
      <c r="AL90" s="14" t="str">
        <f>IF(MIN(Class_0!AI37,Class_1!AI37,Class_2!AI37) &gt;0, CHAR(43), CHAR(45))</f>
        <v>+</v>
      </c>
      <c r="AM90" s="14" t="str">
        <f>IF(MIN(Class_0!AJ37,Class_1!AJ37,Class_2!AJ37) &gt;0, CHAR(43), CHAR(45))</f>
        <v>+</v>
      </c>
      <c r="AN90" s="14" t="str">
        <f>IF(MIN(Class_0!AK37,Class_1!AK37,Class_2!AK37) &gt;0, CHAR(43), CHAR(45))</f>
        <v>+</v>
      </c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5"/>
    </row>
    <row r="91" spans="3:58" x14ac:dyDescent="0.35">
      <c r="C91" s="13" t="s">
        <v>76</v>
      </c>
      <c r="D91" s="10">
        <f t="shared" si="6"/>
        <v>37</v>
      </c>
      <c r="E91" s="14" t="str">
        <f>IF(MIN(Class_0!B38,Class_1!B38,Class_2!B38) &gt;0, CHAR(43), CHAR(45))</f>
        <v>-</v>
      </c>
      <c r="F91" s="14" t="str">
        <f>IF(MIN(Class_0!C38,Class_1!C38,Class_2!C38) &gt;0, CHAR(43), CHAR(45))</f>
        <v>-</v>
      </c>
      <c r="G91" s="14" t="str">
        <f>IF(MIN(Class_0!D38,Class_1!D38,Class_2!D38) &gt;0, CHAR(43), CHAR(45))</f>
        <v>-</v>
      </c>
      <c r="H91" s="14" t="str">
        <f>IF(MIN(Class_0!E38,Class_1!E38,Class_2!E38) &gt;0, CHAR(43), CHAR(45))</f>
        <v>-</v>
      </c>
      <c r="I91" s="14" t="str">
        <f>IF(MIN(Class_0!F38,Class_1!F38,Class_2!F38) &gt;0, CHAR(43), CHAR(45))</f>
        <v>-</v>
      </c>
      <c r="J91" s="14" t="str">
        <f>IF(MIN(Class_0!G38,Class_1!G38,Class_2!G38) &gt;0, CHAR(43), CHAR(45))</f>
        <v>-</v>
      </c>
      <c r="K91" s="14" t="str">
        <f>IF(MIN(Class_0!H38,Class_1!H38,Class_2!H38) &gt;0, CHAR(43), CHAR(45))</f>
        <v>-</v>
      </c>
      <c r="L91" s="14" t="str">
        <f>IF(MIN(Class_0!I38,Class_1!I38,Class_2!I38) &gt;0, CHAR(43), CHAR(45))</f>
        <v>-</v>
      </c>
      <c r="M91" s="14" t="str">
        <f>IF(MIN(Class_0!J38,Class_1!J38,Class_2!J38) &gt;0, CHAR(43), CHAR(45))</f>
        <v>+</v>
      </c>
      <c r="N91" s="14" t="str">
        <f>IF(MIN(Class_0!K38,Class_1!K38,Class_2!K38) &gt;0, CHAR(43), CHAR(45))</f>
        <v>-</v>
      </c>
      <c r="O91" s="14" t="str">
        <f>IF(MIN(Class_0!L38,Class_1!L38,Class_2!L38) &gt;0, CHAR(43), CHAR(45))</f>
        <v>-</v>
      </c>
      <c r="P91" s="14" t="str">
        <f>IF(MIN(Class_0!M38,Class_1!M38,Class_2!M38) &gt;0, CHAR(43), CHAR(45))</f>
        <v>+</v>
      </c>
      <c r="Q91" s="14" t="str">
        <f>IF(MIN(Class_0!N38,Class_1!N38,Class_2!N38) &gt;0, CHAR(43), CHAR(45))</f>
        <v>+</v>
      </c>
      <c r="R91" s="14" t="str">
        <f>IF(MIN(Class_0!O38,Class_1!O38,Class_2!O38) &gt;0, CHAR(43), CHAR(45))</f>
        <v>+</v>
      </c>
      <c r="S91" s="14" t="str">
        <f>IF(MIN(Class_0!P38,Class_1!P38,Class_2!P38) &gt;0, CHAR(43), CHAR(45))</f>
        <v>+</v>
      </c>
      <c r="T91" s="14" t="str">
        <f>IF(MIN(Class_0!Q38,Class_1!Q38,Class_2!Q38) &gt;0, CHAR(43), CHAR(45))</f>
        <v>-</v>
      </c>
      <c r="U91" s="14" t="str">
        <f>IF(MIN(Class_0!R38,Class_1!R38,Class_2!R38) &gt;0, CHAR(43), CHAR(45))</f>
        <v>-</v>
      </c>
      <c r="V91" s="14" t="str">
        <f>IF(MIN(Class_0!S38,Class_1!S38,Class_2!S38) &gt;0, CHAR(43), CHAR(45))</f>
        <v>-</v>
      </c>
      <c r="W91" s="14" t="str">
        <f>IF(MIN(Class_0!T38,Class_1!T38,Class_2!T38) &gt;0, CHAR(43), CHAR(45))</f>
        <v>+</v>
      </c>
      <c r="X91" s="14" t="str">
        <f>IF(MIN(Class_0!U38,Class_1!U38,Class_2!U38) &gt;0, CHAR(43), CHAR(45))</f>
        <v>+</v>
      </c>
      <c r="Y91" s="14" t="str">
        <f>IF(MIN(Class_0!V38,Class_1!V38,Class_2!V38) &gt;0, CHAR(43), CHAR(45))</f>
        <v>+</v>
      </c>
      <c r="Z91" s="14" t="str">
        <f>IF(MIN(Class_0!W38,Class_1!W38,Class_2!W38) &gt;0, CHAR(43), CHAR(45))</f>
        <v>+</v>
      </c>
      <c r="AA91" s="14" t="str">
        <f>IF(MIN(Class_0!X38,Class_1!X38,Class_2!X38) &gt;0, CHAR(43), CHAR(45))</f>
        <v>+</v>
      </c>
      <c r="AB91" s="14" t="str">
        <f>IF(MIN(Class_0!Y38,Class_1!Y38,Class_2!Y38) &gt;0, CHAR(43), CHAR(45))</f>
        <v>+</v>
      </c>
      <c r="AC91" s="14" t="str">
        <f>IF(MIN(Class_0!Z38,Class_1!Z38,Class_2!Z38) &gt;0, CHAR(43), CHAR(45))</f>
        <v>+</v>
      </c>
      <c r="AD91" s="14" t="str">
        <f>IF(MIN(Class_0!AA38,Class_1!AA38,Class_2!AA38) &gt;0, CHAR(43), CHAR(45))</f>
        <v>+</v>
      </c>
      <c r="AE91" s="14" t="str">
        <f>IF(MIN(Class_0!AB38,Class_1!AB38,Class_2!AB38) &gt;0, CHAR(43), CHAR(45))</f>
        <v>+</v>
      </c>
      <c r="AF91" s="14" t="str">
        <f>IF(MIN(Class_0!AC38,Class_1!AC38,Class_2!AC38) &gt;0, CHAR(43), CHAR(45))</f>
        <v>+</v>
      </c>
      <c r="AG91" s="14" t="str">
        <f>IF(MIN(Class_0!AD38,Class_1!AD38,Class_2!AD38) &gt;0, CHAR(43), CHAR(45))</f>
        <v>+</v>
      </c>
      <c r="AH91" s="14" t="str">
        <f>IF(MIN(Class_0!AE38,Class_1!AE38,Class_2!AE38) &gt;0, CHAR(43), CHAR(45))</f>
        <v>+</v>
      </c>
      <c r="AI91" s="14" t="str">
        <f>IF(MIN(Class_0!AF38,Class_1!AF38,Class_2!AF38) &gt;0, CHAR(43), CHAR(45))</f>
        <v>+</v>
      </c>
      <c r="AJ91" s="14" t="str">
        <f>IF(MIN(Class_0!AG38,Class_1!AG38,Class_2!AG38) &gt;0, CHAR(43), CHAR(45))</f>
        <v>+</v>
      </c>
      <c r="AK91" s="14" t="str">
        <f>IF(MIN(Class_0!AH38,Class_1!AH38,Class_2!AH38) &gt;0, CHAR(43), CHAR(45))</f>
        <v>+</v>
      </c>
      <c r="AL91" s="14" t="str">
        <f>IF(MIN(Class_0!AI38,Class_1!AI38,Class_2!AI38) &gt;0, CHAR(43), CHAR(45))</f>
        <v>+</v>
      </c>
      <c r="AM91" s="14" t="str">
        <f>IF(MIN(Class_0!AJ38,Class_1!AJ38,Class_2!AJ38) &gt;0, CHAR(43), CHAR(45))</f>
        <v>+</v>
      </c>
      <c r="AN91" s="14" t="str">
        <f>IF(MIN(Class_0!AK38,Class_1!AK38,Class_2!AK38) &gt;0, CHAR(43), CHAR(45))</f>
        <v>+</v>
      </c>
      <c r="AO91" s="14" t="str">
        <f>IF(MIN(Class_0!AL38,Class_1!AL38,Class_2!AL38) &gt;0, CHAR(43), CHAR(45))</f>
        <v>+</v>
      </c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5"/>
    </row>
    <row r="92" spans="3:58" x14ac:dyDescent="0.35">
      <c r="C92" s="13" t="s">
        <v>77</v>
      </c>
      <c r="D92" s="10">
        <f t="shared" si="6"/>
        <v>38</v>
      </c>
      <c r="E92" s="14" t="str">
        <f>IF(MIN(Class_0!B39,Class_1!B39,Class_2!B39) &gt;0, CHAR(43), CHAR(45))</f>
        <v>-</v>
      </c>
      <c r="F92" s="14" t="str">
        <f>IF(MIN(Class_0!C39,Class_1!C39,Class_2!C39) &gt;0, CHAR(43), CHAR(45))</f>
        <v>-</v>
      </c>
      <c r="G92" s="14" t="str">
        <f>IF(MIN(Class_0!D39,Class_1!D39,Class_2!D39) &gt;0, CHAR(43), CHAR(45))</f>
        <v>-</v>
      </c>
      <c r="H92" s="14" t="str">
        <f>IF(MIN(Class_0!E39,Class_1!E39,Class_2!E39) &gt;0, CHAR(43), CHAR(45))</f>
        <v>-</v>
      </c>
      <c r="I92" s="14" t="str">
        <f>IF(MIN(Class_0!F39,Class_1!F39,Class_2!F39) &gt;0, CHAR(43), CHAR(45))</f>
        <v>-</v>
      </c>
      <c r="J92" s="14" t="str">
        <f>IF(MIN(Class_0!G39,Class_1!G39,Class_2!G39) &gt;0, CHAR(43), CHAR(45))</f>
        <v>-</v>
      </c>
      <c r="K92" s="14" t="str">
        <f>IF(MIN(Class_0!H39,Class_1!H39,Class_2!H39) &gt;0, CHAR(43), CHAR(45))</f>
        <v>-</v>
      </c>
      <c r="L92" s="14" t="str">
        <f>IF(MIN(Class_0!I39,Class_1!I39,Class_2!I39) &gt;0, CHAR(43), CHAR(45))</f>
        <v>-</v>
      </c>
      <c r="M92" s="14" t="str">
        <f>IF(MIN(Class_0!J39,Class_1!J39,Class_2!J39) &gt;0, CHAR(43), CHAR(45))</f>
        <v>+</v>
      </c>
      <c r="N92" s="14" t="str">
        <f>IF(MIN(Class_0!K39,Class_1!K39,Class_2!K39) &gt;0, CHAR(43), CHAR(45))</f>
        <v>-</v>
      </c>
      <c r="O92" s="14" t="str">
        <f>IF(MIN(Class_0!L39,Class_1!L39,Class_2!L39) &gt;0, CHAR(43), CHAR(45))</f>
        <v>-</v>
      </c>
      <c r="P92" s="14" t="str">
        <f>IF(MIN(Class_0!M39,Class_1!M39,Class_2!M39) &gt;0, CHAR(43), CHAR(45))</f>
        <v>+</v>
      </c>
      <c r="Q92" s="14" t="str">
        <f>IF(MIN(Class_0!N39,Class_1!N39,Class_2!N39) &gt;0, CHAR(43), CHAR(45))</f>
        <v>+</v>
      </c>
      <c r="R92" s="14" t="str">
        <f>IF(MIN(Class_0!O39,Class_1!O39,Class_2!O39) &gt;0, CHAR(43), CHAR(45))</f>
        <v>+</v>
      </c>
      <c r="S92" s="14" t="str">
        <f>IF(MIN(Class_0!P39,Class_1!P39,Class_2!P39) &gt;0, CHAR(43), CHAR(45))</f>
        <v>+</v>
      </c>
      <c r="T92" s="14" t="str">
        <f>IF(MIN(Class_0!Q39,Class_1!Q39,Class_2!Q39) &gt;0, CHAR(43), CHAR(45))</f>
        <v>-</v>
      </c>
      <c r="U92" s="14" t="str">
        <f>IF(MIN(Class_0!R39,Class_1!R39,Class_2!R39) &gt;0, CHAR(43), CHAR(45))</f>
        <v>-</v>
      </c>
      <c r="V92" s="14" t="str">
        <f>IF(MIN(Class_0!S39,Class_1!S39,Class_2!S39) &gt;0, CHAR(43), CHAR(45))</f>
        <v>-</v>
      </c>
      <c r="W92" s="14" t="str">
        <f>IF(MIN(Class_0!T39,Class_1!T39,Class_2!T39) &gt;0, CHAR(43), CHAR(45))</f>
        <v>-</v>
      </c>
      <c r="X92" s="14" t="str">
        <f>IF(MIN(Class_0!U39,Class_1!U39,Class_2!U39) &gt;0, CHAR(43), CHAR(45))</f>
        <v>+</v>
      </c>
      <c r="Y92" s="14" t="str">
        <f>IF(MIN(Class_0!V39,Class_1!V39,Class_2!V39) &gt;0, CHAR(43), CHAR(45))</f>
        <v>+</v>
      </c>
      <c r="Z92" s="14" t="str">
        <f>IF(MIN(Class_0!W39,Class_1!W39,Class_2!W39) &gt;0, CHAR(43), CHAR(45))</f>
        <v>+</v>
      </c>
      <c r="AA92" s="14" t="str">
        <f>IF(MIN(Class_0!X39,Class_1!X39,Class_2!X39) &gt;0, CHAR(43), CHAR(45))</f>
        <v>+</v>
      </c>
      <c r="AB92" s="14" t="str">
        <f>IF(MIN(Class_0!Y39,Class_1!Y39,Class_2!Y39) &gt;0, CHAR(43), CHAR(45))</f>
        <v>+</v>
      </c>
      <c r="AC92" s="14" t="str">
        <f>IF(MIN(Class_0!Z39,Class_1!Z39,Class_2!Z39) &gt;0, CHAR(43), CHAR(45))</f>
        <v>+</v>
      </c>
      <c r="AD92" s="14" t="str">
        <f>IF(MIN(Class_0!AA39,Class_1!AA39,Class_2!AA39) &gt;0, CHAR(43), CHAR(45))</f>
        <v>+</v>
      </c>
      <c r="AE92" s="14" t="str">
        <f>IF(MIN(Class_0!AB39,Class_1!AB39,Class_2!AB39) &gt;0, CHAR(43), CHAR(45))</f>
        <v>+</v>
      </c>
      <c r="AF92" s="14" t="str">
        <f>IF(MIN(Class_0!AC39,Class_1!AC39,Class_2!AC39) &gt;0, CHAR(43), CHAR(45))</f>
        <v>+</v>
      </c>
      <c r="AG92" s="14" t="str">
        <f>IF(MIN(Class_0!AD39,Class_1!AD39,Class_2!AD39) &gt;0, CHAR(43), CHAR(45))</f>
        <v>+</v>
      </c>
      <c r="AH92" s="14" t="str">
        <f>IF(MIN(Class_0!AE39,Class_1!AE39,Class_2!AE39) &gt;0, CHAR(43), CHAR(45))</f>
        <v>+</v>
      </c>
      <c r="AI92" s="14" t="str">
        <f>IF(MIN(Class_0!AF39,Class_1!AF39,Class_2!AF39) &gt;0, CHAR(43), CHAR(45))</f>
        <v>+</v>
      </c>
      <c r="AJ92" s="14" t="str">
        <f>IF(MIN(Class_0!AG39,Class_1!AG39,Class_2!AG39) &gt;0, CHAR(43), CHAR(45))</f>
        <v>+</v>
      </c>
      <c r="AK92" s="14" t="str">
        <f>IF(MIN(Class_0!AH39,Class_1!AH39,Class_2!AH39) &gt;0, CHAR(43), CHAR(45))</f>
        <v>+</v>
      </c>
      <c r="AL92" s="14" t="str">
        <f>IF(MIN(Class_0!AI39,Class_1!AI39,Class_2!AI39) &gt;0, CHAR(43), CHAR(45))</f>
        <v>+</v>
      </c>
      <c r="AM92" s="14" t="str">
        <f>IF(MIN(Class_0!AJ39,Class_1!AJ39,Class_2!AJ39) &gt;0, CHAR(43), CHAR(45))</f>
        <v>+</v>
      </c>
      <c r="AN92" s="14" t="str">
        <f>IF(MIN(Class_0!AK39,Class_1!AK39,Class_2!AK39) &gt;0, CHAR(43), CHAR(45))</f>
        <v>+</v>
      </c>
      <c r="AO92" s="14" t="str">
        <f>IF(MIN(Class_0!AL39,Class_1!AL39,Class_2!AL39) &gt;0, CHAR(43), CHAR(45))</f>
        <v>+</v>
      </c>
      <c r="AP92" s="14" t="str">
        <f>IF(MIN(Class_0!AM39,Class_1!AM39,Class_2!AM39) &gt;0, CHAR(43), CHAR(45))</f>
        <v>+</v>
      </c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5"/>
    </row>
    <row r="93" spans="3:58" x14ac:dyDescent="0.35">
      <c r="C93" s="13" t="s">
        <v>78</v>
      </c>
      <c r="D93" s="10">
        <f t="shared" si="6"/>
        <v>39</v>
      </c>
      <c r="E93" s="14" t="str">
        <f>IF(MIN(Class_0!B40,Class_1!B40,Class_2!B40) &gt;0, CHAR(43), CHAR(45))</f>
        <v>-</v>
      </c>
      <c r="F93" s="14" t="str">
        <f>IF(MIN(Class_0!C40,Class_1!C40,Class_2!C40) &gt;0, CHAR(43), CHAR(45))</f>
        <v>-</v>
      </c>
      <c r="G93" s="14" t="str">
        <f>IF(MIN(Class_0!D40,Class_1!D40,Class_2!D40) &gt;0, CHAR(43), CHAR(45))</f>
        <v>-</v>
      </c>
      <c r="H93" s="14" t="str">
        <f>IF(MIN(Class_0!E40,Class_1!E40,Class_2!E40) &gt;0, CHAR(43), CHAR(45))</f>
        <v>-</v>
      </c>
      <c r="I93" s="14" t="str">
        <f>IF(MIN(Class_0!F40,Class_1!F40,Class_2!F40) &gt;0, CHAR(43), CHAR(45))</f>
        <v>-</v>
      </c>
      <c r="J93" s="14" t="str">
        <f>IF(MIN(Class_0!G40,Class_1!G40,Class_2!G40) &gt;0, CHAR(43), CHAR(45))</f>
        <v>-</v>
      </c>
      <c r="K93" s="14" t="str">
        <f>IF(MIN(Class_0!H40,Class_1!H40,Class_2!H40) &gt;0, CHAR(43), CHAR(45))</f>
        <v>-</v>
      </c>
      <c r="L93" s="14" t="str">
        <f>IF(MIN(Class_0!I40,Class_1!I40,Class_2!I40) &gt;0, CHAR(43), CHAR(45))</f>
        <v>-</v>
      </c>
      <c r="M93" s="14" t="str">
        <f>IF(MIN(Class_0!J40,Class_1!J40,Class_2!J40) &gt;0, CHAR(43), CHAR(45))</f>
        <v>-</v>
      </c>
      <c r="N93" s="14" t="str">
        <f>IF(MIN(Class_0!K40,Class_1!K40,Class_2!K40) &gt;0, CHAR(43), CHAR(45))</f>
        <v>-</v>
      </c>
      <c r="O93" s="14" t="str">
        <f>IF(MIN(Class_0!L40,Class_1!L40,Class_2!L40) &gt;0, CHAR(43), CHAR(45))</f>
        <v>-</v>
      </c>
      <c r="P93" s="14" t="str">
        <f>IF(MIN(Class_0!M40,Class_1!M40,Class_2!M40) &gt;0, CHAR(43), CHAR(45))</f>
        <v>+</v>
      </c>
      <c r="Q93" s="14" t="str">
        <f>IF(MIN(Class_0!N40,Class_1!N40,Class_2!N40) &gt;0, CHAR(43), CHAR(45))</f>
        <v>+</v>
      </c>
      <c r="R93" s="14" t="str">
        <f>IF(MIN(Class_0!O40,Class_1!O40,Class_2!O40) &gt;0, CHAR(43), CHAR(45))</f>
        <v>+</v>
      </c>
      <c r="S93" s="14" t="str">
        <f>IF(MIN(Class_0!P40,Class_1!P40,Class_2!P40) &gt;0, CHAR(43), CHAR(45))</f>
        <v>+</v>
      </c>
      <c r="T93" s="14" t="str">
        <f>IF(MIN(Class_0!Q40,Class_1!Q40,Class_2!Q40) &gt;0, CHAR(43), CHAR(45))</f>
        <v>-</v>
      </c>
      <c r="U93" s="14" t="str">
        <f>IF(MIN(Class_0!R40,Class_1!R40,Class_2!R40) &gt;0, CHAR(43), CHAR(45))</f>
        <v>-</v>
      </c>
      <c r="V93" s="14" t="str">
        <f>IF(MIN(Class_0!S40,Class_1!S40,Class_2!S40) &gt;0, CHAR(43), CHAR(45))</f>
        <v>-</v>
      </c>
      <c r="W93" s="14" t="str">
        <f>IF(MIN(Class_0!T40,Class_1!T40,Class_2!T40) &gt;0, CHAR(43), CHAR(45))</f>
        <v>+</v>
      </c>
      <c r="X93" s="14" t="str">
        <f>IF(MIN(Class_0!U40,Class_1!U40,Class_2!U40) &gt;0, CHAR(43), CHAR(45))</f>
        <v>+</v>
      </c>
      <c r="Y93" s="14" t="str">
        <f>IF(MIN(Class_0!V40,Class_1!V40,Class_2!V40) &gt;0, CHAR(43), CHAR(45))</f>
        <v>+</v>
      </c>
      <c r="Z93" s="14" t="str">
        <f>IF(MIN(Class_0!W40,Class_1!W40,Class_2!W40) &gt;0, CHAR(43), CHAR(45))</f>
        <v>+</v>
      </c>
      <c r="AA93" s="14" t="str">
        <f>IF(MIN(Class_0!X40,Class_1!X40,Class_2!X40) &gt;0, CHAR(43), CHAR(45))</f>
        <v>+</v>
      </c>
      <c r="AB93" s="14" t="str">
        <f>IF(MIN(Class_0!Y40,Class_1!Y40,Class_2!Y40) &gt;0, CHAR(43), CHAR(45))</f>
        <v>+</v>
      </c>
      <c r="AC93" s="14" t="str">
        <f>IF(MIN(Class_0!Z40,Class_1!Z40,Class_2!Z40) &gt;0, CHAR(43), CHAR(45))</f>
        <v>+</v>
      </c>
      <c r="AD93" s="14" t="str">
        <f>IF(MIN(Class_0!AA40,Class_1!AA40,Class_2!AA40) &gt;0, CHAR(43), CHAR(45))</f>
        <v>+</v>
      </c>
      <c r="AE93" s="14" t="str">
        <f>IF(MIN(Class_0!AB40,Class_1!AB40,Class_2!AB40) &gt;0, CHAR(43), CHAR(45))</f>
        <v>+</v>
      </c>
      <c r="AF93" s="14" t="str">
        <f>IF(MIN(Class_0!AC40,Class_1!AC40,Class_2!AC40) &gt;0, CHAR(43), CHAR(45))</f>
        <v>+</v>
      </c>
      <c r="AG93" s="14" t="str">
        <f>IF(MIN(Class_0!AD40,Class_1!AD40,Class_2!AD40) &gt;0, CHAR(43), CHAR(45))</f>
        <v>+</v>
      </c>
      <c r="AH93" s="14" t="str">
        <f>IF(MIN(Class_0!AE40,Class_1!AE40,Class_2!AE40) &gt;0, CHAR(43), CHAR(45))</f>
        <v>+</v>
      </c>
      <c r="AI93" s="14" t="str">
        <f>IF(MIN(Class_0!AF40,Class_1!AF40,Class_2!AF40) &gt;0, CHAR(43), CHAR(45))</f>
        <v>+</v>
      </c>
      <c r="AJ93" s="14" t="str">
        <f>IF(MIN(Class_0!AG40,Class_1!AG40,Class_2!AG40) &gt;0, CHAR(43), CHAR(45))</f>
        <v>+</v>
      </c>
      <c r="AK93" s="14" t="str">
        <f>IF(MIN(Class_0!AH40,Class_1!AH40,Class_2!AH40) &gt;0, CHAR(43), CHAR(45))</f>
        <v>+</v>
      </c>
      <c r="AL93" s="14" t="str">
        <f>IF(MIN(Class_0!AI40,Class_1!AI40,Class_2!AI40) &gt;0, CHAR(43), CHAR(45))</f>
        <v>+</v>
      </c>
      <c r="AM93" s="14" t="str">
        <f>IF(MIN(Class_0!AJ40,Class_1!AJ40,Class_2!AJ40) &gt;0, CHAR(43), CHAR(45))</f>
        <v>+</v>
      </c>
      <c r="AN93" s="14" t="str">
        <f>IF(MIN(Class_0!AK40,Class_1!AK40,Class_2!AK40) &gt;0, CHAR(43), CHAR(45))</f>
        <v>+</v>
      </c>
      <c r="AO93" s="14" t="str">
        <f>IF(MIN(Class_0!AL40,Class_1!AL40,Class_2!AL40) &gt;0, CHAR(43), CHAR(45))</f>
        <v>+</v>
      </c>
      <c r="AP93" s="14" t="str">
        <f>IF(MIN(Class_0!AM40,Class_1!AM40,Class_2!AM40) &gt;0, CHAR(43), CHAR(45))</f>
        <v>+</v>
      </c>
      <c r="AQ93" s="14" t="str">
        <f>IF(MIN(Class_0!AN40,Class_1!AN40,Class_2!AN40) &gt;0, CHAR(43), CHAR(45))</f>
        <v>+</v>
      </c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5"/>
    </row>
    <row r="94" spans="3:58" x14ac:dyDescent="0.35">
      <c r="C94" s="13" t="s">
        <v>79</v>
      </c>
      <c r="D94" s="10">
        <f t="shared" si="6"/>
        <v>40</v>
      </c>
      <c r="E94" s="14" t="str">
        <f>IF(MIN(Class_0!B41,Class_1!B41,Class_2!B41) &gt;0, CHAR(43), CHAR(45))</f>
        <v>-</v>
      </c>
      <c r="F94" s="14" t="str">
        <f>IF(MIN(Class_0!C41,Class_1!C41,Class_2!C41) &gt;0, CHAR(43), CHAR(45))</f>
        <v>-</v>
      </c>
      <c r="G94" s="14" t="str">
        <f>IF(MIN(Class_0!D41,Class_1!D41,Class_2!D41) &gt;0, CHAR(43), CHAR(45))</f>
        <v>-</v>
      </c>
      <c r="H94" s="14" t="str">
        <f>IF(MIN(Class_0!E41,Class_1!E41,Class_2!E41) &gt;0, CHAR(43), CHAR(45))</f>
        <v>-</v>
      </c>
      <c r="I94" s="14" t="str">
        <f>IF(MIN(Class_0!F41,Class_1!F41,Class_2!F41) &gt;0, CHAR(43), CHAR(45))</f>
        <v>-</v>
      </c>
      <c r="J94" s="14" t="str">
        <f>IF(MIN(Class_0!G41,Class_1!G41,Class_2!G41) &gt;0, CHAR(43), CHAR(45))</f>
        <v>-</v>
      </c>
      <c r="K94" s="14" t="str">
        <f>IF(MIN(Class_0!H41,Class_1!H41,Class_2!H41) &gt;0, CHAR(43), CHAR(45))</f>
        <v>-</v>
      </c>
      <c r="L94" s="14" t="str">
        <f>IF(MIN(Class_0!I41,Class_1!I41,Class_2!I41) &gt;0, CHAR(43), CHAR(45))</f>
        <v>-</v>
      </c>
      <c r="M94" s="14" t="str">
        <f>IF(MIN(Class_0!J41,Class_1!J41,Class_2!J41) &gt;0, CHAR(43), CHAR(45))</f>
        <v>+</v>
      </c>
      <c r="N94" s="14" t="str">
        <f>IF(MIN(Class_0!K41,Class_1!K41,Class_2!K41) &gt;0, CHAR(43), CHAR(45))</f>
        <v>-</v>
      </c>
      <c r="O94" s="14" t="str">
        <f>IF(MIN(Class_0!L41,Class_1!L41,Class_2!L41) &gt;0, CHAR(43), CHAR(45))</f>
        <v>-</v>
      </c>
      <c r="P94" s="14" t="str">
        <f>IF(MIN(Class_0!M41,Class_1!M41,Class_2!M41) &gt;0, CHAR(43), CHAR(45))</f>
        <v>+</v>
      </c>
      <c r="Q94" s="14" t="str">
        <f>IF(MIN(Class_0!N41,Class_1!N41,Class_2!N41) &gt;0, CHAR(43), CHAR(45))</f>
        <v>-</v>
      </c>
      <c r="R94" s="14" t="str">
        <f>IF(MIN(Class_0!O41,Class_1!O41,Class_2!O41) &gt;0, CHAR(43), CHAR(45))</f>
        <v>+</v>
      </c>
      <c r="S94" s="14" t="str">
        <f>IF(MIN(Class_0!P41,Class_1!P41,Class_2!P41) &gt;0, CHAR(43), CHAR(45))</f>
        <v>+</v>
      </c>
      <c r="T94" s="14" t="str">
        <f>IF(MIN(Class_0!Q41,Class_1!Q41,Class_2!Q41) &gt;0, CHAR(43), CHAR(45))</f>
        <v>-</v>
      </c>
      <c r="U94" s="14" t="str">
        <f>IF(MIN(Class_0!R41,Class_1!R41,Class_2!R41) &gt;0, CHAR(43), CHAR(45))</f>
        <v>-</v>
      </c>
      <c r="V94" s="14" t="str">
        <f>IF(MIN(Class_0!S41,Class_1!S41,Class_2!S41) &gt;0, CHAR(43), CHAR(45))</f>
        <v>-</v>
      </c>
      <c r="W94" s="14" t="str">
        <f>IF(MIN(Class_0!T41,Class_1!T41,Class_2!T41) &gt;0, CHAR(43), CHAR(45))</f>
        <v>+</v>
      </c>
      <c r="X94" s="14" t="str">
        <f>IF(MIN(Class_0!U41,Class_1!U41,Class_2!U41) &gt;0, CHAR(43), CHAR(45))</f>
        <v>+</v>
      </c>
      <c r="Y94" s="14" t="str">
        <f>IF(MIN(Class_0!V41,Class_1!V41,Class_2!V41) &gt;0, CHAR(43), CHAR(45))</f>
        <v>-</v>
      </c>
      <c r="Z94" s="14" t="str">
        <f>IF(MIN(Class_0!W41,Class_1!W41,Class_2!W41) &gt;0, CHAR(43), CHAR(45))</f>
        <v>+</v>
      </c>
      <c r="AA94" s="14" t="str">
        <f>IF(MIN(Class_0!X41,Class_1!X41,Class_2!X41) &gt;0, CHAR(43), CHAR(45))</f>
        <v>+</v>
      </c>
      <c r="AB94" s="14" t="str">
        <f>IF(MIN(Class_0!Y41,Class_1!Y41,Class_2!Y41) &gt;0, CHAR(43), CHAR(45))</f>
        <v>+</v>
      </c>
      <c r="AC94" s="14" t="str">
        <f>IF(MIN(Class_0!Z41,Class_1!Z41,Class_2!Z41) &gt;0, CHAR(43), CHAR(45))</f>
        <v>+</v>
      </c>
      <c r="AD94" s="14" t="str">
        <f>IF(MIN(Class_0!AA41,Class_1!AA41,Class_2!AA41) &gt;0, CHAR(43), CHAR(45))</f>
        <v>+</v>
      </c>
      <c r="AE94" s="14" t="str">
        <f>IF(MIN(Class_0!AB41,Class_1!AB41,Class_2!AB41) &gt;0, CHAR(43), CHAR(45))</f>
        <v>+</v>
      </c>
      <c r="AF94" s="14" t="str">
        <f>IF(MIN(Class_0!AC41,Class_1!AC41,Class_2!AC41) &gt;0, CHAR(43), CHAR(45))</f>
        <v>+</v>
      </c>
      <c r="AG94" s="14" t="str">
        <f>IF(MIN(Class_0!AD41,Class_1!AD41,Class_2!AD41) &gt;0, CHAR(43), CHAR(45))</f>
        <v>+</v>
      </c>
      <c r="AH94" s="14" t="str">
        <f>IF(MIN(Class_0!AE41,Class_1!AE41,Class_2!AE41) &gt;0, CHAR(43), CHAR(45))</f>
        <v>+</v>
      </c>
      <c r="AI94" s="14" t="str">
        <f>IF(MIN(Class_0!AF41,Class_1!AF41,Class_2!AF41) &gt;0, CHAR(43), CHAR(45))</f>
        <v>+</v>
      </c>
      <c r="AJ94" s="14" t="str">
        <f>IF(MIN(Class_0!AG41,Class_1!AG41,Class_2!AG41) &gt;0, CHAR(43), CHAR(45))</f>
        <v>+</v>
      </c>
      <c r="AK94" s="14" t="str">
        <f>IF(MIN(Class_0!AH41,Class_1!AH41,Class_2!AH41) &gt;0, CHAR(43), CHAR(45))</f>
        <v>+</v>
      </c>
      <c r="AL94" s="14" t="str">
        <f>IF(MIN(Class_0!AI41,Class_1!AI41,Class_2!AI41) &gt;0, CHAR(43), CHAR(45))</f>
        <v>+</v>
      </c>
      <c r="AM94" s="14" t="str">
        <f>IF(MIN(Class_0!AJ41,Class_1!AJ41,Class_2!AJ41) &gt;0, CHAR(43), CHAR(45))</f>
        <v>+</v>
      </c>
      <c r="AN94" s="14" t="str">
        <f>IF(MIN(Class_0!AK41,Class_1!AK41,Class_2!AK41) &gt;0, CHAR(43), CHAR(45))</f>
        <v>+</v>
      </c>
      <c r="AO94" s="14" t="str">
        <f>IF(MIN(Class_0!AL41,Class_1!AL41,Class_2!AL41) &gt;0, CHAR(43), CHAR(45))</f>
        <v>+</v>
      </c>
      <c r="AP94" s="14" t="str">
        <f>IF(MIN(Class_0!AM41,Class_1!AM41,Class_2!AM41) &gt;0, CHAR(43), CHAR(45))</f>
        <v>+</v>
      </c>
      <c r="AQ94" s="14" t="str">
        <f>IF(MIN(Class_0!AN41,Class_1!AN41,Class_2!AN41) &gt;0, CHAR(43), CHAR(45))</f>
        <v>+</v>
      </c>
      <c r="AR94" s="14" t="str">
        <f>IF(MIN(Class_0!AO41,Class_1!AO41,Class_2!AO41) &gt;0, CHAR(43), CHAR(45))</f>
        <v>+</v>
      </c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5"/>
    </row>
    <row r="95" spans="3:58" x14ac:dyDescent="0.35">
      <c r="C95" s="13" t="s">
        <v>80</v>
      </c>
      <c r="D95" s="10">
        <f t="shared" si="6"/>
        <v>41</v>
      </c>
      <c r="E95" s="14" t="str">
        <f>IF(MIN(Class_0!B42,Class_1!B42,Class_2!B42) &gt;0, CHAR(43), CHAR(45))</f>
        <v>-</v>
      </c>
      <c r="F95" s="14" t="str">
        <f>IF(MIN(Class_0!C42,Class_1!C42,Class_2!C42) &gt;0, CHAR(43), CHAR(45))</f>
        <v>-</v>
      </c>
      <c r="G95" s="14" t="str">
        <f>IF(MIN(Class_0!D42,Class_1!D42,Class_2!D42) &gt;0, CHAR(43), CHAR(45))</f>
        <v>-</v>
      </c>
      <c r="H95" s="14" t="str">
        <f>IF(MIN(Class_0!E42,Class_1!E42,Class_2!E42) &gt;0, CHAR(43), CHAR(45))</f>
        <v>-</v>
      </c>
      <c r="I95" s="14" t="str">
        <f>IF(MIN(Class_0!F42,Class_1!F42,Class_2!F42) &gt;0, CHAR(43), CHAR(45))</f>
        <v>-</v>
      </c>
      <c r="J95" s="14" t="str">
        <f>IF(MIN(Class_0!G42,Class_1!G42,Class_2!G42) &gt;0, CHAR(43), CHAR(45))</f>
        <v>-</v>
      </c>
      <c r="K95" s="14" t="str">
        <f>IF(MIN(Class_0!H42,Class_1!H42,Class_2!H42) &gt;0, CHAR(43), CHAR(45))</f>
        <v>-</v>
      </c>
      <c r="L95" s="14" t="str">
        <f>IF(MIN(Class_0!I42,Class_1!I42,Class_2!I42) &gt;0, CHAR(43), CHAR(45))</f>
        <v>+</v>
      </c>
      <c r="M95" s="14" t="str">
        <f>IF(MIN(Class_0!J42,Class_1!J42,Class_2!J42) &gt;0, CHAR(43), CHAR(45))</f>
        <v>+</v>
      </c>
      <c r="N95" s="14" t="str">
        <f>IF(MIN(Class_0!K42,Class_1!K42,Class_2!K42) &gt;0, CHAR(43), CHAR(45))</f>
        <v>-</v>
      </c>
      <c r="O95" s="14" t="str">
        <f>IF(MIN(Class_0!L42,Class_1!L42,Class_2!L42) &gt;0, CHAR(43), CHAR(45))</f>
        <v>-</v>
      </c>
      <c r="P95" s="14" t="str">
        <f>IF(MIN(Class_0!M42,Class_1!M42,Class_2!M42) &gt;0, CHAR(43), CHAR(45))</f>
        <v>+</v>
      </c>
      <c r="Q95" s="14" t="str">
        <f>IF(MIN(Class_0!N42,Class_1!N42,Class_2!N42) &gt;0, CHAR(43), CHAR(45))</f>
        <v>-</v>
      </c>
      <c r="R95" s="14" t="str">
        <f>IF(MIN(Class_0!O42,Class_1!O42,Class_2!O42) &gt;0, CHAR(43), CHAR(45))</f>
        <v>+</v>
      </c>
      <c r="S95" s="14" t="str">
        <f>IF(MIN(Class_0!P42,Class_1!P42,Class_2!P42) &gt;0, CHAR(43), CHAR(45))</f>
        <v>+</v>
      </c>
      <c r="T95" s="14" t="str">
        <f>IF(MIN(Class_0!Q42,Class_1!Q42,Class_2!Q42) &gt;0, CHAR(43), CHAR(45))</f>
        <v>-</v>
      </c>
      <c r="U95" s="14" t="str">
        <f>IF(MIN(Class_0!R42,Class_1!R42,Class_2!R42) &gt;0, CHAR(43), CHAR(45))</f>
        <v>-</v>
      </c>
      <c r="V95" s="14" t="str">
        <f>IF(MIN(Class_0!S42,Class_1!S42,Class_2!S42) &gt;0, CHAR(43), CHAR(45))</f>
        <v>-</v>
      </c>
      <c r="W95" s="14" t="str">
        <f>IF(MIN(Class_0!T42,Class_1!T42,Class_2!T42) &gt;0, CHAR(43), CHAR(45))</f>
        <v>-</v>
      </c>
      <c r="X95" s="14" t="str">
        <f>IF(MIN(Class_0!U42,Class_1!U42,Class_2!U42) &gt;0, CHAR(43), CHAR(45))</f>
        <v>-</v>
      </c>
      <c r="Y95" s="14" t="str">
        <f>IF(MIN(Class_0!V42,Class_1!V42,Class_2!V42) &gt;0, CHAR(43), CHAR(45))</f>
        <v>-</v>
      </c>
      <c r="Z95" s="14" t="str">
        <f>IF(MIN(Class_0!W42,Class_1!W42,Class_2!W42) &gt;0, CHAR(43), CHAR(45))</f>
        <v>+</v>
      </c>
      <c r="AA95" s="14" t="str">
        <f>IF(MIN(Class_0!X42,Class_1!X42,Class_2!X42) &gt;0, CHAR(43), CHAR(45))</f>
        <v>+</v>
      </c>
      <c r="AB95" s="14" t="str">
        <f>IF(MIN(Class_0!Y42,Class_1!Y42,Class_2!Y42) &gt;0, CHAR(43), CHAR(45))</f>
        <v>+</v>
      </c>
      <c r="AC95" s="14" t="str">
        <f>IF(MIN(Class_0!Z42,Class_1!Z42,Class_2!Z42) &gt;0, CHAR(43), CHAR(45))</f>
        <v>+</v>
      </c>
      <c r="AD95" s="14" t="str">
        <f>IF(MIN(Class_0!AA42,Class_1!AA42,Class_2!AA42) &gt;0, CHAR(43), CHAR(45))</f>
        <v>+</v>
      </c>
      <c r="AE95" s="14" t="str">
        <f>IF(MIN(Class_0!AB42,Class_1!AB42,Class_2!AB42) &gt;0, CHAR(43), CHAR(45))</f>
        <v>+</v>
      </c>
      <c r="AF95" s="14" t="str">
        <f>IF(MIN(Class_0!AC42,Class_1!AC42,Class_2!AC42) &gt;0, CHAR(43), CHAR(45))</f>
        <v>+</v>
      </c>
      <c r="AG95" s="14" t="str">
        <f>IF(MIN(Class_0!AD42,Class_1!AD42,Class_2!AD42) &gt;0, CHAR(43), CHAR(45))</f>
        <v>+</v>
      </c>
      <c r="AH95" s="14" t="str">
        <f>IF(MIN(Class_0!AE42,Class_1!AE42,Class_2!AE42) &gt;0, CHAR(43), CHAR(45))</f>
        <v>+</v>
      </c>
      <c r="AI95" s="14" t="str">
        <f>IF(MIN(Class_0!AF42,Class_1!AF42,Class_2!AF42) &gt;0, CHAR(43), CHAR(45))</f>
        <v>+</v>
      </c>
      <c r="AJ95" s="14" t="str">
        <f>IF(MIN(Class_0!AG42,Class_1!AG42,Class_2!AG42) &gt;0, CHAR(43), CHAR(45))</f>
        <v>+</v>
      </c>
      <c r="AK95" s="14" t="str">
        <f>IF(MIN(Class_0!AH42,Class_1!AH42,Class_2!AH42) &gt;0, CHAR(43), CHAR(45))</f>
        <v>+</v>
      </c>
      <c r="AL95" s="14" t="str">
        <f>IF(MIN(Class_0!AI42,Class_1!AI42,Class_2!AI42) &gt;0, CHAR(43), CHAR(45))</f>
        <v>+</v>
      </c>
      <c r="AM95" s="14" t="str">
        <f>IF(MIN(Class_0!AJ42,Class_1!AJ42,Class_2!AJ42) &gt;0, CHAR(43), CHAR(45))</f>
        <v>+</v>
      </c>
      <c r="AN95" s="14" t="str">
        <f>IF(MIN(Class_0!AK42,Class_1!AK42,Class_2!AK42) &gt;0, CHAR(43), CHAR(45))</f>
        <v>+</v>
      </c>
      <c r="AO95" s="14" t="str">
        <f>IF(MIN(Class_0!AL42,Class_1!AL42,Class_2!AL42) &gt;0, CHAR(43), CHAR(45))</f>
        <v>+</v>
      </c>
      <c r="AP95" s="14" t="str">
        <f>IF(MIN(Class_0!AM42,Class_1!AM42,Class_2!AM42) &gt;0, CHAR(43), CHAR(45))</f>
        <v>+</v>
      </c>
      <c r="AQ95" s="14" t="str">
        <f>IF(MIN(Class_0!AN42,Class_1!AN42,Class_2!AN42) &gt;0, CHAR(43), CHAR(45))</f>
        <v>+</v>
      </c>
      <c r="AR95" s="14" t="str">
        <f>IF(MIN(Class_0!AO42,Class_1!AO42,Class_2!AO42) &gt;0, CHAR(43), CHAR(45))</f>
        <v>+</v>
      </c>
      <c r="AS95" s="14" t="str">
        <f>IF(MIN(Class_0!AP42,Class_1!AP42,Class_2!AP42) &gt;0, CHAR(43), CHAR(45))</f>
        <v>+</v>
      </c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5"/>
    </row>
    <row r="96" spans="3:58" x14ac:dyDescent="0.35">
      <c r="C96" s="13" t="s">
        <v>148</v>
      </c>
      <c r="D96" s="10">
        <f t="shared" si="6"/>
        <v>42</v>
      </c>
      <c r="E96" s="14" t="str">
        <f>IF(MIN(Class_0!B43,Class_1!B43,Class_2!B43) &gt;0, CHAR(43), CHAR(45))</f>
        <v>-</v>
      </c>
      <c r="F96" s="14" t="str">
        <f>IF(MIN(Class_0!C43,Class_1!C43,Class_2!C43) &gt;0, CHAR(43), CHAR(45))</f>
        <v>-</v>
      </c>
      <c r="G96" s="14" t="str">
        <f>IF(MIN(Class_0!D43,Class_1!D43,Class_2!D43) &gt;0, CHAR(43), CHAR(45))</f>
        <v>-</v>
      </c>
      <c r="H96" s="14" t="str">
        <f>IF(MIN(Class_0!E43,Class_1!E43,Class_2!E43) &gt;0, CHAR(43), CHAR(45))</f>
        <v>-</v>
      </c>
      <c r="I96" s="14" t="str">
        <f>IF(MIN(Class_0!F43,Class_1!F43,Class_2!F43) &gt;0, CHAR(43), CHAR(45))</f>
        <v>-</v>
      </c>
      <c r="J96" s="14" t="str">
        <f>IF(MIN(Class_0!G43,Class_1!G43,Class_2!G43) &gt;0, CHAR(43), CHAR(45))</f>
        <v>-</v>
      </c>
      <c r="K96" s="14" t="str">
        <f>IF(MIN(Class_0!H43,Class_1!H43,Class_2!H43) &gt;0, CHAR(43), CHAR(45))</f>
        <v>-</v>
      </c>
      <c r="L96" s="14" t="str">
        <f>IF(MIN(Class_0!I43,Class_1!I43,Class_2!I43) &gt;0, CHAR(43), CHAR(45))</f>
        <v>-</v>
      </c>
      <c r="M96" s="14" t="str">
        <f>IF(MIN(Class_0!J43,Class_1!J43,Class_2!J43) &gt;0, CHAR(43), CHAR(45))</f>
        <v>-</v>
      </c>
      <c r="N96" s="14" t="str">
        <f>IF(MIN(Class_0!K43,Class_1!K43,Class_2!K43) &gt;0, CHAR(43), CHAR(45))</f>
        <v>-</v>
      </c>
      <c r="O96" s="14" t="str">
        <f>IF(MIN(Class_0!L43,Class_1!L43,Class_2!L43) &gt;0, CHAR(43), CHAR(45))</f>
        <v>-</v>
      </c>
      <c r="P96" s="14" t="str">
        <f>IF(MIN(Class_0!M43,Class_1!M43,Class_2!M43) &gt;0, CHAR(43), CHAR(45))</f>
        <v>-</v>
      </c>
      <c r="Q96" s="14" t="str">
        <f>IF(MIN(Class_0!N43,Class_1!N43,Class_2!N43) &gt;0, CHAR(43), CHAR(45))</f>
        <v>+</v>
      </c>
      <c r="R96" s="14" t="str">
        <f>IF(MIN(Class_0!O43,Class_1!O43,Class_2!O43) &gt;0, CHAR(43), CHAR(45))</f>
        <v>+</v>
      </c>
      <c r="S96" s="14" t="str">
        <f>IF(MIN(Class_0!P43,Class_1!P43,Class_2!P43) &gt;0, CHAR(43), CHAR(45))</f>
        <v>+</v>
      </c>
      <c r="T96" s="14" t="str">
        <f>IF(MIN(Class_0!Q43,Class_1!Q43,Class_2!Q43) &gt;0, CHAR(43), CHAR(45))</f>
        <v>-</v>
      </c>
      <c r="U96" s="14" t="str">
        <f>IF(MIN(Class_0!R43,Class_1!R43,Class_2!R43) &gt;0, CHAR(43), CHAR(45))</f>
        <v>-</v>
      </c>
      <c r="V96" s="14" t="str">
        <f>IF(MIN(Class_0!S43,Class_1!S43,Class_2!S43) &gt;0, CHAR(43), CHAR(45))</f>
        <v>-</v>
      </c>
      <c r="W96" s="14" t="str">
        <f>IF(MIN(Class_0!T43,Class_1!T43,Class_2!T43) &gt;0, CHAR(43), CHAR(45))</f>
        <v>-</v>
      </c>
      <c r="X96" s="14" t="str">
        <f>IF(MIN(Class_0!U43,Class_1!U43,Class_2!U43) &gt;0, CHAR(43), CHAR(45))</f>
        <v>-</v>
      </c>
      <c r="Y96" s="14" t="str">
        <f>IF(MIN(Class_0!V43,Class_1!V43,Class_2!V43) &gt;0, CHAR(43), CHAR(45))</f>
        <v>+</v>
      </c>
      <c r="Z96" s="14" t="str">
        <f>IF(MIN(Class_0!W43,Class_1!W43,Class_2!W43) &gt;0, CHAR(43), CHAR(45))</f>
        <v>+</v>
      </c>
      <c r="AA96" s="14" t="str">
        <f>IF(MIN(Class_0!X43,Class_1!X43,Class_2!X43) &gt;0, CHAR(43), CHAR(45))</f>
        <v>+</v>
      </c>
      <c r="AB96" s="14" t="str">
        <f>IF(MIN(Class_0!Y43,Class_1!Y43,Class_2!Y43) &gt;0, CHAR(43), CHAR(45))</f>
        <v>+</v>
      </c>
      <c r="AC96" s="14" t="str">
        <f>IF(MIN(Class_0!Z43,Class_1!Z43,Class_2!Z43) &gt;0, CHAR(43), CHAR(45))</f>
        <v>-</v>
      </c>
      <c r="AD96" s="14" t="str">
        <f>IF(MIN(Class_0!AA43,Class_1!AA43,Class_2!AA43) &gt;0, CHAR(43), CHAR(45))</f>
        <v>+</v>
      </c>
      <c r="AE96" s="14" t="str">
        <f>IF(MIN(Class_0!AB43,Class_1!AB43,Class_2!AB43) &gt;0, CHAR(43), CHAR(45))</f>
        <v>+</v>
      </c>
      <c r="AF96" s="14" t="str">
        <f>IF(MIN(Class_0!AC43,Class_1!AC43,Class_2!AC43) &gt;0, CHAR(43), CHAR(45))</f>
        <v>+</v>
      </c>
      <c r="AG96" s="14" t="str">
        <f>IF(MIN(Class_0!AD43,Class_1!AD43,Class_2!AD43) &gt;0, CHAR(43), CHAR(45))</f>
        <v>+</v>
      </c>
      <c r="AH96" s="14" t="str">
        <f>IF(MIN(Class_0!AE43,Class_1!AE43,Class_2!AE43) &gt;0, CHAR(43), CHAR(45))</f>
        <v>+</v>
      </c>
      <c r="AI96" s="14" t="str">
        <f>IF(MIN(Class_0!AF43,Class_1!AF43,Class_2!AF43) &gt;0, CHAR(43), CHAR(45))</f>
        <v>+</v>
      </c>
      <c r="AJ96" s="14" t="str">
        <f>IF(MIN(Class_0!AG43,Class_1!AG43,Class_2!AG43) &gt;0, CHAR(43), CHAR(45))</f>
        <v>+</v>
      </c>
      <c r="AK96" s="14" t="str">
        <f>IF(MIN(Class_0!AH43,Class_1!AH43,Class_2!AH43) &gt;0, CHAR(43), CHAR(45))</f>
        <v>+</v>
      </c>
      <c r="AL96" s="14" t="str">
        <f>IF(MIN(Class_0!AI43,Class_1!AI43,Class_2!AI43) &gt;0, CHAR(43), CHAR(45))</f>
        <v>+</v>
      </c>
      <c r="AM96" s="14" t="str">
        <f>IF(MIN(Class_0!AJ43,Class_1!AJ43,Class_2!AJ43) &gt;0, CHAR(43), CHAR(45))</f>
        <v>+</v>
      </c>
      <c r="AN96" s="14" t="str">
        <f>IF(MIN(Class_0!AK43,Class_1!AK43,Class_2!AK43) &gt;0, CHAR(43), CHAR(45))</f>
        <v>+</v>
      </c>
      <c r="AO96" s="14" t="str">
        <f>IF(MIN(Class_0!AL43,Class_1!AL43,Class_2!AL43) &gt;0, CHAR(43), CHAR(45))</f>
        <v>+</v>
      </c>
      <c r="AP96" s="14" t="str">
        <f>IF(MIN(Class_0!AM43,Class_1!AM43,Class_2!AM43) &gt;0, CHAR(43), CHAR(45))</f>
        <v>+</v>
      </c>
      <c r="AQ96" s="14" t="str">
        <f>IF(MIN(Class_0!AN43,Class_1!AN43,Class_2!AN43) &gt;0, CHAR(43), CHAR(45))</f>
        <v>+</v>
      </c>
      <c r="AR96" s="14" t="str">
        <f>IF(MIN(Class_0!AO43,Class_1!AO43,Class_2!AO43) &gt;0, CHAR(43), CHAR(45))</f>
        <v>+</v>
      </c>
      <c r="AS96" s="14" t="str">
        <f>IF(MIN(Class_0!AP43,Class_1!AP43,Class_2!AP43) &gt;0, CHAR(43), CHAR(45))</f>
        <v>+</v>
      </c>
      <c r="AT96" s="14" t="str">
        <f>IF(MIN(Class_0!AQ43,Class_1!AQ43,Class_2!AQ43) &gt;0, CHAR(43), CHAR(45))</f>
        <v>+</v>
      </c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5"/>
    </row>
    <row r="97" spans="3:58" x14ac:dyDescent="0.35">
      <c r="C97" s="13" t="s">
        <v>149</v>
      </c>
      <c r="D97" s="10">
        <f t="shared" si="6"/>
        <v>43</v>
      </c>
      <c r="E97" s="14" t="str">
        <f>IF(MIN(Class_0!B44,Class_1!B44,Class_2!B44) &gt;0, CHAR(43), CHAR(45))</f>
        <v>+</v>
      </c>
      <c r="F97" s="14" t="str">
        <f>IF(MIN(Class_0!C44,Class_1!C44,Class_2!C44) &gt;0, CHAR(43), CHAR(45))</f>
        <v>-</v>
      </c>
      <c r="G97" s="14" t="str">
        <f>IF(MIN(Class_0!D44,Class_1!D44,Class_2!D44) &gt;0, CHAR(43), CHAR(45))</f>
        <v>-</v>
      </c>
      <c r="H97" s="14" t="str">
        <f>IF(MIN(Class_0!E44,Class_1!E44,Class_2!E44) &gt;0, CHAR(43), CHAR(45))</f>
        <v>-</v>
      </c>
      <c r="I97" s="14" t="str">
        <f>IF(MIN(Class_0!F44,Class_1!F44,Class_2!F44) &gt;0, CHAR(43), CHAR(45))</f>
        <v>-</v>
      </c>
      <c r="J97" s="14" t="str">
        <f>IF(MIN(Class_0!G44,Class_1!G44,Class_2!G44) &gt;0, CHAR(43), CHAR(45))</f>
        <v>-</v>
      </c>
      <c r="K97" s="14" t="str">
        <f>IF(MIN(Class_0!H44,Class_1!H44,Class_2!H44) &gt;0, CHAR(43), CHAR(45))</f>
        <v>-</v>
      </c>
      <c r="L97" s="14" t="str">
        <f>IF(MIN(Class_0!I44,Class_1!I44,Class_2!I44) &gt;0, CHAR(43), CHAR(45))</f>
        <v>+</v>
      </c>
      <c r="M97" s="14" t="str">
        <f>IF(MIN(Class_0!J44,Class_1!J44,Class_2!J44) &gt;0, CHAR(43), CHAR(45))</f>
        <v>+</v>
      </c>
      <c r="N97" s="14" t="str">
        <f>IF(MIN(Class_0!K44,Class_1!K44,Class_2!K44) &gt;0, CHAR(43), CHAR(45))</f>
        <v>-</v>
      </c>
      <c r="O97" s="14" t="str">
        <f>IF(MIN(Class_0!L44,Class_1!L44,Class_2!L44) &gt;0, CHAR(43), CHAR(45))</f>
        <v>-</v>
      </c>
      <c r="P97" s="14" t="str">
        <f>IF(MIN(Class_0!M44,Class_1!M44,Class_2!M44) &gt;0, CHAR(43), CHAR(45))</f>
        <v>-</v>
      </c>
      <c r="Q97" s="14" t="str">
        <f>IF(MIN(Class_0!N44,Class_1!N44,Class_2!N44) &gt;0, CHAR(43), CHAR(45))</f>
        <v>-</v>
      </c>
      <c r="R97" s="14" t="str">
        <f>IF(MIN(Class_0!O44,Class_1!O44,Class_2!O44) &gt;0, CHAR(43), CHAR(45))</f>
        <v>+</v>
      </c>
      <c r="S97" s="14" t="str">
        <f>IF(MIN(Class_0!P44,Class_1!P44,Class_2!P44) &gt;0, CHAR(43), CHAR(45))</f>
        <v>+</v>
      </c>
      <c r="T97" s="14" t="str">
        <f>IF(MIN(Class_0!Q44,Class_1!Q44,Class_2!Q44) &gt;0, CHAR(43), CHAR(45))</f>
        <v>-</v>
      </c>
      <c r="U97" s="14" t="str">
        <f>IF(MIN(Class_0!R44,Class_1!R44,Class_2!R44) &gt;0, CHAR(43), CHAR(45))</f>
        <v>-</v>
      </c>
      <c r="V97" s="14" t="str">
        <f>IF(MIN(Class_0!S44,Class_1!S44,Class_2!S44) &gt;0, CHAR(43), CHAR(45))</f>
        <v>-</v>
      </c>
      <c r="W97" s="14" t="str">
        <f>IF(MIN(Class_0!T44,Class_1!T44,Class_2!T44) &gt;0, CHAR(43), CHAR(45))</f>
        <v>-</v>
      </c>
      <c r="X97" s="14" t="str">
        <f>IF(MIN(Class_0!U44,Class_1!U44,Class_2!U44) &gt;0, CHAR(43), CHAR(45))</f>
        <v>+</v>
      </c>
      <c r="Y97" s="14" t="str">
        <f>IF(MIN(Class_0!V44,Class_1!V44,Class_2!V44) &gt;0, CHAR(43), CHAR(45))</f>
        <v>+</v>
      </c>
      <c r="Z97" s="14" t="str">
        <f>IF(MIN(Class_0!W44,Class_1!W44,Class_2!W44) &gt;0, CHAR(43), CHAR(45))</f>
        <v>+</v>
      </c>
      <c r="AA97" s="14" t="str">
        <f>IF(MIN(Class_0!X44,Class_1!X44,Class_2!X44) &gt;0, CHAR(43), CHAR(45))</f>
        <v>+</v>
      </c>
      <c r="AB97" s="14" t="str">
        <f>IF(MIN(Class_0!Y44,Class_1!Y44,Class_2!Y44) &gt;0, CHAR(43), CHAR(45))</f>
        <v>+</v>
      </c>
      <c r="AC97" s="14" t="str">
        <f>IF(MIN(Class_0!Z44,Class_1!Z44,Class_2!Z44) &gt;0, CHAR(43), CHAR(45))</f>
        <v>+</v>
      </c>
      <c r="AD97" s="14" t="str">
        <f>IF(MIN(Class_0!AA44,Class_1!AA44,Class_2!AA44) &gt;0, CHAR(43), CHAR(45))</f>
        <v>+</v>
      </c>
      <c r="AE97" s="14" t="str">
        <f>IF(MIN(Class_0!AB44,Class_1!AB44,Class_2!AB44) &gt;0, CHAR(43), CHAR(45))</f>
        <v>+</v>
      </c>
      <c r="AF97" s="14" t="str">
        <f>IF(MIN(Class_0!AC44,Class_1!AC44,Class_2!AC44) &gt;0, CHAR(43), CHAR(45))</f>
        <v>+</v>
      </c>
      <c r="AG97" s="14" t="str">
        <f>IF(MIN(Class_0!AD44,Class_1!AD44,Class_2!AD44) &gt;0, CHAR(43), CHAR(45))</f>
        <v>+</v>
      </c>
      <c r="AH97" s="14" t="str">
        <f>IF(MIN(Class_0!AE44,Class_1!AE44,Class_2!AE44) &gt;0, CHAR(43), CHAR(45))</f>
        <v>+</v>
      </c>
      <c r="AI97" s="14" t="str">
        <f>IF(MIN(Class_0!AF44,Class_1!AF44,Class_2!AF44) &gt;0, CHAR(43), CHAR(45))</f>
        <v>+</v>
      </c>
      <c r="AJ97" s="14" t="str">
        <f>IF(MIN(Class_0!AG44,Class_1!AG44,Class_2!AG44) &gt;0, CHAR(43), CHAR(45))</f>
        <v>+</v>
      </c>
      <c r="AK97" s="14" t="str">
        <f>IF(MIN(Class_0!AH44,Class_1!AH44,Class_2!AH44) &gt;0, CHAR(43), CHAR(45))</f>
        <v>+</v>
      </c>
      <c r="AL97" s="14" t="str">
        <f>IF(MIN(Class_0!AI44,Class_1!AI44,Class_2!AI44) &gt;0, CHAR(43), CHAR(45))</f>
        <v>+</v>
      </c>
      <c r="AM97" s="14" t="str">
        <f>IF(MIN(Class_0!AJ44,Class_1!AJ44,Class_2!AJ44) &gt;0, CHAR(43), CHAR(45))</f>
        <v>+</v>
      </c>
      <c r="AN97" s="14" t="str">
        <f>IF(MIN(Class_0!AK44,Class_1!AK44,Class_2!AK44) &gt;0, CHAR(43), CHAR(45))</f>
        <v>+</v>
      </c>
      <c r="AO97" s="14" t="str">
        <f>IF(MIN(Class_0!AL44,Class_1!AL44,Class_2!AL44) &gt;0, CHAR(43), CHAR(45))</f>
        <v>+</v>
      </c>
      <c r="AP97" s="14" t="str">
        <f>IF(MIN(Class_0!AM44,Class_1!AM44,Class_2!AM44) &gt;0, CHAR(43), CHAR(45))</f>
        <v>+</v>
      </c>
      <c r="AQ97" s="14" t="str">
        <f>IF(MIN(Class_0!AN44,Class_1!AN44,Class_2!AN44) &gt;0, CHAR(43), CHAR(45))</f>
        <v>+</v>
      </c>
      <c r="AR97" s="14" t="str">
        <f>IF(MIN(Class_0!AO44,Class_1!AO44,Class_2!AO44) &gt;0, CHAR(43), CHAR(45))</f>
        <v>+</v>
      </c>
      <c r="AS97" s="14" t="str">
        <f>IF(MIN(Class_0!AP44,Class_1!AP44,Class_2!AP44) &gt;0, CHAR(43), CHAR(45))</f>
        <v>+</v>
      </c>
      <c r="AT97" s="14" t="str">
        <f>IF(MIN(Class_0!AQ44,Class_1!AQ44,Class_2!AQ44) &gt;0, CHAR(43), CHAR(45))</f>
        <v>+</v>
      </c>
      <c r="AU97" s="14" t="str">
        <f>IF(MIN(Class_0!AR44,Class_1!AR44,Class_2!AR44) &gt;0, CHAR(43), CHAR(45))</f>
        <v>+</v>
      </c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5"/>
    </row>
    <row r="98" spans="3:58" x14ac:dyDescent="0.35">
      <c r="C98" s="13" t="s">
        <v>81</v>
      </c>
      <c r="D98" s="10">
        <f t="shared" si="6"/>
        <v>44</v>
      </c>
      <c r="E98" s="14" t="str">
        <f>IF(MIN(Class_0!B45,Class_1!B45,Class_2!B45) &gt;0, CHAR(43), CHAR(45))</f>
        <v>+</v>
      </c>
      <c r="F98" s="14" t="str">
        <f>IF(MIN(Class_0!C45,Class_1!C45,Class_2!C45) &gt;0, CHAR(43), CHAR(45))</f>
        <v>-</v>
      </c>
      <c r="G98" s="14" t="str">
        <f>IF(MIN(Class_0!D45,Class_1!D45,Class_2!D45) &gt;0, CHAR(43), CHAR(45))</f>
        <v>-</v>
      </c>
      <c r="H98" s="14" t="str">
        <f>IF(MIN(Class_0!E45,Class_1!E45,Class_2!E45) &gt;0, CHAR(43), CHAR(45))</f>
        <v>-</v>
      </c>
      <c r="I98" s="14" t="str">
        <f>IF(MIN(Class_0!F45,Class_1!F45,Class_2!F45) &gt;0, CHAR(43), CHAR(45))</f>
        <v>-</v>
      </c>
      <c r="J98" s="14" t="str">
        <f>IF(MIN(Class_0!G45,Class_1!G45,Class_2!G45) &gt;0, CHAR(43), CHAR(45))</f>
        <v>-</v>
      </c>
      <c r="K98" s="14" t="str">
        <f>IF(MIN(Class_0!H45,Class_1!H45,Class_2!H45) &gt;0, CHAR(43), CHAR(45))</f>
        <v>-</v>
      </c>
      <c r="L98" s="14" t="str">
        <f>IF(MIN(Class_0!I45,Class_1!I45,Class_2!I45) &gt;0, CHAR(43), CHAR(45))</f>
        <v>+</v>
      </c>
      <c r="M98" s="14" t="str">
        <f>IF(MIN(Class_0!J45,Class_1!J45,Class_2!J45) &gt;0, CHAR(43), CHAR(45))</f>
        <v>+</v>
      </c>
      <c r="N98" s="14" t="str">
        <f>IF(MIN(Class_0!K45,Class_1!K45,Class_2!K45) &gt;0, CHAR(43), CHAR(45))</f>
        <v>-</v>
      </c>
      <c r="O98" s="14" t="str">
        <f>IF(MIN(Class_0!L45,Class_1!L45,Class_2!L45) &gt;0, CHAR(43), CHAR(45))</f>
        <v>-</v>
      </c>
      <c r="P98" s="14" t="str">
        <f>IF(MIN(Class_0!M45,Class_1!M45,Class_2!M45) &gt;0, CHAR(43), CHAR(45))</f>
        <v>-</v>
      </c>
      <c r="Q98" s="14" t="str">
        <f>IF(MIN(Class_0!N45,Class_1!N45,Class_2!N45) &gt;0, CHAR(43), CHAR(45))</f>
        <v>-</v>
      </c>
      <c r="R98" s="14" t="str">
        <f>IF(MIN(Class_0!O45,Class_1!O45,Class_2!O45) &gt;0, CHAR(43), CHAR(45))</f>
        <v>-</v>
      </c>
      <c r="S98" s="14" t="str">
        <f>IF(MIN(Class_0!P45,Class_1!P45,Class_2!P45) &gt;0, CHAR(43), CHAR(45))</f>
        <v>+</v>
      </c>
      <c r="T98" s="14" t="str">
        <f>IF(MIN(Class_0!Q45,Class_1!Q45,Class_2!Q45) &gt;0, CHAR(43), CHAR(45))</f>
        <v>-</v>
      </c>
      <c r="U98" s="14" t="str">
        <f>IF(MIN(Class_0!R45,Class_1!R45,Class_2!R45) &gt;0, CHAR(43), CHAR(45))</f>
        <v>-</v>
      </c>
      <c r="V98" s="14" t="str">
        <f>IF(MIN(Class_0!S45,Class_1!S45,Class_2!S45) &gt;0, CHAR(43), CHAR(45))</f>
        <v>-</v>
      </c>
      <c r="W98" s="14" t="str">
        <f>IF(MIN(Class_0!T45,Class_1!T45,Class_2!T45) &gt;0, CHAR(43), CHAR(45))</f>
        <v>-</v>
      </c>
      <c r="X98" s="14" t="str">
        <f>IF(MIN(Class_0!U45,Class_1!U45,Class_2!U45) &gt;0, CHAR(43), CHAR(45))</f>
        <v>-</v>
      </c>
      <c r="Y98" s="14" t="str">
        <f>IF(MIN(Class_0!V45,Class_1!V45,Class_2!V45) &gt;0, CHAR(43), CHAR(45))</f>
        <v>+</v>
      </c>
      <c r="Z98" s="14" t="str">
        <f>IF(MIN(Class_0!W45,Class_1!W45,Class_2!W45) &gt;0, CHAR(43), CHAR(45))</f>
        <v>+</v>
      </c>
      <c r="AA98" s="14" t="str">
        <f>IF(MIN(Class_0!X45,Class_1!X45,Class_2!X45) &gt;0, CHAR(43), CHAR(45))</f>
        <v>-</v>
      </c>
      <c r="AB98" s="14" t="str">
        <f>IF(MIN(Class_0!Y45,Class_1!Y45,Class_2!Y45) &gt;0, CHAR(43), CHAR(45))</f>
        <v>+</v>
      </c>
      <c r="AC98" s="14" t="str">
        <f>IF(MIN(Class_0!Z45,Class_1!Z45,Class_2!Z45) &gt;0, CHAR(43), CHAR(45))</f>
        <v>+</v>
      </c>
      <c r="AD98" s="14" t="str">
        <f>IF(MIN(Class_0!AA45,Class_1!AA45,Class_2!AA45) &gt;0, CHAR(43), CHAR(45))</f>
        <v>+</v>
      </c>
      <c r="AE98" s="14" t="str">
        <f>IF(MIN(Class_0!AB45,Class_1!AB45,Class_2!AB45) &gt;0, CHAR(43), CHAR(45))</f>
        <v>+</v>
      </c>
      <c r="AF98" s="14" t="str">
        <f>IF(MIN(Class_0!AC45,Class_1!AC45,Class_2!AC45) &gt;0, CHAR(43), CHAR(45))</f>
        <v>+</v>
      </c>
      <c r="AG98" s="14" t="str">
        <f>IF(MIN(Class_0!AD45,Class_1!AD45,Class_2!AD45) &gt;0, CHAR(43), CHAR(45))</f>
        <v>+</v>
      </c>
      <c r="AH98" s="14" t="str">
        <f>IF(MIN(Class_0!AE45,Class_1!AE45,Class_2!AE45) &gt;0, CHAR(43), CHAR(45))</f>
        <v>+</v>
      </c>
      <c r="AI98" s="14" t="str">
        <f>IF(MIN(Class_0!AF45,Class_1!AF45,Class_2!AF45) &gt;0, CHAR(43), CHAR(45))</f>
        <v>+</v>
      </c>
      <c r="AJ98" s="14" t="str">
        <f>IF(MIN(Class_0!AG45,Class_1!AG45,Class_2!AG45) &gt;0, CHAR(43), CHAR(45))</f>
        <v>+</v>
      </c>
      <c r="AK98" s="14" t="str">
        <f>IF(MIN(Class_0!AH45,Class_1!AH45,Class_2!AH45) &gt;0, CHAR(43), CHAR(45))</f>
        <v>+</v>
      </c>
      <c r="AL98" s="14" t="str">
        <f>IF(MIN(Class_0!AI45,Class_1!AI45,Class_2!AI45) &gt;0, CHAR(43), CHAR(45))</f>
        <v>+</v>
      </c>
      <c r="AM98" s="14" t="str">
        <f>IF(MIN(Class_0!AJ45,Class_1!AJ45,Class_2!AJ45) &gt;0, CHAR(43), CHAR(45))</f>
        <v>+</v>
      </c>
      <c r="AN98" s="14" t="str">
        <f>IF(MIN(Class_0!AK45,Class_1!AK45,Class_2!AK45) &gt;0, CHAR(43), CHAR(45))</f>
        <v>+</v>
      </c>
      <c r="AO98" s="14" t="str">
        <f>IF(MIN(Class_0!AL45,Class_1!AL45,Class_2!AL45) &gt;0, CHAR(43), CHAR(45))</f>
        <v>+</v>
      </c>
      <c r="AP98" s="14" t="str">
        <f>IF(MIN(Class_0!AM45,Class_1!AM45,Class_2!AM45) &gt;0, CHAR(43), CHAR(45))</f>
        <v>+</v>
      </c>
      <c r="AQ98" s="14" t="str">
        <f>IF(MIN(Class_0!AN45,Class_1!AN45,Class_2!AN45) &gt;0, CHAR(43), CHAR(45))</f>
        <v>+</v>
      </c>
      <c r="AR98" s="14" t="str">
        <f>IF(MIN(Class_0!AO45,Class_1!AO45,Class_2!AO45) &gt;0, CHAR(43), CHAR(45))</f>
        <v>+</v>
      </c>
      <c r="AS98" s="14" t="str">
        <f>IF(MIN(Class_0!AP45,Class_1!AP45,Class_2!AP45) &gt;0, CHAR(43), CHAR(45))</f>
        <v>+</v>
      </c>
      <c r="AT98" s="14" t="str">
        <f>IF(MIN(Class_0!AQ45,Class_1!AQ45,Class_2!AQ45) &gt;0, CHAR(43), CHAR(45))</f>
        <v>+</v>
      </c>
      <c r="AU98" s="14" t="str">
        <f>IF(MIN(Class_0!AR45,Class_1!AR45,Class_2!AR45) &gt;0, CHAR(43), CHAR(45))</f>
        <v>+</v>
      </c>
      <c r="AV98" s="14" t="str">
        <f>IF(MIN(Class_0!AS45,Class_1!AS45,Class_2!AS45) &gt;0, CHAR(43), CHAR(45))</f>
        <v>+</v>
      </c>
      <c r="AW98" s="14"/>
      <c r="AX98" s="14"/>
      <c r="AY98" s="14"/>
      <c r="AZ98" s="14"/>
      <c r="BA98" s="14"/>
      <c r="BB98" s="14"/>
      <c r="BC98" s="14"/>
      <c r="BD98" s="14"/>
      <c r="BE98" s="14"/>
      <c r="BF98" s="15"/>
    </row>
    <row r="99" spans="3:58" x14ac:dyDescent="0.35">
      <c r="C99" s="13" t="s">
        <v>82</v>
      </c>
      <c r="D99" s="10">
        <f t="shared" si="6"/>
        <v>45</v>
      </c>
      <c r="E99" s="14" t="str">
        <f>IF(MIN(Class_0!B46,Class_1!B46,Class_2!B46) &gt;0, CHAR(43), CHAR(45))</f>
        <v>+</v>
      </c>
      <c r="F99" s="14" t="str">
        <f>IF(MIN(Class_0!C46,Class_1!C46,Class_2!C46) &gt;0, CHAR(43), CHAR(45))</f>
        <v>+</v>
      </c>
      <c r="G99" s="14" t="str">
        <f>IF(MIN(Class_0!D46,Class_1!D46,Class_2!D46) &gt;0, CHAR(43), CHAR(45))</f>
        <v>-</v>
      </c>
      <c r="H99" s="14" t="str">
        <f>IF(MIN(Class_0!E46,Class_1!E46,Class_2!E46) &gt;0, CHAR(43), CHAR(45))</f>
        <v>-</v>
      </c>
      <c r="I99" s="14" t="str">
        <f>IF(MIN(Class_0!F46,Class_1!F46,Class_2!F46) &gt;0, CHAR(43), CHAR(45))</f>
        <v>-</v>
      </c>
      <c r="J99" s="14" t="str">
        <f>IF(MIN(Class_0!G46,Class_1!G46,Class_2!G46) &gt;0, CHAR(43), CHAR(45))</f>
        <v>-</v>
      </c>
      <c r="K99" s="14" t="str">
        <f>IF(MIN(Class_0!H46,Class_1!H46,Class_2!H46) &gt;0, CHAR(43), CHAR(45))</f>
        <v>-</v>
      </c>
      <c r="L99" s="14" t="str">
        <f>IF(MIN(Class_0!I46,Class_1!I46,Class_2!I46) &gt;0, CHAR(43), CHAR(45))</f>
        <v>+</v>
      </c>
      <c r="M99" s="14" t="str">
        <f>IF(MIN(Class_0!J46,Class_1!J46,Class_2!J46) &gt;0, CHAR(43), CHAR(45))</f>
        <v>-</v>
      </c>
      <c r="N99" s="14" t="str">
        <f>IF(MIN(Class_0!K46,Class_1!K46,Class_2!K46) &gt;0, CHAR(43), CHAR(45))</f>
        <v>-</v>
      </c>
      <c r="O99" s="14" t="str">
        <f>IF(MIN(Class_0!L46,Class_1!L46,Class_2!L46) &gt;0, CHAR(43), CHAR(45))</f>
        <v>-</v>
      </c>
      <c r="P99" s="14" t="str">
        <f>IF(MIN(Class_0!M46,Class_1!M46,Class_2!M46) &gt;0, CHAR(43), CHAR(45))</f>
        <v>-</v>
      </c>
      <c r="Q99" s="14" t="str">
        <f>IF(MIN(Class_0!N46,Class_1!N46,Class_2!N46) &gt;0, CHAR(43), CHAR(45))</f>
        <v>-</v>
      </c>
      <c r="R99" s="14" t="str">
        <f>IF(MIN(Class_0!O46,Class_1!O46,Class_2!O46) &gt;0, CHAR(43), CHAR(45))</f>
        <v>+</v>
      </c>
      <c r="S99" s="14" t="str">
        <f>IF(MIN(Class_0!P46,Class_1!P46,Class_2!P46) &gt;0, CHAR(43), CHAR(45))</f>
        <v>-</v>
      </c>
      <c r="T99" s="14" t="str">
        <f>IF(MIN(Class_0!Q46,Class_1!Q46,Class_2!Q46) &gt;0, CHAR(43), CHAR(45))</f>
        <v>+</v>
      </c>
      <c r="U99" s="14" t="str">
        <f>IF(MIN(Class_0!R46,Class_1!R46,Class_2!R46) &gt;0, CHAR(43), CHAR(45))</f>
        <v>-</v>
      </c>
      <c r="V99" s="14" t="str">
        <f>IF(MIN(Class_0!S46,Class_1!S46,Class_2!S46) &gt;0, CHAR(43), CHAR(45))</f>
        <v>+</v>
      </c>
      <c r="W99" s="14" t="str">
        <f>IF(MIN(Class_0!T46,Class_1!T46,Class_2!T46) &gt;0, CHAR(43), CHAR(45))</f>
        <v>+</v>
      </c>
      <c r="X99" s="14" t="str">
        <f>IF(MIN(Class_0!U46,Class_1!U46,Class_2!U46) &gt;0, CHAR(43), CHAR(45))</f>
        <v>-</v>
      </c>
      <c r="Y99" s="14" t="str">
        <f>IF(MIN(Class_0!V46,Class_1!V46,Class_2!V46) &gt;0, CHAR(43), CHAR(45))</f>
        <v>+</v>
      </c>
      <c r="Z99" s="14" t="str">
        <f>IF(MIN(Class_0!W46,Class_1!W46,Class_2!W46) &gt;0, CHAR(43), CHAR(45))</f>
        <v>+</v>
      </c>
      <c r="AA99" s="14" t="str">
        <f>IF(MIN(Class_0!X46,Class_1!X46,Class_2!X46) &gt;0, CHAR(43), CHAR(45))</f>
        <v>-</v>
      </c>
      <c r="AB99" s="14" t="str">
        <f>IF(MIN(Class_0!Y46,Class_1!Y46,Class_2!Y46) &gt;0, CHAR(43), CHAR(45))</f>
        <v>+</v>
      </c>
      <c r="AC99" s="14" t="str">
        <f>IF(MIN(Class_0!Z46,Class_1!Z46,Class_2!Z46) &gt;0, CHAR(43), CHAR(45))</f>
        <v>+</v>
      </c>
      <c r="AD99" s="14" t="str">
        <f>IF(MIN(Class_0!AA46,Class_1!AA46,Class_2!AA46) &gt;0, CHAR(43), CHAR(45))</f>
        <v>+</v>
      </c>
      <c r="AE99" s="14" t="str">
        <f>IF(MIN(Class_0!AB46,Class_1!AB46,Class_2!AB46) &gt;0, CHAR(43), CHAR(45))</f>
        <v>+</v>
      </c>
      <c r="AF99" s="14" t="str">
        <f>IF(MIN(Class_0!AC46,Class_1!AC46,Class_2!AC46) &gt;0, CHAR(43), CHAR(45))</f>
        <v>+</v>
      </c>
      <c r="AG99" s="14" t="str">
        <f>IF(MIN(Class_0!AD46,Class_1!AD46,Class_2!AD46) &gt;0, CHAR(43), CHAR(45))</f>
        <v>+</v>
      </c>
      <c r="AH99" s="14" t="str">
        <f>IF(MIN(Class_0!AE46,Class_1!AE46,Class_2!AE46) &gt;0, CHAR(43), CHAR(45))</f>
        <v>+</v>
      </c>
      <c r="AI99" s="14" t="str">
        <f>IF(MIN(Class_0!AF46,Class_1!AF46,Class_2!AF46) &gt;0, CHAR(43), CHAR(45))</f>
        <v>+</v>
      </c>
      <c r="AJ99" s="14" t="str">
        <f>IF(MIN(Class_0!AG46,Class_1!AG46,Class_2!AG46) &gt;0, CHAR(43), CHAR(45))</f>
        <v>+</v>
      </c>
      <c r="AK99" s="14" t="str">
        <f>IF(MIN(Class_0!AH46,Class_1!AH46,Class_2!AH46) &gt;0, CHAR(43), CHAR(45))</f>
        <v>+</v>
      </c>
      <c r="AL99" s="14" t="str">
        <f>IF(MIN(Class_0!AI46,Class_1!AI46,Class_2!AI46) &gt;0, CHAR(43), CHAR(45))</f>
        <v>+</v>
      </c>
      <c r="AM99" s="14" t="str">
        <f>IF(MIN(Class_0!AJ46,Class_1!AJ46,Class_2!AJ46) &gt;0, CHAR(43), CHAR(45))</f>
        <v>+</v>
      </c>
      <c r="AN99" s="14" t="str">
        <f>IF(MIN(Class_0!AK46,Class_1!AK46,Class_2!AK46) &gt;0, CHAR(43), CHAR(45))</f>
        <v>+</v>
      </c>
      <c r="AO99" s="14" t="str">
        <f>IF(MIN(Class_0!AL46,Class_1!AL46,Class_2!AL46) &gt;0, CHAR(43), CHAR(45))</f>
        <v>+</v>
      </c>
      <c r="AP99" s="14" t="str">
        <f>IF(MIN(Class_0!AM46,Class_1!AM46,Class_2!AM46) &gt;0, CHAR(43), CHAR(45))</f>
        <v>+</v>
      </c>
      <c r="AQ99" s="14" t="str">
        <f>IF(MIN(Class_0!AN46,Class_1!AN46,Class_2!AN46) &gt;0, CHAR(43), CHAR(45))</f>
        <v>+</v>
      </c>
      <c r="AR99" s="14" t="str">
        <f>IF(MIN(Class_0!AO46,Class_1!AO46,Class_2!AO46) &gt;0, CHAR(43), CHAR(45))</f>
        <v>+</v>
      </c>
      <c r="AS99" s="14" t="str">
        <f>IF(MIN(Class_0!AP46,Class_1!AP46,Class_2!AP46) &gt;0, CHAR(43), CHAR(45))</f>
        <v>+</v>
      </c>
      <c r="AT99" s="14" t="str">
        <f>IF(MIN(Class_0!AQ46,Class_1!AQ46,Class_2!AQ46) &gt;0, CHAR(43), CHAR(45))</f>
        <v>+</v>
      </c>
      <c r="AU99" s="14" t="str">
        <f>IF(MIN(Class_0!AR46,Class_1!AR46,Class_2!AR46) &gt;0, CHAR(43), CHAR(45))</f>
        <v>+</v>
      </c>
      <c r="AV99" s="14" t="str">
        <f>IF(MIN(Class_0!AS46,Class_1!AS46,Class_2!AS46) &gt;0, CHAR(43), CHAR(45))</f>
        <v>+</v>
      </c>
      <c r="AW99" s="14" t="str">
        <f>IF(MIN(Class_0!AT46,Class_1!AT46,Class_2!AT46) &gt;0, CHAR(43), CHAR(45))</f>
        <v>+</v>
      </c>
      <c r="AX99" s="14"/>
      <c r="AY99" s="14"/>
      <c r="AZ99" s="14"/>
      <c r="BA99" s="14"/>
      <c r="BB99" s="14"/>
      <c r="BC99" s="14"/>
      <c r="BD99" s="14"/>
      <c r="BE99" s="14"/>
      <c r="BF99" s="15"/>
    </row>
    <row r="100" spans="3:58" x14ac:dyDescent="0.35">
      <c r="C100" s="13" t="s">
        <v>83</v>
      </c>
      <c r="D100" s="10">
        <f t="shared" si="6"/>
        <v>46</v>
      </c>
      <c r="E100" s="14" t="str">
        <f>IF(MIN(Class_0!B47,Class_1!B47,Class_2!B47) &gt;0, CHAR(43), CHAR(45))</f>
        <v>+</v>
      </c>
      <c r="F100" s="14" t="str">
        <f>IF(MIN(Class_0!C47,Class_1!C47,Class_2!C47) &gt;0, CHAR(43), CHAR(45))</f>
        <v>-</v>
      </c>
      <c r="G100" s="14" t="str">
        <f>IF(MIN(Class_0!D47,Class_1!D47,Class_2!D47) &gt;0, CHAR(43), CHAR(45))</f>
        <v>-</v>
      </c>
      <c r="H100" s="14" t="str">
        <f>IF(MIN(Class_0!E47,Class_1!E47,Class_2!E47) &gt;0, CHAR(43), CHAR(45))</f>
        <v>-</v>
      </c>
      <c r="I100" s="14" t="str">
        <f>IF(MIN(Class_0!F47,Class_1!F47,Class_2!F47) &gt;0, CHAR(43), CHAR(45))</f>
        <v>-</v>
      </c>
      <c r="J100" s="14" t="str">
        <f>IF(MIN(Class_0!G47,Class_1!G47,Class_2!G47) &gt;0, CHAR(43), CHAR(45))</f>
        <v>-</v>
      </c>
      <c r="K100" s="14" t="str">
        <f>IF(MIN(Class_0!H47,Class_1!H47,Class_2!H47) &gt;0, CHAR(43), CHAR(45))</f>
        <v>-</v>
      </c>
      <c r="L100" s="14" t="str">
        <f>IF(MIN(Class_0!I47,Class_1!I47,Class_2!I47) &gt;0, CHAR(43), CHAR(45))</f>
        <v>-</v>
      </c>
      <c r="M100" s="14" t="str">
        <f>IF(MIN(Class_0!J47,Class_1!J47,Class_2!J47) &gt;0, CHAR(43), CHAR(45))</f>
        <v>+</v>
      </c>
      <c r="N100" s="14" t="str">
        <f>IF(MIN(Class_0!K47,Class_1!K47,Class_2!K47) &gt;0, CHAR(43), CHAR(45))</f>
        <v>-</v>
      </c>
      <c r="O100" s="14" t="str">
        <f>IF(MIN(Class_0!L47,Class_1!L47,Class_2!L47) &gt;0, CHAR(43), CHAR(45))</f>
        <v>-</v>
      </c>
      <c r="P100" s="14" t="str">
        <f>IF(MIN(Class_0!M47,Class_1!M47,Class_2!M47) &gt;0, CHAR(43), CHAR(45))</f>
        <v>-</v>
      </c>
      <c r="Q100" s="14" t="str">
        <f>IF(MIN(Class_0!N47,Class_1!N47,Class_2!N47) &gt;0, CHAR(43), CHAR(45))</f>
        <v>+</v>
      </c>
      <c r="R100" s="14" t="str">
        <f>IF(MIN(Class_0!O47,Class_1!O47,Class_2!O47) &gt;0, CHAR(43), CHAR(45))</f>
        <v>-</v>
      </c>
      <c r="S100" s="14" t="str">
        <f>IF(MIN(Class_0!P47,Class_1!P47,Class_2!P47) &gt;0, CHAR(43), CHAR(45))</f>
        <v>-</v>
      </c>
      <c r="T100" s="14" t="str">
        <f>IF(MIN(Class_0!Q47,Class_1!Q47,Class_2!Q47) &gt;0, CHAR(43), CHAR(45))</f>
        <v>-</v>
      </c>
      <c r="U100" s="14" t="str">
        <f>IF(MIN(Class_0!R47,Class_1!R47,Class_2!R47) &gt;0, CHAR(43), CHAR(45))</f>
        <v>-</v>
      </c>
      <c r="V100" s="14" t="str">
        <f>IF(MIN(Class_0!S47,Class_1!S47,Class_2!S47) &gt;0, CHAR(43), CHAR(45))</f>
        <v>-</v>
      </c>
      <c r="W100" s="14" t="str">
        <f>IF(MIN(Class_0!T47,Class_1!T47,Class_2!T47) &gt;0, CHAR(43), CHAR(45))</f>
        <v>-</v>
      </c>
      <c r="X100" s="14" t="str">
        <f>IF(MIN(Class_0!U47,Class_1!U47,Class_2!U47) &gt;0, CHAR(43), CHAR(45))</f>
        <v>-</v>
      </c>
      <c r="Y100" s="14" t="str">
        <f>IF(MIN(Class_0!V47,Class_1!V47,Class_2!V47) &gt;0, CHAR(43), CHAR(45))</f>
        <v>+</v>
      </c>
      <c r="Z100" s="14" t="str">
        <f>IF(MIN(Class_0!W47,Class_1!W47,Class_2!W47) &gt;0, CHAR(43), CHAR(45))</f>
        <v>+</v>
      </c>
      <c r="AA100" s="14" t="str">
        <f>IF(MIN(Class_0!X47,Class_1!X47,Class_2!X47) &gt;0, CHAR(43), CHAR(45))</f>
        <v>-</v>
      </c>
      <c r="AB100" s="14" t="str">
        <f>IF(MIN(Class_0!Y47,Class_1!Y47,Class_2!Y47) &gt;0, CHAR(43), CHAR(45))</f>
        <v>+</v>
      </c>
      <c r="AC100" s="14" t="str">
        <f>IF(MIN(Class_0!Z47,Class_1!Z47,Class_2!Z47) &gt;0, CHAR(43), CHAR(45))</f>
        <v>+</v>
      </c>
      <c r="AD100" s="14" t="str">
        <f>IF(MIN(Class_0!AA47,Class_1!AA47,Class_2!AA47) &gt;0, CHAR(43), CHAR(45))</f>
        <v>+</v>
      </c>
      <c r="AE100" s="14" t="str">
        <f>IF(MIN(Class_0!AB47,Class_1!AB47,Class_2!AB47) &gt;0, CHAR(43), CHAR(45))</f>
        <v>+</v>
      </c>
      <c r="AF100" s="14" t="str">
        <f>IF(MIN(Class_0!AC47,Class_1!AC47,Class_2!AC47) &gt;0, CHAR(43), CHAR(45))</f>
        <v>+</v>
      </c>
      <c r="AG100" s="14" t="str">
        <f>IF(MIN(Class_0!AD47,Class_1!AD47,Class_2!AD47) &gt;0, CHAR(43), CHAR(45))</f>
        <v>+</v>
      </c>
      <c r="AH100" s="14" t="str">
        <f>IF(MIN(Class_0!AE47,Class_1!AE47,Class_2!AE47) &gt;0, CHAR(43), CHAR(45))</f>
        <v>+</v>
      </c>
      <c r="AI100" s="14" t="str">
        <f>IF(MIN(Class_0!AF47,Class_1!AF47,Class_2!AF47) &gt;0, CHAR(43), CHAR(45))</f>
        <v>+</v>
      </c>
      <c r="AJ100" s="14" t="str">
        <f>IF(MIN(Class_0!AG47,Class_1!AG47,Class_2!AG47) &gt;0, CHAR(43), CHAR(45))</f>
        <v>+</v>
      </c>
      <c r="AK100" s="14" t="str">
        <f>IF(MIN(Class_0!AH47,Class_1!AH47,Class_2!AH47) &gt;0, CHAR(43), CHAR(45))</f>
        <v>+</v>
      </c>
      <c r="AL100" s="14" t="str">
        <f>IF(MIN(Class_0!AI47,Class_1!AI47,Class_2!AI47) &gt;0, CHAR(43), CHAR(45))</f>
        <v>+</v>
      </c>
      <c r="AM100" s="14" t="str">
        <f>IF(MIN(Class_0!AJ47,Class_1!AJ47,Class_2!AJ47) &gt;0, CHAR(43), CHAR(45))</f>
        <v>+</v>
      </c>
      <c r="AN100" s="14" t="str">
        <f>IF(MIN(Class_0!AK47,Class_1!AK47,Class_2!AK47) &gt;0, CHAR(43), CHAR(45))</f>
        <v>+</v>
      </c>
      <c r="AO100" s="14" t="str">
        <f>IF(MIN(Class_0!AL47,Class_1!AL47,Class_2!AL47) &gt;0, CHAR(43), CHAR(45))</f>
        <v>+</v>
      </c>
      <c r="AP100" s="14" t="str">
        <f>IF(MIN(Class_0!AM47,Class_1!AM47,Class_2!AM47) &gt;0, CHAR(43), CHAR(45))</f>
        <v>+</v>
      </c>
      <c r="AQ100" s="14" t="str">
        <f>IF(MIN(Class_0!AN47,Class_1!AN47,Class_2!AN47) &gt;0, CHAR(43), CHAR(45))</f>
        <v>+</v>
      </c>
      <c r="AR100" s="14" t="str">
        <f>IF(MIN(Class_0!AO47,Class_1!AO47,Class_2!AO47) &gt;0, CHAR(43), CHAR(45))</f>
        <v>+</v>
      </c>
      <c r="AS100" s="14" t="str">
        <f>IF(MIN(Class_0!AP47,Class_1!AP47,Class_2!AP47) &gt;0, CHAR(43), CHAR(45))</f>
        <v>+</v>
      </c>
      <c r="AT100" s="14" t="str">
        <f>IF(MIN(Class_0!AQ47,Class_1!AQ47,Class_2!AQ47) &gt;0, CHAR(43), CHAR(45))</f>
        <v>+</v>
      </c>
      <c r="AU100" s="14" t="str">
        <f>IF(MIN(Class_0!AR47,Class_1!AR47,Class_2!AR47) &gt;0, CHAR(43), CHAR(45))</f>
        <v>+</v>
      </c>
      <c r="AV100" s="14" t="str">
        <f>IF(MIN(Class_0!AS47,Class_1!AS47,Class_2!AS47) &gt;0, CHAR(43), CHAR(45))</f>
        <v>+</v>
      </c>
      <c r="AW100" s="14" t="str">
        <f>IF(MIN(Class_0!AT47,Class_1!AT47,Class_2!AT47) &gt;0, CHAR(43), CHAR(45))</f>
        <v>+</v>
      </c>
      <c r="AX100" s="14" t="str">
        <f>IF(MIN(Class_0!AU47,Class_1!AU47,Class_2!AU47) &gt;0, CHAR(43), CHAR(45))</f>
        <v>+</v>
      </c>
      <c r="AY100" s="14"/>
      <c r="AZ100" s="14"/>
      <c r="BA100" s="14"/>
      <c r="BB100" s="14"/>
      <c r="BC100" s="14"/>
      <c r="BD100" s="14"/>
      <c r="BE100" s="14"/>
      <c r="BF100" s="15"/>
    </row>
    <row r="101" spans="3:58" x14ac:dyDescent="0.35">
      <c r="C101" s="13" t="s">
        <v>84</v>
      </c>
      <c r="D101" s="10">
        <f t="shared" si="6"/>
        <v>47</v>
      </c>
      <c r="E101" s="14" t="str">
        <f>IF(MIN(Class_0!B48,Class_1!B48,Class_2!B48) &gt;0, CHAR(43), CHAR(45))</f>
        <v>-</v>
      </c>
      <c r="F101" s="14" t="str">
        <f>IF(MIN(Class_0!C48,Class_1!C48,Class_2!C48) &gt;0, CHAR(43), CHAR(45))</f>
        <v>-</v>
      </c>
      <c r="G101" s="14" t="str">
        <f>IF(MIN(Class_0!D48,Class_1!D48,Class_2!D48) &gt;0, CHAR(43), CHAR(45))</f>
        <v>-</v>
      </c>
      <c r="H101" s="14" t="str">
        <f>IF(MIN(Class_0!E48,Class_1!E48,Class_2!E48) &gt;0, CHAR(43), CHAR(45))</f>
        <v>-</v>
      </c>
      <c r="I101" s="14" t="str">
        <f>IF(MIN(Class_0!F48,Class_1!F48,Class_2!F48) &gt;0, CHAR(43), CHAR(45))</f>
        <v>-</v>
      </c>
      <c r="J101" s="14" t="str">
        <f>IF(MIN(Class_0!G48,Class_1!G48,Class_2!G48) &gt;0, CHAR(43), CHAR(45))</f>
        <v>-</v>
      </c>
      <c r="K101" s="14" t="str">
        <f>IF(MIN(Class_0!H48,Class_1!H48,Class_2!H48) &gt;0, CHAR(43), CHAR(45))</f>
        <v>-</v>
      </c>
      <c r="L101" s="14" t="str">
        <f>IF(MIN(Class_0!I48,Class_1!I48,Class_2!I48) &gt;0, CHAR(43), CHAR(45))</f>
        <v>-</v>
      </c>
      <c r="M101" s="14" t="str">
        <f>IF(MIN(Class_0!J48,Class_1!J48,Class_2!J48) &gt;0, CHAR(43), CHAR(45))</f>
        <v>-</v>
      </c>
      <c r="N101" s="14" t="str">
        <f>IF(MIN(Class_0!K48,Class_1!K48,Class_2!K48) &gt;0, CHAR(43), CHAR(45))</f>
        <v>-</v>
      </c>
      <c r="O101" s="14" t="str">
        <f>IF(MIN(Class_0!L48,Class_1!L48,Class_2!L48) &gt;0, CHAR(43), CHAR(45))</f>
        <v>-</v>
      </c>
      <c r="P101" s="14" t="str">
        <f>IF(MIN(Class_0!M48,Class_1!M48,Class_2!M48) &gt;0, CHAR(43), CHAR(45))</f>
        <v>-</v>
      </c>
      <c r="Q101" s="14" t="str">
        <f>IF(MIN(Class_0!N48,Class_1!N48,Class_2!N48) &gt;0, CHAR(43), CHAR(45))</f>
        <v>-</v>
      </c>
      <c r="R101" s="14" t="str">
        <f>IF(MIN(Class_0!O48,Class_1!O48,Class_2!O48) &gt;0, CHAR(43), CHAR(45))</f>
        <v>-</v>
      </c>
      <c r="S101" s="14" t="str">
        <f>IF(MIN(Class_0!P48,Class_1!P48,Class_2!P48) &gt;0, CHAR(43), CHAR(45))</f>
        <v>-</v>
      </c>
      <c r="T101" s="14" t="str">
        <f>IF(MIN(Class_0!Q48,Class_1!Q48,Class_2!Q48) &gt;0, CHAR(43), CHAR(45))</f>
        <v>-</v>
      </c>
      <c r="U101" s="14" t="str">
        <f>IF(MIN(Class_0!R48,Class_1!R48,Class_2!R48) &gt;0, CHAR(43), CHAR(45))</f>
        <v>-</v>
      </c>
      <c r="V101" s="14" t="str">
        <f>IF(MIN(Class_0!S48,Class_1!S48,Class_2!S48) &gt;0, CHAR(43), CHAR(45))</f>
        <v>-</v>
      </c>
      <c r="W101" s="14" t="str">
        <f>IF(MIN(Class_0!T48,Class_1!T48,Class_2!T48) &gt;0, CHAR(43), CHAR(45))</f>
        <v>+</v>
      </c>
      <c r="X101" s="14" t="str">
        <f>IF(MIN(Class_0!U48,Class_1!U48,Class_2!U48) &gt;0, CHAR(43), CHAR(45))</f>
        <v>-</v>
      </c>
      <c r="Y101" s="14" t="str">
        <f>IF(MIN(Class_0!V48,Class_1!V48,Class_2!V48) &gt;0, CHAR(43), CHAR(45))</f>
        <v>+</v>
      </c>
      <c r="Z101" s="14" t="str">
        <f>IF(MIN(Class_0!W48,Class_1!W48,Class_2!W48) &gt;0, CHAR(43), CHAR(45))</f>
        <v>+</v>
      </c>
      <c r="AA101" s="14" t="str">
        <f>IF(MIN(Class_0!X48,Class_1!X48,Class_2!X48) &gt;0, CHAR(43), CHAR(45))</f>
        <v>+</v>
      </c>
      <c r="AB101" s="14" t="str">
        <f>IF(MIN(Class_0!Y48,Class_1!Y48,Class_2!Y48) &gt;0, CHAR(43), CHAR(45))</f>
        <v>+</v>
      </c>
      <c r="AC101" s="14" t="str">
        <f>IF(MIN(Class_0!Z48,Class_1!Z48,Class_2!Z48) &gt;0, CHAR(43), CHAR(45))</f>
        <v>-</v>
      </c>
      <c r="AD101" s="14" t="str">
        <f>IF(MIN(Class_0!AA48,Class_1!AA48,Class_2!AA48) &gt;0, CHAR(43), CHAR(45))</f>
        <v>+</v>
      </c>
      <c r="AE101" s="14" t="str">
        <f>IF(MIN(Class_0!AB48,Class_1!AB48,Class_2!AB48) &gt;0, CHAR(43), CHAR(45))</f>
        <v>+</v>
      </c>
      <c r="AF101" s="14" t="str">
        <f>IF(MIN(Class_0!AC48,Class_1!AC48,Class_2!AC48) &gt;0, CHAR(43), CHAR(45))</f>
        <v>+</v>
      </c>
      <c r="AG101" s="14" t="str">
        <f>IF(MIN(Class_0!AD48,Class_1!AD48,Class_2!AD48) &gt;0, CHAR(43), CHAR(45))</f>
        <v>+</v>
      </c>
      <c r="AH101" s="14" t="str">
        <f>IF(MIN(Class_0!AE48,Class_1!AE48,Class_2!AE48) &gt;0, CHAR(43), CHAR(45))</f>
        <v>+</v>
      </c>
      <c r="AI101" s="14" t="str">
        <f>IF(MIN(Class_0!AF48,Class_1!AF48,Class_2!AF48) &gt;0, CHAR(43), CHAR(45))</f>
        <v>+</v>
      </c>
      <c r="AJ101" s="14" t="str">
        <f>IF(MIN(Class_0!AG48,Class_1!AG48,Class_2!AG48) &gt;0, CHAR(43), CHAR(45))</f>
        <v>+</v>
      </c>
      <c r="AK101" s="14" t="str">
        <f>IF(MIN(Class_0!AH48,Class_1!AH48,Class_2!AH48) &gt;0, CHAR(43), CHAR(45))</f>
        <v>+</v>
      </c>
      <c r="AL101" s="14" t="str">
        <f>IF(MIN(Class_0!AI48,Class_1!AI48,Class_2!AI48) &gt;0, CHAR(43), CHAR(45))</f>
        <v>+</v>
      </c>
      <c r="AM101" s="14" t="str">
        <f>IF(MIN(Class_0!AJ48,Class_1!AJ48,Class_2!AJ48) &gt;0, CHAR(43), CHAR(45))</f>
        <v>+</v>
      </c>
      <c r="AN101" s="14" t="str">
        <f>IF(MIN(Class_0!AK48,Class_1!AK48,Class_2!AK48) &gt;0, CHAR(43), CHAR(45))</f>
        <v>+</v>
      </c>
      <c r="AO101" s="14" t="str">
        <f>IF(MIN(Class_0!AL48,Class_1!AL48,Class_2!AL48) &gt;0, CHAR(43), CHAR(45))</f>
        <v>+</v>
      </c>
      <c r="AP101" s="14" t="str">
        <f>IF(MIN(Class_0!AM48,Class_1!AM48,Class_2!AM48) &gt;0, CHAR(43), CHAR(45))</f>
        <v>+</v>
      </c>
      <c r="AQ101" s="14" t="str">
        <f>IF(MIN(Class_0!AN48,Class_1!AN48,Class_2!AN48) &gt;0, CHAR(43), CHAR(45))</f>
        <v>+</v>
      </c>
      <c r="AR101" s="14" t="str">
        <f>IF(MIN(Class_0!AO48,Class_1!AO48,Class_2!AO48) &gt;0, CHAR(43), CHAR(45))</f>
        <v>+</v>
      </c>
      <c r="AS101" s="14" t="str">
        <f>IF(MIN(Class_0!AP48,Class_1!AP48,Class_2!AP48) &gt;0, CHAR(43), CHAR(45))</f>
        <v>+</v>
      </c>
      <c r="AT101" s="14" t="str">
        <f>IF(MIN(Class_0!AQ48,Class_1!AQ48,Class_2!AQ48) &gt;0, CHAR(43), CHAR(45))</f>
        <v>+</v>
      </c>
      <c r="AU101" s="14" t="str">
        <f>IF(MIN(Class_0!AR48,Class_1!AR48,Class_2!AR48) &gt;0, CHAR(43), CHAR(45))</f>
        <v>+</v>
      </c>
      <c r="AV101" s="14" t="str">
        <f>IF(MIN(Class_0!AS48,Class_1!AS48,Class_2!AS48) &gt;0, CHAR(43), CHAR(45))</f>
        <v>+</v>
      </c>
      <c r="AW101" s="14" t="str">
        <f>IF(MIN(Class_0!AT48,Class_1!AT48,Class_2!AT48) &gt;0, CHAR(43), CHAR(45))</f>
        <v>+</v>
      </c>
      <c r="AX101" s="14" t="str">
        <f>IF(MIN(Class_0!AU48,Class_1!AU48,Class_2!AU48) &gt;0, CHAR(43), CHAR(45))</f>
        <v>+</v>
      </c>
      <c r="AY101" s="14" t="str">
        <f>IF(MIN(Class_0!AV48,Class_1!AV48,Class_2!AV48) &gt;0, CHAR(43), CHAR(45))</f>
        <v>+</v>
      </c>
      <c r="AZ101" s="14"/>
      <c r="BA101" s="14"/>
      <c r="BB101" s="14"/>
      <c r="BC101" s="14"/>
      <c r="BD101" s="14"/>
      <c r="BE101" s="14"/>
      <c r="BF101" s="15"/>
    </row>
    <row r="102" spans="3:58" x14ac:dyDescent="0.35">
      <c r="C102" s="13" t="s">
        <v>85</v>
      </c>
      <c r="D102" s="10">
        <f t="shared" si="6"/>
        <v>48</v>
      </c>
      <c r="E102" s="14" t="str">
        <f>IF(MIN(Class_0!B49,Class_1!B49,Class_2!B49) &gt;0, CHAR(43), CHAR(45))</f>
        <v>-</v>
      </c>
      <c r="F102" s="14" t="str">
        <f>IF(MIN(Class_0!C49,Class_1!C49,Class_2!C49) &gt;0, CHAR(43), CHAR(45))</f>
        <v>-</v>
      </c>
      <c r="G102" s="14" t="str">
        <f>IF(MIN(Class_0!D49,Class_1!D49,Class_2!D49) &gt;0, CHAR(43), CHAR(45))</f>
        <v>-</v>
      </c>
      <c r="H102" s="14" t="str">
        <f>IF(MIN(Class_0!E49,Class_1!E49,Class_2!E49) &gt;0, CHAR(43), CHAR(45))</f>
        <v>-</v>
      </c>
      <c r="I102" s="14" t="str">
        <f>IF(MIN(Class_0!F49,Class_1!F49,Class_2!F49) &gt;0, CHAR(43), CHAR(45))</f>
        <v>-</v>
      </c>
      <c r="J102" s="14" t="str">
        <f>IF(MIN(Class_0!G49,Class_1!G49,Class_2!G49) &gt;0, CHAR(43), CHAR(45))</f>
        <v>-</v>
      </c>
      <c r="K102" s="14" t="str">
        <f>IF(MIN(Class_0!H49,Class_1!H49,Class_2!H49) &gt;0, CHAR(43), CHAR(45))</f>
        <v>-</v>
      </c>
      <c r="L102" s="14" t="str">
        <f>IF(MIN(Class_0!I49,Class_1!I49,Class_2!I49) &gt;0, CHAR(43), CHAR(45))</f>
        <v>+</v>
      </c>
      <c r="M102" s="14" t="str">
        <f>IF(MIN(Class_0!J49,Class_1!J49,Class_2!J49) &gt;0, CHAR(43), CHAR(45))</f>
        <v>+</v>
      </c>
      <c r="N102" s="14" t="str">
        <f>IF(MIN(Class_0!K49,Class_1!K49,Class_2!K49) &gt;0, CHAR(43), CHAR(45))</f>
        <v>-</v>
      </c>
      <c r="O102" s="14" t="str">
        <f>IF(MIN(Class_0!L49,Class_1!L49,Class_2!L49) &gt;0, CHAR(43), CHAR(45))</f>
        <v>-</v>
      </c>
      <c r="P102" s="14" t="str">
        <f>IF(MIN(Class_0!M49,Class_1!M49,Class_2!M49) &gt;0, CHAR(43), CHAR(45))</f>
        <v>-</v>
      </c>
      <c r="Q102" s="14" t="str">
        <f>IF(MIN(Class_0!N49,Class_1!N49,Class_2!N49) &gt;0, CHAR(43), CHAR(45))</f>
        <v>-</v>
      </c>
      <c r="R102" s="14" t="str">
        <f>IF(MIN(Class_0!O49,Class_1!O49,Class_2!O49) &gt;0, CHAR(43), CHAR(45))</f>
        <v>+</v>
      </c>
      <c r="S102" s="14" t="str">
        <f>IF(MIN(Class_0!P49,Class_1!P49,Class_2!P49) &gt;0, CHAR(43), CHAR(45))</f>
        <v>+</v>
      </c>
      <c r="T102" s="14" t="str">
        <f>IF(MIN(Class_0!Q49,Class_1!Q49,Class_2!Q49) &gt;0, CHAR(43), CHAR(45))</f>
        <v>-</v>
      </c>
      <c r="U102" s="14" t="str">
        <f>IF(MIN(Class_0!R49,Class_1!R49,Class_2!R49) &gt;0, CHAR(43), CHAR(45))</f>
        <v>-</v>
      </c>
      <c r="V102" s="14" t="str">
        <f>IF(MIN(Class_0!S49,Class_1!S49,Class_2!S49) &gt;0, CHAR(43), CHAR(45))</f>
        <v>+</v>
      </c>
      <c r="W102" s="14" t="str">
        <f>IF(MIN(Class_0!T49,Class_1!T49,Class_2!T49) &gt;0, CHAR(43), CHAR(45))</f>
        <v>+</v>
      </c>
      <c r="X102" s="14" t="str">
        <f>IF(MIN(Class_0!U49,Class_1!U49,Class_2!U49) &gt;0, CHAR(43), CHAR(45))</f>
        <v>+</v>
      </c>
      <c r="Y102" s="14" t="str">
        <f>IF(MIN(Class_0!V49,Class_1!V49,Class_2!V49) &gt;0, CHAR(43), CHAR(45))</f>
        <v>+</v>
      </c>
      <c r="Z102" s="14" t="str">
        <f>IF(MIN(Class_0!W49,Class_1!W49,Class_2!W49) &gt;0, CHAR(43), CHAR(45))</f>
        <v>+</v>
      </c>
      <c r="AA102" s="14" t="str">
        <f>IF(MIN(Class_0!X49,Class_1!X49,Class_2!X49) &gt;0, CHAR(43), CHAR(45))</f>
        <v>-</v>
      </c>
      <c r="AB102" s="14" t="str">
        <f>IF(MIN(Class_0!Y49,Class_1!Y49,Class_2!Y49) &gt;0, CHAR(43), CHAR(45))</f>
        <v>+</v>
      </c>
      <c r="AC102" s="14" t="str">
        <f>IF(MIN(Class_0!Z49,Class_1!Z49,Class_2!Z49) &gt;0, CHAR(43), CHAR(45))</f>
        <v>+</v>
      </c>
      <c r="AD102" s="14" t="str">
        <f>IF(MIN(Class_0!AA49,Class_1!AA49,Class_2!AA49) &gt;0, CHAR(43), CHAR(45))</f>
        <v>+</v>
      </c>
      <c r="AE102" s="14" t="str">
        <f>IF(MIN(Class_0!AB49,Class_1!AB49,Class_2!AB49) &gt;0, CHAR(43), CHAR(45))</f>
        <v>+</v>
      </c>
      <c r="AF102" s="14" t="str">
        <f>IF(MIN(Class_0!AC49,Class_1!AC49,Class_2!AC49) &gt;0, CHAR(43), CHAR(45))</f>
        <v>+</v>
      </c>
      <c r="AG102" s="14" t="str">
        <f>IF(MIN(Class_0!AD49,Class_1!AD49,Class_2!AD49) &gt;0, CHAR(43), CHAR(45))</f>
        <v>+</v>
      </c>
      <c r="AH102" s="14" t="str">
        <f>IF(MIN(Class_0!AE49,Class_1!AE49,Class_2!AE49) &gt;0, CHAR(43), CHAR(45))</f>
        <v>+</v>
      </c>
      <c r="AI102" s="14" t="str">
        <f>IF(MIN(Class_0!AF49,Class_1!AF49,Class_2!AF49) &gt;0, CHAR(43), CHAR(45))</f>
        <v>+</v>
      </c>
      <c r="AJ102" s="14" t="str">
        <f>IF(MIN(Class_0!AG49,Class_1!AG49,Class_2!AG49) &gt;0, CHAR(43), CHAR(45))</f>
        <v>+</v>
      </c>
      <c r="AK102" s="14" t="str">
        <f>IF(MIN(Class_0!AH49,Class_1!AH49,Class_2!AH49) &gt;0, CHAR(43), CHAR(45))</f>
        <v>+</v>
      </c>
      <c r="AL102" s="14" t="str">
        <f>IF(MIN(Class_0!AI49,Class_1!AI49,Class_2!AI49) &gt;0, CHAR(43), CHAR(45))</f>
        <v>+</v>
      </c>
      <c r="AM102" s="14" t="str">
        <f>IF(MIN(Class_0!AJ49,Class_1!AJ49,Class_2!AJ49) &gt;0, CHAR(43), CHAR(45))</f>
        <v>+</v>
      </c>
      <c r="AN102" s="14" t="str">
        <f>IF(MIN(Class_0!AK49,Class_1!AK49,Class_2!AK49) &gt;0, CHAR(43), CHAR(45))</f>
        <v>+</v>
      </c>
      <c r="AO102" s="14" t="str">
        <f>IF(MIN(Class_0!AL49,Class_1!AL49,Class_2!AL49) &gt;0, CHAR(43), CHAR(45))</f>
        <v>+</v>
      </c>
      <c r="AP102" s="14" t="str">
        <f>IF(MIN(Class_0!AM49,Class_1!AM49,Class_2!AM49) &gt;0, CHAR(43), CHAR(45))</f>
        <v>+</v>
      </c>
      <c r="AQ102" s="14" t="str">
        <f>IF(MIN(Class_0!AN49,Class_1!AN49,Class_2!AN49) &gt;0, CHAR(43), CHAR(45))</f>
        <v>+</v>
      </c>
      <c r="AR102" s="14" t="str">
        <f>IF(MIN(Class_0!AO49,Class_1!AO49,Class_2!AO49) &gt;0, CHAR(43), CHAR(45))</f>
        <v>+</v>
      </c>
      <c r="AS102" s="14" t="str">
        <f>IF(MIN(Class_0!AP49,Class_1!AP49,Class_2!AP49) &gt;0, CHAR(43), CHAR(45))</f>
        <v>+</v>
      </c>
      <c r="AT102" s="14" t="str">
        <f>IF(MIN(Class_0!AQ49,Class_1!AQ49,Class_2!AQ49) &gt;0, CHAR(43), CHAR(45))</f>
        <v>+</v>
      </c>
      <c r="AU102" s="14" t="str">
        <f>IF(MIN(Class_0!AR49,Class_1!AR49,Class_2!AR49) &gt;0, CHAR(43), CHAR(45))</f>
        <v>+</v>
      </c>
      <c r="AV102" s="14" t="str">
        <f>IF(MIN(Class_0!AS49,Class_1!AS49,Class_2!AS49) &gt;0, CHAR(43), CHAR(45))</f>
        <v>+</v>
      </c>
      <c r="AW102" s="14" t="str">
        <f>IF(MIN(Class_0!AT49,Class_1!AT49,Class_2!AT49) &gt;0, CHAR(43), CHAR(45))</f>
        <v>+</v>
      </c>
      <c r="AX102" s="14" t="str">
        <f>IF(MIN(Class_0!AU49,Class_1!AU49,Class_2!AU49) &gt;0, CHAR(43), CHAR(45))</f>
        <v>+</v>
      </c>
      <c r="AY102" s="14" t="str">
        <f>IF(MIN(Class_0!AV49,Class_1!AV49,Class_2!AV49) &gt;0, CHAR(43), CHAR(45))</f>
        <v>+</v>
      </c>
      <c r="AZ102" s="14" t="str">
        <f>IF(MIN(Class_0!AW49,Class_1!AW49,Class_2!AW49) &gt;0, CHAR(43), CHAR(45))</f>
        <v>+</v>
      </c>
      <c r="BA102" s="14"/>
      <c r="BB102" s="14"/>
      <c r="BC102" s="14"/>
      <c r="BD102" s="14"/>
      <c r="BE102" s="14"/>
      <c r="BF102" s="15"/>
    </row>
    <row r="103" spans="3:58" x14ac:dyDescent="0.35">
      <c r="C103" s="13" t="s">
        <v>86</v>
      </c>
      <c r="D103" s="10">
        <f t="shared" si="6"/>
        <v>49</v>
      </c>
      <c r="E103" s="14" t="str">
        <f>IF(MIN(Class_0!B50,Class_1!B50,Class_2!B50) &gt;0, CHAR(43), CHAR(45))</f>
        <v>+</v>
      </c>
      <c r="F103" s="14" t="str">
        <f>IF(MIN(Class_0!C50,Class_1!C50,Class_2!C50) &gt;0, CHAR(43), CHAR(45))</f>
        <v>-</v>
      </c>
      <c r="G103" s="14" t="str">
        <f>IF(MIN(Class_0!D50,Class_1!D50,Class_2!D50) &gt;0, CHAR(43), CHAR(45))</f>
        <v>-</v>
      </c>
      <c r="H103" s="14" t="str">
        <f>IF(MIN(Class_0!E50,Class_1!E50,Class_2!E50) &gt;0, CHAR(43), CHAR(45))</f>
        <v>-</v>
      </c>
      <c r="I103" s="14" t="str">
        <f>IF(MIN(Class_0!F50,Class_1!F50,Class_2!F50) &gt;0, CHAR(43), CHAR(45))</f>
        <v>-</v>
      </c>
      <c r="J103" s="14" t="str">
        <f>IF(MIN(Class_0!G50,Class_1!G50,Class_2!G50) &gt;0, CHAR(43), CHAR(45))</f>
        <v>-</v>
      </c>
      <c r="K103" s="14" t="str">
        <f>IF(MIN(Class_0!H50,Class_1!H50,Class_2!H50) &gt;0, CHAR(43), CHAR(45))</f>
        <v>-</v>
      </c>
      <c r="L103" s="14" t="str">
        <f>IF(MIN(Class_0!I50,Class_1!I50,Class_2!I50) &gt;0, CHAR(43), CHAR(45))</f>
        <v>-</v>
      </c>
      <c r="M103" s="14" t="str">
        <f>IF(MIN(Class_0!J50,Class_1!J50,Class_2!J50) &gt;0, CHAR(43), CHAR(45))</f>
        <v>-</v>
      </c>
      <c r="N103" s="14" t="str">
        <f>IF(MIN(Class_0!K50,Class_1!K50,Class_2!K50) &gt;0, CHAR(43), CHAR(45))</f>
        <v>-</v>
      </c>
      <c r="O103" s="14" t="str">
        <f>IF(MIN(Class_0!L50,Class_1!L50,Class_2!L50) &gt;0, CHAR(43), CHAR(45))</f>
        <v>-</v>
      </c>
      <c r="P103" s="14" t="str">
        <f>IF(MIN(Class_0!M50,Class_1!M50,Class_2!M50) &gt;0, CHAR(43), CHAR(45))</f>
        <v>-</v>
      </c>
      <c r="Q103" s="14" t="str">
        <f>IF(MIN(Class_0!N50,Class_1!N50,Class_2!N50) &gt;0, CHAR(43), CHAR(45))</f>
        <v>-</v>
      </c>
      <c r="R103" s="14" t="str">
        <f>IF(MIN(Class_0!O50,Class_1!O50,Class_2!O50) &gt;0, CHAR(43), CHAR(45))</f>
        <v>+</v>
      </c>
      <c r="S103" s="14" t="str">
        <f>IF(MIN(Class_0!P50,Class_1!P50,Class_2!P50) &gt;0, CHAR(43), CHAR(45))</f>
        <v>+</v>
      </c>
      <c r="T103" s="14" t="str">
        <f>IF(MIN(Class_0!Q50,Class_1!Q50,Class_2!Q50) &gt;0, CHAR(43), CHAR(45))</f>
        <v>-</v>
      </c>
      <c r="U103" s="14" t="str">
        <f>IF(MIN(Class_0!R50,Class_1!R50,Class_2!R50) &gt;0, CHAR(43), CHAR(45))</f>
        <v>-</v>
      </c>
      <c r="V103" s="14" t="str">
        <f>IF(MIN(Class_0!S50,Class_1!S50,Class_2!S50) &gt;0, CHAR(43), CHAR(45))</f>
        <v>-</v>
      </c>
      <c r="W103" s="14" t="str">
        <f>IF(MIN(Class_0!T50,Class_1!T50,Class_2!T50) &gt;0, CHAR(43), CHAR(45))</f>
        <v>-</v>
      </c>
      <c r="X103" s="14" t="str">
        <f>IF(MIN(Class_0!U50,Class_1!U50,Class_2!U50) &gt;0, CHAR(43), CHAR(45))</f>
        <v>-</v>
      </c>
      <c r="Y103" s="14" t="str">
        <f>IF(MIN(Class_0!V50,Class_1!V50,Class_2!V50) &gt;0, CHAR(43), CHAR(45))</f>
        <v>+</v>
      </c>
      <c r="Z103" s="14" t="str">
        <f>IF(MIN(Class_0!W50,Class_1!W50,Class_2!W50) &gt;0, CHAR(43), CHAR(45))</f>
        <v>+</v>
      </c>
      <c r="AA103" s="14" t="str">
        <f>IF(MIN(Class_0!X50,Class_1!X50,Class_2!X50) &gt;0, CHAR(43), CHAR(45))</f>
        <v>-</v>
      </c>
      <c r="AB103" s="14" t="str">
        <f>IF(MIN(Class_0!Y50,Class_1!Y50,Class_2!Y50) &gt;0, CHAR(43), CHAR(45))</f>
        <v>+</v>
      </c>
      <c r="AC103" s="14" t="str">
        <f>IF(MIN(Class_0!Z50,Class_1!Z50,Class_2!Z50) &gt;0, CHAR(43), CHAR(45))</f>
        <v>+</v>
      </c>
      <c r="AD103" s="14" t="str">
        <f>IF(MIN(Class_0!AA50,Class_1!AA50,Class_2!AA50) &gt;0, CHAR(43), CHAR(45))</f>
        <v>+</v>
      </c>
      <c r="AE103" s="14" t="str">
        <f>IF(MIN(Class_0!AB50,Class_1!AB50,Class_2!AB50) &gt;0, CHAR(43), CHAR(45))</f>
        <v>+</v>
      </c>
      <c r="AF103" s="14" t="str">
        <f>IF(MIN(Class_0!AC50,Class_1!AC50,Class_2!AC50) &gt;0, CHAR(43), CHAR(45))</f>
        <v>+</v>
      </c>
      <c r="AG103" s="14" t="str">
        <f>IF(MIN(Class_0!AD50,Class_1!AD50,Class_2!AD50) &gt;0, CHAR(43), CHAR(45))</f>
        <v>+</v>
      </c>
      <c r="AH103" s="14" t="str">
        <f>IF(MIN(Class_0!AE50,Class_1!AE50,Class_2!AE50) &gt;0, CHAR(43), CHAR(45))</f>
        <v>+</v>
      </c>
      <c r="AI103" s="14" t="str">
        <f>IF(MIN(Class_0!AF50,Class_1!AF50,Class_2!AF50) &gt;0, CHAR(43), CHAR(45))</f>
        <v>+</v>
      </c>
      <c r="AJ103" s="14" t="str">
        <f>IF(MIN(Class_0!AG50,Class_1!AG50,Class_2!AG50) &gt;0, CHAR(43), CHAR(45))</f>
        <v>+</v>
      </c>
      <c r="AK103" s="14" t="str">
        <f>IF(MIN(Class_0!AH50,Class_1!AH50,Class_2!AH50) &gt;0, CHAR(43), CHAR(45))</f>
        <v>+</v>
      </c>
      <c r="AL103" s="14" t="str">
        <f>IF(MIN(Class_0!AI50,Class_1!AI50,Class_2!AI50) &gt;0, CHAR(43), CHAR(45))</f>
        <v>+</v>
      </c>
      <c r="AM103" s="14" t="str">
        <f>IF(MIN(Class_0!AJ50,Class_1!AJ50,Class_2!AJ50) &gt;0, CHAR(43), CHAR(45))</f>
        <v>+</v>
      </c>
      <c r="AN103" s="14" t="str">
        <f>IF(MIN(Class_0!AK50,Class_1!AK50,Class_2!AK50) &gt;0, CHAR(43), CHAR(45))</f>
        <v>+</v>
      </c>
      <c r="AO103" s="14" t="str">
        <f>IF(MIN(Class_0!AL50,Class_1!AL50,Class_2!AL50) &gt;0, CHAR(43), CHAR(45))</f>
        <v>+</v>
      </c>
      <c r="AP103" s="14" t="str">
        <f>IF(MIN(Class_0!AM50,Class_1!AM50,Class_2!AM50) &gt;0, CHAR(43), CHAR(45))</f>
        <v>+</v>
      </c>
      <c r="AQ103" s="14" t="str">
        <f>IF(MIN(Class_0!AN50,Class_1!AN50,Class_2!AN50) &gt;0, CHAR(43), CHAR(45))</f>
        <v>+</v>
      </c>
      <c r="AR103" s="14" t="str">
        <f>IF(MIN(Class_0!AO50,Class_1!AO50,Class_2!AO50) &gt;0, CHAR(43), CHAR(45))</f>
        <v>+</v>
      </c>
      <c r="AS103" s="14" t="str">
        <f>IF(MIN(Class_0!AP50,Class_1!AP50,Class_2!AP50) &gt;0, CHAR(43), CHAR(45))</f>
        <v>+</v>
      </c>
      <c r="AT103" s="14" t="str">
        <f>IF(MIN(Class_0!AQ50,Class_1!AQ50,Class_2!AQ50) &gt;0, CHAR(43), CHAR(45))</f>
        <v>+</v>
      </c>
      <c r="AU103" s="14" t="str">
        <f>IF(MIN(Class_0!AR50,Class_1!AR50,Class_2!AR50) &gt;0, CHAR(43), CHAR(45))</f>
        <v>+</v>
      </c>
      <c r="AV103" s="14" t="str">
        <f>IF(MIN(Class_0!AS50,Class_1!AS50,Class_2!AS50) &gt;0, CHAR(43), CHAR(45))</f>
        <v>+</v>
      </c>
      <c r="AW103" s="14" t="str">
        <f>IF(MIN(Class_0!AT50,Class_1!AT50,Class_2!AT50) &gt;0, CHAR(43), CHAR(45))</f>
        <v>+</v>
      </c>
      <c r="AX103" s="14" t="str">
        <f>IF(MIN(Class_0!AU50,Class_1!AU50,Class_2!AU50) &gt;0, CHAR(43), CHAR(45))</f>
        <v>+</v>
      </c>
      <c r="AY103" s="14" t="str">
        <f>IF(MIN(Class_0!AV50,Class_1!AV50,Class_2!AV50) &gt;0, CHAR(43), CHAR(45))</f>
        <v>+</v>
      </c>
      <c r="AZ103" s="14" t="str">
        <f>IF(MIN(Class_0!AW50,Class_1!AW50,Class_2!AW50) &gt;0, CHAR(43), CHAR(45))</f>
        <v>+</v>
      </c>
      <c r="BA103" s="14" t="str">
        <f>IF(MIN(Class_0!AX50,Class_1!AX50,Class_2!AX50) &gt;0, CHAR(43), CHAR(45))</f>
        <v>+</v>
      </c>
      <c r="BB103" s="14"/>
      <c r="BC103" s="14"/>
      <c r="BD103" s="14"/>
      <c r="BE103" s="14"/>
      <c r="BF103" s="15"/>
    </row>
    <row r="104" spans="3:58" x14ac:dyDescent="0.35">
      <c r="C104" s="13" t="s">
        <v>87</v>
      </c>
      <c r="D104" s="10">
        <f t="shared" si="6"/>
        <v>50</v>
      </c>
      <c r="E104" s="14" t="str">
        <f>IF(MIN(Class_0!B51,Class_1!B51,Class_2!B51) &gt;0, CHAR(43), CHAR(45))</f>
        <v>+</v>
      </c>
      <c r="F104" s="14" t="str">
        <f>IF(MIN(Class_0!C51,Class_1!C51,Class_2!C51) &gt;0, CHAR(43), CHAR(45))</f>
        <v>-</v>
      </c>
      <c r="G104" s="14" t="str">
        <f>IF(MIN(Class_0!D51,Class_1!D51,Class_2!D51) &gt;0, CHAR(43), CHAR(45))</f>
        <v>-</v>
      </c>
      <c r="H104" s="14" t="str">
        <f>IF(MIN(Class_0!E51,Class_1!E51,Class_2!E51) &gt;0, CHAR(43), CHAR(45))</f>
        <v>-</v>
      </c>
      <c r="I104" s="14" t="str">
        <f>IF(MIN(Class_0!F51,Class_1!F51,Class_2!F51) &gt;0, CHAR(43), CHAR(45))</f>
        <v>-</v>
      </c>
      <c r="J104" s="14" t="str">
        <f>IF(MIN(Class_0!G51,Class_1!G51,Class_2!G51) &gt;0, CHAR(43), CHAR(45))</f>
        <v>-</v>
      </c>
      <c r="K104" s="14" t="str">
        <f>IF(MIN(Class_0!H51,Class_1!H51,Class_2!H51) &gt;0, CHAR(43), CHAR(45))</f>
        <v>-</v>
      </c>
      <c r="L104" s="14" t="str">
        <f>IF(MIN(Class_0!I51,Class_1!I51,Class_2!I51) &gt;0, CHAR(43), CHAR(45))</f>
        <v>-</v>
      </c>
      <c r="M104" s="14" t="str">
        <f>IF(MIN(Class_0!J51,Class_1!J51,Class_2!J51) &gt;0, CHAR(43), CHAR(45))</f>
        <v>-</v>
      </c>
      <c r="N104" s="14" t="str">
        <f>IF(MIN(Class_0!K51,Class_1!K51,Class_2!K51) &gt;0, CHAR(43), CHAR(45))</f>
        <v>-</v>
      </c>
      <c r="O104" s="14" t="str">
        <f>IF(MIN(Class_0!L51,Class_1!L51,Class_2!L51) &gt;0, CHAR(43), CHAR(45))</f>
        <v>-</v>
      </c>
      <c r="P104" s="14" t="str">
        <f>IF(MIN(Class_0!M51,Class_1!M51,Class_2!M51) &gt;0, CHAR(43), CHAR(45))</f>
        <v>-</v>
      </c>
      <c r="Q104" s="14" t="str">
        <f>IF(MIN(Class_0!N51,Class_1!N51,Class_2!N51) &gt;0, CHAR(43), CHAR(45))</f>
        <v>-</v>
      </c>
      <c r="R104" s="14" t="str">
        <f>IF(MIN(Class_0!O51,Class_1!O51,Class_2!O51) &gt;0, CHAR(43), CHAR(45))</f>
        <v>+</v>
      </c>
      <c r="S104" s="14" t="str">
        <f>IF(MIN(Class_0!P51,Class_1!P51,Class_2!P51) &gt;0, CHAR(43), CHAR(45))</f>
        <v>-</v>
      </c>
      <c r="T104" s="14" t="str">
        <f>IF(MIN(Class_0!Q51,Class_1!Q51,Class_2!Q51) &gt;0, CHAR(43), CHAR(45))</f>
        <v>-</v>
      </c>
      <c r="U104" s="14" t="str">
        <f>IF(MIN(Class_0!R51,Class_1!R51,Class_2!R51) &gt;0, CHAR(43), CHAR(45))</f>
        <v>-</v>
      </c>
      <c r="V104" s="14" t="str">
        <f>IF(MIN(Class_0!S51,Class_1!S51,Class_2!S51) &gt;0, CHAR(43), CHAR(45))</f>
        <v>+</v>
      </c>
      <c r="W104" s="14" t="str">
        <f>IF(MIN(Class_0!T51,Class_1!T51,Class_2!T51) &gt;0, CHAR(43), CHAR(45))</f>
        <v>-</v>
      </c>
      <c r="X104" s="14" t="str">
        <f>IF(MIN(Class_0!U51,Class_1!U51,Class_2!U51) &gt;0, CHAR(43), CHAR(45))</f>
        <v>+</v>
      </c>
      <c r="Y104" s="14" t="str">
        <f>IF(MIN(Class_0!V51,Class_1!V51,Class_2!V51) &gt;0, CHAR(43), CHAR(45))</f>
        <v>+</v>
      </c>
      <c r="Z104" s="14" t="str">
        <f>IF(MIN(Class_0!W51,Class_1!W51,Class_2!W51) &gt;0, CHAR(43), CHAR(45))</f>
        <v>+</v>
      </c>
      <c r="AA104" s="14" t="str">
        <f>IF(MIN(Class_0!X51,Class_1!X51,Class_2!X51) &gt;0, CHAR(43), CHAR(45))</f>
        <v>+</v>
      </c>
      <c r="AB104" s="14" t="str">
        <f>IF(MIN(Class_0!Y51,Class_1!Y51,Class_2!Y51) &gt;0, CHAR(43), CHAR(45))</f>
        <v>+</v>
      </c>
      <c r="AC104" s="14" t="str">
        <f>IF(MIN(Class_0!Z51,Class_1!Z51,Class_2!Z51) &gt;0, CHAR(43), CHAR(45))</f>
        <v>-</v>
      </c>
      <c r="AD104" s="14" t="str">
        <f>IF(MIN(Class_0!AA51,Class_1!AA51,Class_2!AA51) &gt;0, CHAR(43), CHAR(45))</f>
        <v>+</v>
      </c>
      <c r="AE104" s="14" t="str">
        <f>IF(MIN(Class_0!AB51,Class_1!AB51,Class_2!AB51) &gt;0, CHAR(43), CHAR(45))</f>
        <v>+</v>
      </c>
      <c r="AF104" s="14" t="str">
        <f>IF(MIN(Class_0!AC51,Class_1!AC51,Class_2!AC51) &gt;0, CHAR(43), CHAR(45))</f>
        <v>+</v>
      </c>
      <c r="AG104" s="14" t="str">
        <f>IF(MIN(Class_0!AD51,Class_1!AD51,Class_2!AD51) &gt;0, CHAR(43), CHAR(45))</f>
        <v>+</v>
      </c>
      <c r="AH104" s="14" t="str">
        <f>IF(MIN(Class_0!AE51,Class_1!AE51,Class_2!AE51) &gt;0, CHAR(43), CHAR(45))</f>
        <v>+</v>
      </c>
      <c r="AI104" s="14" t="str">
        <f>IF(MIN(Class_0!AF51,Class_1!AF51,Class_2!AF51) &gt;0, CHAR(43), CHAR(45))</f>
        <v>+</v>
      </c>
      <c r="AJ104" s="14" t="str">
        <f>IF(MIN(Class_0!AG51,Class_1!AG51,Class_2!AG51) &gt;0, CHAR(43), CHAR(45))</f>
        <v>+</v>
      </c>
      <c r="AK104" s="14" t="str">
        <f>IF(MIN(Class_0!AH51,Class_1!AH51,Class_2!AH51) &gt;0, CHAR(43), CHAR(45))</f>
        <v>+</v>
      </c>
      <c r="AL104" s="14" t="str">
        <f>IF(MIN(Class_0!AI51,Class_1!AI51,Class_2!AI51) &gt;0, CHAR(43), CHAR(45))</f>
        <v>+</v>
      </c>
      <c r="AM104" s="14" t="str">
        <f>IF(MIN(Class_0!AJ51,Class_1!AJ51,Class_2!AJ51) &gt;0, CHAR(43), CHAR(45))</f>
        <v>+</v>
      </c>
      <c r="AN104" s="14" t="str">
        <f>IF(MIN(Class_0!AK51,Class_1!AK51,Class_2!AK51) &gt;0, CHAR(43), CHAR(45))</f>
        <v>+</v>
      </c>
      <c r="AO104" s="14" t="str">
        <f>IF(MIN(Class_0!AL51,Class_1!AL51,Class_2!AL51) &gt;0, CHAR(43), CHAR(45))</f>
        <v>+</v>
      </c>
      <c r="AP104" s="14" t="str">
        <f>IF(MIN(Class_0!AM51,Class_1!AM51,Class_2!AM51) &gt;0, CHAR(43), CHAR(45))</f>
        <v>+</v>
      </c>
      <c r="AQ104" s="14" t="str">
        <f>IF(MIN(Class_0!AN51,Class_1!AN51,Class_2!AN51) &gt;0, CHAR(43), CHAR(45))</f>
        <v>+</v>
      </c>
      <c r="AR104" s="14" t="str">
        <f>IF(MIN(Class_0!AO51,Class_1!AO51,Class_2!AO51) &gt;0, CHAR(43), CHAR(45))</f>
        <v>+</v>
      </c>
      <c r="AS104" s="14" t="str">
        <f>IF(MIN(Class_0!AP51,Class_1!AP51,Class_2!AP51) &gt;0, CHAR(43), CHAR(45))</f>
        <v>+</v>
      </c>
      <c r="AT104" s="14" t="str">
        <f>IF(MIN(Class_0!AQ51,Class_1!AQ51,Class_2!AQ51) &gt;0, CHAR(43), CHAR(45))</f>
        <v>+</v>
      </c>
      <c r="AU104" s="14" t="str">
        <f>IF(MIN(Class_0!AR51,Class_1!AR51,Class_2!AR51) &gt;0, CHAR(43), CHAR(45))</f>
        <v>+</v>
      </c>
      <c r="AV104" s="14" t="str">
        <f>IF(MIN(Class_0!AS51,Class_1!AS51,Class_2!AS51) &gt;0, CHAR(43), CHAR(45))</f>
        <v>+</v>
      </c>
      <c r="AW104" s="14" t="str">
        <f>IF(MIN(Class_0!AT51,Class_1!AT51,Class_2!AT51) &gt;0, CHAR(43), CHAR(45))</f>
        <v>+</v>
      </c>
      <c r="AX104" s="14" t="str">
        <f>IF(MIN(Class_0!AU51,Class_1!AU51,Class_2!AU51) &gt;0, CHAR(43), CHAR(45))</f>
        <v>+</v>
      </c>
      <c r="AY104" s="14" t="str">
        <f>IF(MIN(Class_0!AV51,Class_1!AV51,Class_2!AV51) &gt;0, CHAR(43), CHAR(45))</f>
        <v>+</v>
      </c>
      <c r="AZ104" s="14" t="str">
        <f>IF(MIN(Class_0!AW51,Class_1!AW51,Class_2!AW51) &gt;0, CHAR(43), CHAR(45))</f>
        <v>+</v>
      </c>
      <c r="BA104" s="14" t="str">
        <f>IF(MIN(Class_0!AX51,Class_1!AX51,Class_2!AX51) &gt;0, CHAR(43), CHAR(45))</f>
        <v>+</v>
      </c>
      <c r="BB104" s="14" t="str">
        <f>IF(MIN(Class_0!AY51,Class_1!AY51,Class_2!AY51) &gt;0, CHAR(43), CHAR(45))</f>
        <v>+</v>
      </c>
      <c r="BC104" s="14"/>
      <c r="BD104" s="14"/>
      <c r="BE104" s="14"/>
      <c r="BF104" s="15"/>
    </row>
    <row r="105" spans="3:58" x14ac:dyDescent="0.35">
      <c r="C105" s="13" t="s">
        <v>88</v>
      </c>
      <c r="D105" s="10">
        <f t="shared" si="6"/>
        <v>51</v>
      </c>
      <c r="E105" s="14" t="str">
        <f>IF(MIN(Class_0!B52,Class_1!B52,Class_2!B52) &gt;0, CHAR(43), CHAR(45))</f>
        <v>+</v>
      </c>
      <c r="F105" s="14" t="str">
        <f>IF(MIN(Class_0!C52,Class_1!C52,Class_2!C52) &gt;0, CHAR(43), CHAR(45))</f>
        <v>-</v>
      </c>
      <c r="G105" s="14" t="str">
        <f>IF(MIN(Class_0!D52,Class_1!D52,Class_2!D52) &gt;0, CHAR(43), CHAR(45))</f>
        <v>-</v>
      </c>
      <c r="H105" s="14" t="str">
        <f>IF(MIN(Class_0!E52,Class_1!E52,Class_2!E52) &gt;0, CHAR(43), CHAR(45))</f>
        <v>-</v>
      </c>
      <c r="I105" s="14" t="str">
        <f>IF(MIN(Class_0!F52,Class_1!F52,Class_2!F52) &gt;0, CHAR(43), CHAR(45))</f>
        <v>-</v>
      </c>
      <c r="J105" s="14" t="str">
        <f>IF(MIN(Class_0!G52,Class_1!G52,Class_2!G52) &gt;0, CHAR(43), CHAR(45))</f>
        <v>-</v>
      </c>
      <c r="K105" s="14" t="str">
        <f>IF(MIN(Class_0!H52,Class_1!H52,Class_2!H52) &gt;0, CHAR(43), CHAR(45))</f>
        <v>-</v>
      </c>
      <c r="L105" s="14" t="str">
        <f>IF(MIN(Class_0!I52,Class_1!I52,Class_2!I52) &gt;0, CHAR(43), CHAR(45))</f>
        <v>-</v>
      </c>
      <c r="M105" s="14" t="str">
        <f>IF(MIN(Class_0!J52,Class_1!J52,Class_2!J52) &gt;0, CHAR(43), CHAR(45))</f>
        <v>+</v>
      </c>
      <c r="N105" s="14" t="str">
        <f>IF(MIN(Class_0!K52,Class_1!K52,Class_2!K52) &gt;0, CHAR(43), CHAR(45))</f>
        <v>-</v>
      </c>
      <c r="O105" s="14" t="str">
        <f>IF(MIN(Class_0!L52,Class_1!L52,Class_2!L52) &gt;0, CHAR(43), CHAR(45))</f>
        <v>-</v>
      </c>
      <c r="P105" s="14" t="str">
        <f>IF(MIN(Class_0!M52,Class_1!M52,Class_2!M52) &gt;0, CHAR(43), CHAR(45))</f>
        <v>-</v>
      </c>
      <c r="Q105" s="14" t="str">
        <f>IF(MIN(Class_0!N52,Class_1!N52,Class_2!N52) &gt;0, CHAR(43), CHAR(45))</f>
        <v>-</v>
      </c>
      <c r="R105" s="14" t="str">
        <f>IF(MIN(Class_0!O52,Class_1!O52,Class_2!O52) &gt;0, CHAR(43), CHAR(45))</f>
        <v>+</v>
      </c>
      <c r="S105" s="14" t="str">
        <f>IF(MIN(Class_0!P52,Class_1!P52,Class_2!P52) &gt;0, CHAR(43), CHAR(45))</f>
        <v>-</v>
      </c>
      <c r="T105" s="14" t="str">
        <f>IF(MIN(Class_0!Q52,Class_1!Q52,Class_2!Q52) &gt;0, CHAR(43), CHAR(45))</f>
        <v>+</v>
      </c>
      <c r="U105" s="14" t="str">
        <f>IF(MIN(Class_0!R52,Class_1!R52,Class_2!R52) &gt;0, CHAR(43), CHAR(45))</f>
        <v>-</v>
      </c>
      <c r="V105" s="14" t="str">
        <f>IF(MIN(Class_0!S52,Class_1!S52,Class_2!S52) &gt;0, CHAR(43), CHAR(45))</f>
        <v>+</v>
      </c>
      <c r="W105" s="14" t="str">
        <f>IF(MIN(Class_0!T52,Class_1!T52,Class_2!T52) &gt;0, CHAR(43), CHAR(45))</f>
        <v>+</v>
      </c>
      <c r="X105" s="14" t="str">
        <f>IF(MIN(Class_0!U52,Class_1!U52,Class_2!U52) &gt;0, CHAR(43), CHAR(45))</f>
        <v>-</v>
      </c>
      <c r="Y105" s="14" t="str">
        <f>IF(MIN(Class_0!V52,Class_1!V52,Class_2!V52) &gt;0, CHAR(43), CHAR(45))</f>
        <v>+</v>
      </c>
      <c r="Z105" s="14" t="str">
        <f>IF(MIN(Class_0!W52,Class_1!W52,Class_2!W52) &gt;0, CHAR(43), CHAR(45))</f>
        <v>+</v>
      </c>
      <c r="AA105" s="14" t="str">
        <f>IF(MIN(Class_0!X52,Class_1!X52,Class_2!X52) &gt;0, CHAR(43), CHAR(45))</f>
        <v>-</v>
      </c>
      <c r="AB105" s="14" t="str">
        <f>IF(MIN(Class_0!Y52,Class_1!Y52,Class_2!Y52) &gt;0, CHAR(43), CHAR(45))</f>
        <v>+</v>
      </c>
      <c r="AC105" s="14" t="str">
        <f>IF(MIN(Class_0!Z52,Class_1!Z52,Class_2!Z52) &gt;0, CHAR(43), CHAR(45))</f>
        <v>-</v>
      </c>
      <c r="AD105" s="14" t="str">
        <f>IF(MIN(Class_0!AA52,Class_1!AA52,Class_2!AA52) &gt;0, CHAR(43), CHAR(45))</f>
        <v>+</v>
      </c>
      <c r="AE105" s="14" t="str">
        <f>IF(MIN(Class_0!AB52,Class_1!AB52,Class_2!AB52) &gt;0, CHAR(43), CHAR(45))</f>
        <v>+</v>
      </c>
      <c r="AF105" s="14" t="str">
        <f>IF(MIN(Class_0!AC52,Class_1!AC52,Class_2!AC52) &gt;0, CHAR(43), CHAR(45))</f>
        <v>+</v>
      </c>
      <c r="AG105" s="14" t="str">
        <f>IF(MIN(Class_0!AD52,Class_1!AD52,Class_2!AD52) &gt;0, CHAR(43), CHAR(45))</f>
        <v>+</v>
      </c>
      <c r="AH105" s="14" t="str">
        <f>IF(MIN(Class_0!AE52,Class_1!AE52,Class_2!AE52) &gt;0, CHAR(43), CHAR(45))</f>
        <v>+</v>
      </c>
      <c r="AI105" s="14" t="str">
        <f>IF(MIN(Class_0!AF52,Class_1!AF52,Class_2!AF52) &gt;0, CHAR(43), CHAR(45))</f>
        <v>+</v>
      </c>
      <c r="AJ105" s="14" t="str">
        <f>IF(MIN(Class_0!AG52,Class_1!AG52,Class_2!AG52) &gt;0, CHAR(43), CHAR(45))</f>
        <v>+</v>
      </c>
      <c r="AK105" s="14" t="str">
        <f>IF(MIN(Class_0!AH52,Class_1!AH52,Class_2!AH52) &gt;0, CHAR(43), CHAR(45))</f>
        <v>+</v>
      </c>
      <c r="AL105" s="14" t="str">
        <f>IF(MIN(Class_0!AI52,Class_1!AI52,Class_2!AI52) &gt;0, CHAR(43), CHAR(45))</f>
        <v>+</v>
      </c>
      <c r="AM105" s="14" t="str">
        <f>IF(MIN(Class_0!AJ52,Class_1!AJ52,Class_2!AJ52) &gt;0, CHAR(43), CHAR(45))</f>
        <v>+</v>
      </c>
      <c r="AN105" s="14" t="str">
        <f>IF(MIN(Class_0!AK52,Class_1!AK52,Class_2!AK52) &gt;0, CHAR(43), CHAR(45))</f>
        <v>+</v>
      </c>
      <c r="AO105" s="14" t="str">
        <f>IF(MIN(Class_0!AL52,Class_1!AL52,Class_2!AL52) &gt;0, CHAR(43), CHAR(45))</f>
        <v>+</v>
      </c>
      <c r="AP105" s="14" t="str">
        <f>IF(MIN(Class_0!AM52,Class_1!AM52,Class_2!AM52) &gt;0, CHAR(43), CHAR(45))</f>
        <v>+</v>
      </c>
      <c r="AQ105" s="14" t="str">
        <f>IF(MIN(Class_0!AN52,Class_1!AN52,Class_2!AN52) &gt;0, CHAR(43), CHAR(45))</f>
        <v>+</v>
      </c>
      <c r="AR105" s="14" t="str">
        <f>IF(MIN(Class_0!AO52,Class_1!AO52,Class_2!AO52) &gt;0, CHAR(43), CHAR(45))</f>
        <v>+</v>
      </c>
      <c r="AS105" s="14" t="str">
        <f>IF(MIN(Class_0!AP52,Class_1!AP52,Class_2!AP52) &gt;0, CHAR(43), CHAR(45))</f>
        <v>+</v>
      </c>
      <c r="AT105" s="14" t="str">
        <f>IF(MIN(Class_0!AQ52,Class_1!AQ52,Class_2!AQ52) &gt;0, CHAR(43), CHAR(45))</f>
        <v>-</v>
      </c>
      <c r="AU105" s="14" t="str">
        <f>IF(MIN(Class_0!AR52,Class_1!AR52,Class_2!AR52) &gt;0, CHAR(43), CHAR(45))</f>
        <v>+</v>
      </c>
      <c r="AV105" s="14" t="str">
        <f>IF(MIN(Class_0!AS52,Class_1!AS52,Class_2!AS52) &gt;0, CHAR(43), CHAR(45))</f>
        <v>+</v>
      </c>
      <c r="AW105" s="14" t="str">
        <f>IF(MIN(Class_0!AT52,Class_1!AT52,Class_2!AT52) &gt;0, CHAR(43), CHAR(45))</f>
        <v>+</v>
      </c>
      <c r="AX105" s="14" t="str">
        <f>IF(MIN(Class_0!AU52,Class_1!AU52,Class_2!AU52) &gt;0, CHAR(43), CHAR(45))</f>
        <v>+</v>
      </c>
      <c r="AY105" s="14" t="str">
        <f>IF(MIN(Class_0!AV52,Class_1!AV52,Class_2!AV52) &gt;0, CHAR(43), CHAR(45))</f>
        <v>+</v>
      </c>
      <c r="AZ105" s="14" t="str">
        <f>IF(MIN(Class_0!AW52,Class_1!AW52,Class_2!AW52) &gt;0, CHAR(43), CHAR(45))</f>
        <v>+</v>
      </c>
      <c r="BA105" s="14" t="str">
        <f>IF(MIN(Class_0!AX52,Class_1!AX52,Class_2!AX52) &gt;0, CHAR(43), CHAR(45))</f>
        <v>+</v>
      </c>
      <c r="BB105" s="14" t="str">
        <f>IF(MIN(Class_0!AY52,Class_1!AY52,Class_2!AY52) &gt;0, CHAR(43), CHAR(45))</f>
        <v>+</v>
      </c>
      <c r="BC105" s="14" t="str">
        <f>IF(MIN(Class_0!AZ52,Class_1!AZ52,Class_2!AZ52) &gt;0, CHAR(43), CHAR(45))</f>
        <v>+</v>
      </c>
      <c r="BD105" s="14"/>
      <c r="BE105" s="14"/>
      <c r="BF105" s="15"/>
    </row>
    <row r="106" spans="3:58" x14ac:dyDescent="0.35">
      <c r="C106" s="13" t="s">
        <v>89</v>
      </c>
      <c r="D106" s="10">
        <f t="shared" si="6"/>
        <v>52</v>
      </c>
      <c r="E106" s="14" t="str">
        <f>IF(MIN(Class_0!B53,Class_1!B53,Class_2!B53) &gt;0, CHAR(43), CHAR(45))</f>
        <v>-</v>
      </c>
      <c r="F106" s="14" t="str">
        <f>IF(MIN(Class_0!C53,Class_1!C53,Class_2!C53) &gt;0, CHAR(43), CHAR(45))</f>
        <v>-</v>
      </c>
      <c r="G106" s="14" t="str">
        <f>IF(MIN(Class_0!D53,Class_1!D53,Class_2!D53) &gt;0, CHAR(43), CHAR(45))</f>
        <v>-</v>
      </c>
      <c r="H106" s="14" t="str">
        <f>IF(MIN(Class_0!E53,Class_1!E53,Class_2!E53) &gt;0, CHAR(43), CHAR(45))</f>
        <v>-</v>
      </c>
      <c r="I106" s="14" t="str">
        <f>IF(MIN(Class_0!F53,Class_1!F53,Class_2!F53) &gt;0, CHAR(43), CHAR(45))</f>
        <v>-</v>
      </c>
      <c r="J106" s="14" t="str">
        <f>IF(MIN(Class_0!G53,Class_1!G53,Class_2!G53) &gt;0, CHAR(43), CHAR(45))</f>
        <v>-</v>
      </c>
      <c r="K106" s="14" t="str">
        <f>IF(MIN(Class_0!H53,Class_1!H53,Class_2!H53) &gt;0, CHAR(43), CHAR(45))</f>
        <v>-</v>
      </c>
      <c r="L106" s="14" t="str">
        <f>IF(MIN(Class_0!I53,Class_1!I53,Class_2!I53) &gt;0, CHAR(43), CHAR(45))</f>
        <v>-</v>
      </c>
      <c r="M106" s="14" t="str">
        <f>IF(MIN(Class_0!J53,Class_1!J53,Class_2!J53) &gt;0, CHAR(43), CHAR(45))</f>
        <v>+</v>
      </c>
      <c r="N106" s="14" t="str">
        <f>IF(MIN(Class_0!K53,Class_1!K53,Class_2!K53) &gt;0, CHAR(43), CHAR(45))</f>
        <v>-</v>
      </c>
      <c r="O106" s="14" t="str">
        <f>IF(MIN(Class_0!L53,Class_1!L53,Class_2!L53) &gt;0, CHAR(43), CHAR(45))</f>
        <v>-</v>
      </c>
      <c r="P106" s="14" t="str">
        <f>IF(MIN(Class_0!M53,Class_1!M53,Class_2!M53) &gt;0, CHAR(43), CHAR(45))</f>
        <v>-</v>
      </c>
      <c r="Q106" s="14" t="str">
        <f>IF(MIN(Class_0!N53,Class_1!N53,Class_2!N53) &gt;0, CHAR(43), CHAR(45))</f>
        <v>-</v>
      </c>
      <c r="R106" s="14" t="str">
        <f>IF(MIN(Class_0!O53,Class_1!O53,Class_2!O53) &gt;0, CHAR(43), CHAR(45))</f>
        <v>-</v>
      </c>
      <c r="S106" s="14" t="str">
        <f>IF(MIN(Class_0!P53,Class_1!P53,Class_2!P53) &gt;0, CHAR(43), CHAR(45))</f>
        <v>-</v>
      </c>
      <c r="T106" s="14" t="str">
        <f>IF(MIN(Class_0!Q53,Class_1!Q53,Class_2!Q53) &gt;0, CHAR(43), CHAR(45))</f>
        <v>-</v>
      </c>
      <c r="U106" s="14" t="str">
        <f>IF(MIN(Class_0!R53,Class_1!R53,Class_2!R53) &gt;0, CHAR(43), CHAR(45))</f>
        <v>-</v>
      </c>
      <c r="V106" s="14" t="str">
        <f>IF(MIN(Class_0!S53,Class_1!S53,Class_2!S53) &gt;0, CHAR(43), CHAR(45))</f>
        <v>+</v>
      </c>
      <c r="W106" s="14" t="str">
        <f>IF(MIN(Class_0!T53,Class_1!T53,Class_2!T53) &gt;0, CHAR(43), CHAR(45))</f>
        <v>+</v>
      </c>
      <c r="X106" s="14" t="str">
        <f>IF(MIN(Class_0!U53,Class_1!U53,Class_2!U53) &gt;0, CHAR(43), CHAR(45))</f>
        <v>+</v>
      </c>
      <c r="Y106" s="14" t="str">
        <f>IF(MIN(Class_0!V53,Class_1!V53,Class_2!V53) &gt;0, CHAR(43), CHAR(45))</f>
        <v>+</v>
      </c>
      <c r="Z106" s="14" t="str">
        <f>IF(MIN(Class_0!W53,Class_1!W53,Class_2!W53) &gt;0, CHAR(43), CHAR(45))</f>
        <v>+</v>
      </c>
      <c r="AA106" s="14" t="str">
        <f>IF(MIN(Class_0!X53,Class_1!X53,Class_2!X53) &gt;0, CHAR(43), CHAR(45))</f>
        <v>+</v>
      </c>
      <c r="AB106" s="14" t="str">
        <f>IF(MIN(Class_0!Y53,Class_1!Y53,Class_2!Y53) &gt;0, CHAR(43), CHAR(45))</f>
        <v>+</v>
      </c>
      <c r="AC106" s="14" t="str">
        <f>IF(MIN(Class_0!Z53,Class_1!Z53,Class_2!Z53) &gt;0, CHAR(43), CHAR(45))</f>
        <v>+</v>
      </c>
      <c r="AD106" s="14" t="str">
        <f>IF(MIN(Class_0!AA53,Class_1!AA53,Class_2!AA53) &gt;0, CHAR(43), CHAR(45))</f>
        <v>+</v>
      </c>
      <c r="AE106" s="14" t="str">
        <f>IF(MIN(Class_0!AB53,Class_1!AB53,Class_2!AB53) &gt;0, CHAR(43), CHAR(45))</f>
        <v>+</v>
      </c>
      <c r="AF106" s="14" t="str">
        <f>IF(MIN(Class_0!AC53,Class_1!AC53,Class_2!AC53) &gt;0, CHAR(43), CHAR(45))</f>
        <v>+</v>
      </c>
      <c r="AG106" s="14" t="str">
        <f>IF(MIN(Class_0!AD53,Class_1!AD53,Class_2!AD53) &gt;0, CHAR(43), CHAR(45))</f>
        <v>+</v>
      </c>
      <c r="AH106" s="14" t="str">
        <f>IF(MIN(Class_0!AE53,Class_1!AE53,Class_2!AE53) &gt;0, CHAR(43), CHAR(45))</f>
        <v>+</v>
      </c>
      <c r="AI106" s="14" t="str">
        <f>IF(MIN(Class_0!AF53,Class_1!AF53,Class_2!AF53) &gt;0, CHAR(43), CHAR(45))</f>
        <v>+</v>
      </c>
      <c r="AJ106" s="14" t="str">
        <f>IF(MIN(Class_0!AG53,Class_1!AG53,Class_2!AG53) &gt;0, CHAR(43), CHAR(45))</f>
        <v>+</v>
      </c>
      <c r="AK106" s="14" t="str">
        <f>IF(MIN(Class_0!AH53,Class_1!AH53,Class_2!AH53) &gt;0, CHAR(43), CHAR(45))</f>
        <v>+</v>
      </c>
      <c r="AL106" s="14" t="str">
        <f>IF(MIN(Class_0!AI53,Class_1!AI53,Class_2!AI53) &gt;0, CHAR(43), CHAR(45))</f>
        <v>+</v>
      </c>
      <c r="AM106" s="14" t="str">
        <f>IF(MIN(Class_0!AJ53,Class_1!AJ53,Class_2!AJ53) &gt;0, CHAR(43), CHAR(45))</f>
        <v>+</v>
      </c>
      <c r="AN106" s="14" t="str">
        <f>IF(MIN(Class_0!AK53,Class_1!AK53,Class_2!AK53) &gt;0, CHAR(43), CHAR(45))</f>
        <v>+</v>
      </c>
      <c r="AO106" s="14" t="str">
        <f>IF(MIN(Class_0!AL53,Class_1!AL53,Class_2!AL53) &gt;0, CHAR(43), CHAR(45))</f>
        <v>+</v>
      </c>
      <c r="AP106" s="14" t="str">
        <f>IF(MIN(Class_0!AM53,Class_1!AM53,Class_2!AM53) &gt;0, CHAR(43), CHAR(45))</f>
        <v>+</v>
      </c>
      <c r="AQ106" s="14" t="str">
        <f>IF(MIN(Class_0!AN53,Class_1!AN53,Class_2!AN53) &gt;0, CHAR(43), CHAR(45))</f>
        <v>+</v>
      </c>
      <c r="AR106" s="14" t="str">
        <f>IF(MIN(Class_0!AO53,Class_1!AO53,Class_2!AO53) &gt;0, CHAR(43), CHAR(45))</f>
        <v>+</v>
      </c>
      <c r="AS106" s="14" t="str">
        <f>IF(MIN(Class_0!AP53,Class_1!AP53,Class_2!AP53) &gt;0, CHAR(43), CHAR(45))</f>
        <v>+</v>
      </c>
      <c r="AT106" s="14" t="str">
        <f>IF(MIN(Class_0!AQ53,Class_1!AQ53,Class_2!AQ53) &gt;0, CHAR(43), CHAR(45))</f>
        <v>-</v>
      </c>
      <c r="AU106" s="14" t="str">
        <f>IF(MIN(Class_0!AR53,Class_1!AR53,Class_2!AR53) &gt;0, CHAR(43), CHAR(45))</f>
        <v>+</v>
      </c>
      <c r="AV106" s="14" t="str">
        <f>IF(MIN(Class_0!AS53,Class_1!AS53,Class_2!AS53) &gt;0, CHAR(43), CHAR(45))</f>
        <v>+</v>
      </c>
      <c r="AW106" s="14" t="str">
        <f>IF(MIN(Class_0!AT53,Class_1!AT53,Class_2!AT53) &gt;0, CHAR(43), CHAR(45))</f>
        <v>+</v>
      </c>
      <c r="AX106" s="14" t="str">
        <f>IF(MIN(Class_0!AU53,Class_1!AU53,Class_2!AU53) &gt;0, CHAR(43), CHAR(45))</f>
        <v>+</v>
      </c>
      <c r="AY106" s="14" t="str">
        <f>IF(MIN(Class_0!AV53,Class_1!AV53,Class_2!AV53) &gt;0, CHAR(43), CHAR(45))</f>
        <v>+</v>
      </c>
      <c r="AZ106" s="14" t="str">
        <f>IF(MIN(Class_0!AW53,Class_1!AW53,Class_2!AW53) &gt;0, CHAR(43), CHAR(45))</f>
        <v>+</v>
      </c>
      <c r="BA106" s="14" t="str">
        <f>IF(MIN(Class_0!AX53,Class_1!AX53,Class_2!AX53) &gt;0, CHAR(43), CHAR(45))</f>
        <v>+</v>
      </c>
      <c r="BB106" s="14" t="str">
        <f>IF(MIN(Class_0!AY53,Class_1!AY53,Class_2!AY53) &gt;0, CHAR(43), CHAR(45))</f>
        <v>+</v>
      </c>
      <c r="BC106" s="14" t="str">
        <f>IF(MIN(Class_0!AZ53,Class_1!AZ53,Class_2!AZ53) &gt;0, CHAR(43), CHAR(45))</f>
        <v>+</v>
      </c>
      <c r="BD106" s="14" t="str">
        <f>IF(MIN(Class_0!BA53,Class_1!BA53,Class_2!BA53) &gt;0, CHAR(43), CHAR(45))</f>
        <v>+</v>
      </c>
      <c r="BE106" s="14"/>
      <c r="BF106" s="15"/>
    </row>
    <row r="107" spans="3:58" x14ac:dyDescent="0.35">
      <c r="C107" s="13" t="s">
        <v>90</v>
      </c>
      <c r="D107" s="10">
        <f t="shared" si="6"/>
        <v>53</v>
      </c>
      <c r="E107" s="14" t="str">
        <f>IF(MIN(Class_0!B54,Class_1!B54,Class_2!B54) &gt;0, CHAR(43), CHAR(45))</f>
        <v>-</v>
      </c>
      <c r="F107" s="14" t="str">
        <f>IF(MIN(Class_0!C54,Class_1!C54,Class_2!C54) &gt;0, CHAR(43), CHAR(45))</f>
        <v>-</v>
      </c>
      <c r="G107" s="14" t="str">
        <f>IF(MIN(Class_0!D54,Class_1!D54,Class_2!D54) &gt;0, CHAR(43), CHAR(45))</f>
        <v>-</v>
      </c>
      <c r="H107" s="14" t="str">
        <f>IF(MIN(Class_0!E54,Class_1!E54,Class_2!E54) &gt;0, CHAR(43), CHAR(45))</f>
        <v>-</v>
      </c>
      <c r="I107" s="14" t="str">
        <f>IF(MIN(Class_0!F54,Class_1!F54,Class_2!F54) &gt;0, CHAR(43), CHAR(45))</f>
        <v>-</v>
      </c>
      <c r="J107" s="14" t="str">
        <f>IF(MIN(Class_0!G54,Class_1!G54,Class_2!G54) &gt;0, CHAR(43), CHAR(45))</f>
        <v>-</v>
      </c>
      <c r="K107" s="14" t="str">
        <f>IF(MIN(Class_0!H54,Class_1!H54,Class_2!H54) &gt;0, CHAR(43), CHAR(45))</f>
        <v>-</v>
      </c>
      <c r="L107" s="14" t="str">
        <f>IF(MIN(Class_0!I54,Class_1!I54,Class_2!I54) &gt;0, CHAR(43), CHAR(45))</f>
        <v>-</v>
      </c>
      <c r="M107" s="14" t="str">
        <f>IF(MIN(Class_0!J54,Class_1!J54,Class_2!J54) &gt;0, CHAR(43), CHAR(45))</f>
        <v>+</v>
      </c>
      <c r="N107" s="14" t="str">
        <f>IF(MIN(Class_0!K54,Class_1!K54,Class_2!K54) &gt;0, CHAR(43), CHAR(45))</f>
        <v>-</v>
      </c>
      <c r="O107" s="14" t="str">
        <f>IF(MIN(Class_0!L54,Class_1!L54,Class_2!L54) &gt;0, CHAR(43), CHAR(45))</f>
        <v>-</v>
      </c>
      <c r="P107" s="14" t="str">
        <f>IF(MIN(Class_0!M54,Class_1!M54,Class_2!M54) &gt;0, CHAR(43), CHAR(45))</f>
        <v>-</v>
      </c>
      <c r="Q107" s="14" t="str">
        <f>IF(MIN(Class_0!N54,Class_1!N54,Class_2!N54) &gt;0, CHAR(43), CHAR(45))</f>
        <v>-</v>
      </c>
      <c r="R107" s="14" t="str">
        <f>IF(MIN(Class_0!O54,Class_1!O54,Class_2!O54) &gt;0, CHAR(43), CHAR(45))</f>
        <v>-</v>
      </c>
      <c r="S107" s="14" t="str">
        <f>IF(MIN(Class_0!P54,Class_1!P54,Class_2!P54) &gt;0, CHAR(43), CHAR(45))</f>
        <v>-</v>
      </c>
      <c r="T107" s="14" t="str">
        <f>IF(MIN(Class_0!Q54,Class_1!Q54,Class_2!Q54) &gt;0, CHAR(43), CHAR(45))</f>
        <v>-</v>
      </c>
      <c r="U107" s="14" t="str">
        <f>IF(MIN(Class_0!R54,Class_1!R54,Class_2!R54) &gt;0, CHAR(43), CHAR(45))</f>
        <v>+</v>
      </c>
      <c r="V107" s="14" t="str">
        <f>IF(MIN(Class_0!S54,Class_1!S54,Class_2!S54) &gt;0, CHAR(43), CHAR(45))</f>
        <v>-</v>
      </c>
      <c r="W107" s="14" t="str">
        <f>IF(MIN(Class_0!T54,Class_1!T54,Class_2!T54) &gt;0, CHAR(43), CHAR(45))</f>
        <v>+</v>
      </c>
      <c r="X107" s="14" t="str">
        <f>IF(MIN(Class_0!U54,Class_1!U54,Class_2!U54) &gt;0, CHAR(43), CHAR(45))</f>
        <v>-</v>
      </c>
      <c r="Y107" s="14" t="str">
        <f>IF(MIN(Class_0!V54,Class_1!V54,Class_2!V54) &gt;0, CHAR(43), CHAR(45))</f>
        <v>+</v>
      </c>
      <c r="Z107" s="14" t="str">
        <f>IF(MIN(Class_0!W54,Class_1!W54,Class_2!W54) &gt;0, CHAR(43), CHAR(45))</f>
        <v>+</v>
      </c>
      <c r="AA107" s="14" t="str">
        <f>IF(MIN(Class_0!X54,Class_1!X54,Class_2!X54) &gt;0, CHAR(43), CHAR(45))</f>
        <v>-</v>
      </c>
      <c r="AB107" s="14" t="str">
        <f>IF(MIN(Class_0!Y54,Class_1!Y54,Class_2!Y54) &gt;0, CHAR(43), CHAR(45))</f>
        <v>+</v>
      </c>
      <c r="AC107" s="14" t="str">
        <f>IF(MIN(Class_0!Z54,Class_1!Z54,Class_2!Z54) &gt;0, CHAR(43), CHAR(45))</f>
        <v>+</v>
      </c>
      <c r="AD107" s="14" t="str">
        <f>IF(MIN(Class_0!AA54,Class_1!AA54,Class_2!AA54) &gt;0, CHAR(43), CHAR(45))</f>
        <v>-</v>
      </c>
      <c r="AE107" s="14" t="str">
        <f>IF(MIN(Class_0!AB54,Class_1!AB54,Class_2!AB54) &gt;0, CHAR(43), CHAR(45))</f>
        <v>-</v>
      </c>
      <c r="AF107" s="14" t="str">
        <f>IF(MIN(Class_0!AC54,Class_1!AC54,Class_2!AC54) &gt;0, CHAR(43), CHAR(45))</f>
        <v>+</v>
      </c>
      <c r="AG107" s="14" t="str">
        <f>IF(MIN(Class_0!AD54,Class_1!AD54,Class_2!AD54) &gt;0, CHAR(43), CHAR(45))</f>
        <v>+</v>
      </c>
      <c r="AH107" s="14" t="str">
        <f>IF(MIN(Class_0!AE54,Class_1!AE54,Class_2!AE54) &gt;0, CHAR(43), CHAR(45))</f>
        <v>+</v>
      </c>
      <c r="AI107" s="14" t="str">
        <f>IF(MIN(Class_0!AF54,Class_1!AF54,Class_2!AF54) &gt;0, CHAR(43), CHAR(45))</f>
        <v>+</v>
      </c>
      <c r="AJ107" s="14" t="str">
        <f>IF(MIN(Class_0!AG54,Class_1!AG54,Class_2!AG54) &gt;0, CHAR(43), CHAR(45))</f>
        <v>+</v>
      </c>
      <c r="AK107" s="14" t="str">
        <f>IF(MIN(Class_0!AH54,Class_1!AH54,Class_2!AH54) &gt;0, CHAR(43), CHAR(45))</f>
        <v>+</v>
      </c>
      <c r="AL107" s="14" t="str">
        <f>IF(MIN(Class_0!AI54,Class_1!AI54,Class_2!AI54) &gt;0, CHAR(43), CHAR(45))</f>
        <v>+</v>
      </c>
      <c r="AM107" s="14" t="str">
        <f>IF(MIN(Class_0!AJ54,Class_1!AJ54,Class_2!AJ54) &gt;0, CHAR(43), CHAR(45))</f>
        <v>-</v>
      </c>
      <c r="AN107" s="14" t="str">
        <f>IF(MIN(Class_0!AK54,Class_1!AK54,Class_2!AK54) &gt;0, CHAR(43), CHAR(45))</f>
        <v>+</v>
      </c>
      <c r="AO107" s="14" t="str">
        <f>IF(MIN(Class_0!AL54,Class_1!AL54,Class_2!AL54) &gt;0, CHAR(43), CHAR(45))</f>
        <v>+</v>
      </c>
      <c r="AP107" s="14" t="str">
        <f>IF(MIN(Class_0!AM54,Class_1!AM54,Class_2!AM54) &gt;0, CHAR(43), CHAR(45))</f>
        <v>+</v>
      </c>
      <c r="AQ107" s="14" t="str">
        <f>IF(MIN(Class_0!AN54,Class_1!AN54,Class_2!AN54) &gt;0, CHAR(43), CHAR(45))</f>
        <v>+</v>
      </c>
      <c r="AR107" s="14" t="str">
        <f>IF(MIN(Class_0!AO54,Class_1!AO54,Class_2!AO54) &gt;0, CHAR(43), CHAR(45))</f>
        <v>+</v>
      </c>
      <c r="AS107" s="14" t="str">
        <f>IF(MIN(Class_0!AP54,Class_1!AP54,Class_2!AP54) &gt;0, CHAR(43), CHAR(45))</f>
        <v>+</v>
      </c>
      <c r="AT107" s="14" t="str">
        <f>IF(MIN(Class_0!AQ54,Class_1!AQ54,Class_2!AQ54) &gt;0, CHAR(43), CHAR(45))</f>
        <v>-</v>
      </c>
      <c r="AU107" s="14" t="str">
        <f>IF(MIN(Class_0!AR54,Class_1!AR54,Class_2!AR54) &gt;0, CHAR(43), CHAR(45))</f>
        <v>+</v>
      </c>
      <c r="AV107" s="14" t="str">
        <f>IF(MIN(Class_0!AS54,Class_1!AS54,Class_2!AS54) &gt;0, CHAR(43), CHAR(45))</f>
        <v>+</v>
      </c>
      <c r="AW107" s="14" t="str">
        <f>IF(MIN(Class_0!AT54,Class_1!AT54,Class_2!AT54) &gt;0, CHAR(43), CHAR(45))</f>
        <v>+</v>
      </c>
      <c r="AX107" s="14" t="str">
        <f>IF(MIN(Class_0!AU54,Class_1!AU54,Class_2!AU54) &gt;0, CHAR(43), CHAR(45))</f>
        <v>+</v>
      </c>
      <c r="AY107" s="14" t="str">
        <f>IF(MIN(Class_0!AV54,Class_1!AV54,Class_2!AV54) &gt;0, CHAR(43), CHAR(45))</f>
        <v>-</v>
      </c>
      <c r="AZ107" s="14" t="str">
        <f>IF(MIN(Class_0!AW54,Class_1!AW54,Class_2!AW54) &gt;0, CHAR(43), CHAR(45))</f>
        <v>+</v>
      </c>
      <c r="BA107" s="14" t="str">
        <f>IF(MIN(Class_0!AX54,Class_1!AX54,Class_2!AX54) &gt;0, CHAR(43), CHAR(45))</f>
        <v>-</v>
      </c>
      <c r="BB107" s="14" t="str">
        <f>IF(MIN(Class_0!AY54,Class_1!AY54,Class_2!AY54) &gt;0, CHAR(43), CHAR(45))</f>
        <v>-</v>
      </c>
      <c r="BC107" s="14" t="str">
        <f>IF(MIN(Class_0!AZ54,Class_1!AZ54,Class_2!AZ54) &gt;0, CHAR(43), CHAR(45))</f>
        <v>+</v>
      </c>
      <c r="BD107" s="14" t="str">
        <f>IF(MIN(Class_0!BA54,Class_1!BA54,Class_2!BA54) &gt;0, CHAR(43), CHAR(45))</f>
        <v>+</v>
      </c>
      <c r="BE107" s="14" t="str">
        <f>IF(MIN(Class_0!BB54,Class_1!BB54,Class_2!BB54) &gt;0, CHAR(43), CHAR(45))</f>
        <v>+</v>
      </c>
      <c r="BF107" s="15"/>
    </row>
    <row r="108" spans="3:58" ht="15" thickBot="1" x14ac:dyDescent="0.4">
      <c r="C108" s="16" t="s">
        <v>150</v>
      </c>
      <c r="D108" s="17">
        <f t="shared" si="6"/>
        <v>54</v>
      </c>
      <c r="E108" s="18" t="str">
        <f>IF(MIN(Class_0!B55,Class_1!B55,Class_2!B55) &gt;0, CHAR(43), CHAR(45))</f>
        <v>-</v>
      </c>
      <c r="F108" s="18" t="str">
        <f>IF(MIN(Class_0!C55,Class_1!C55,Class_2!C55) &gt;0, CHAR(43), CHAR(45))</f>
        <v>-</v>
      </c>
      <c r="G108" s="18" t="str">
        <f>IF(MIN(Class_0!D55,Class_1!D55,Class_2!D55) &gt;0, CHAR(43), CHAR(45))</f>
        <v>-</v>
      </c>
      <c r="H108" s="18" t="str">
        <f>IF(MIN(Class_0!E55,Class_1!E55,Class_2!E55) &gt;0, CHAR(43), CHAR(45))</f>
        <v>-</v>
      </c>
      <c r="I108" s="18" t="str">
        <f>IF(MIN(Class_0!F55,Class_1!F55,Class_2!F55) &gt;0, CHAR(43), CHAR(45))</f>
        <v>-</v>
      </c>
      <c r="J108" s="18" t="str">
        <f>IF(MIN(Class_0!G55,Class_1!G55,Class_2!G55) &gt;0, CHAR(43), CHAR(45))</f>
        <v>-</v>
      </c>
      <c r="K108" s="18" t="str">
        <f>IF(MIN(Class_0!H55,Class_1!H55,Class_2!H55) &gt;0, CHAR(43), CHAR(45))</f>
        <v>-</v>
      </c>
      <c r="L108" s="18" t="str">
        <f>IF(MIN(Class_0!I55,Class_1!I55,Class_2!I55) &gt;0, CHAR(43), CHAR(45))</f>
        <v>+</v>
      </c>
      <c r="M108" s="18" t="str">
        <f>IF(MIN(Class_0!J55,Class_1!J55,Class_2!J55) &gt;0, CHAR(43), CHAR(45))</f>
        <v>+</v>
      </c>
      <c r="N108" s="18" t="str">
        <f>IF(MIN(Class_0!K55,Class_1!K55,Class_2!K55) &gt;0, CHAR(43), CHAR(45))</f>
        <v>-</v>
      </c>
      <c r="O108" s="18" t="str">
        <f>IF(MIN(Class_0!L55,Class_1!L55,Class_2!L55) &gt;0, CHAR(43), CHAR(45))</f>
        <v>-</v>
      </c>
      <c r="P108" s="18" t="str">
        <f>IF(MIN(Class_0!M55,Class_1!M55,Class_2!M55) &gt;0, CHAR(43), CHAR(45))</f>
        <v>-</v>
      </c>
      <c r="Q108" s="18" t="str">
        <f>IF(MIN(Class_0!N55,Class_1!N55,Class_2!N55) &gt;0, CHAR(43), CHAR(45))</f>
        <v>-</v>
      </c>
      <c r="R108" s="18" t="str">
        <f>IF(MIN(Class_0!O55,Class_1!O55,Class_2!O55) &gt;0, CHAR(43), CHAR(45))</f>
        <v>+</v>
      </c>
      <c r="S108" s="18" t="str">
        <f>IF(MIN(Class_0!P55,Class_1!P55,Class_2!P55) &gt;0, CHAR(43), CHAR(45))</f>
        <v>-</v>
      </c>
      <c r="T108" s="18" t="str">
        <f>IF(MIN(Class_0!Q55,Class_1!Q55,Class_2!Q55) &gt;0, CHAR(43), CHAR(45))</f>
        <v>-</v>
      </c>
      <c r="U108" s="18" t="str">
        <f>IF(MIN(Class_0!R55,Class_1!R55,Class_2!R55) &gt;0, CHAR(43), CHAR(45))</f>
        <v>-</v>
      </c>
      <c r="V108" s="18" t="str">
        <f>IF(MIN(Class_0!S55,Class_1!S55,Class_2!S55) &gt;0, CHAR(43), CHAR(45))</f>
        <v>-</v>
      </c>
      <c r="W108" s="18" t="str">
        <f>IF(MIN(Class_0!T55,Class_1!T55,Class_2!T55) &gt;0, CHAR(43), CHAR(45))</f>
        <v>+</v>
      </c>
      <c r="X108" s="18" t="str">
        <f>IF(MIN(Class_0!U55,Class_1!U55,Class_2!U55) &gt;0, CHAR(43), CHAR(45))</f>
        <v>+</v>
      </c>
      <c r="Y108" s="18" t="str">
        <f>IF(MIN(Class_0!V55,Class_1!V55,Class_2!V55) &gt;0, CHAR(43), CHAR(45))</f>
        <v>-</v>
      </c>
      <c r="Z108" s="18" t="str">
        <f>IF(MIN(Class_0!W55,Class_1!W55,Class_2!W55) &gt;0, CHAR(43), CHAR(45))</f>
        <v>+</v>
      </c>
      <c r="AA108" s="18" t="str">
        <f>IF(MIN(Class_0!X55,Class_1!X55,Class_2!X55) &gt;0, CHAR(43), CHAR(45))</f>
        <v>+</v>
      </c>
      <c r="AB108" s="18" t="str">
        <f>IF(MIN(Class_0!Y55,Class_1!Y55,Class_2!Y55) &gt;0, CHAR(43), CHAR(45))</f>
        <v>+</v>
      </c>
      <c r="AC108" s="18" t="str">
        <f>IF(MIN(Class_0!Z55,Class_1!Z55,Class_2!Z55) &gt;0, CHAR(43), CHAR(45))</f>
        <v>-</v>
      </c>
      <c r="AD108" s="18" t="str">
        <f>IF(MIN(Class_0!AA55,Class_1!AA55,Class_2!AA55) &gt;0, CHAR(43), CHAR(45))</f>
        <v>-</v>
      </c>
      <c r="AE108" s="18" t="str">
        <f>IF(MIN(Class_0!AB55,Class_1!AB55,Class_2!AB55) &gt;0, CHAR(43), CHAR(45))</f>
        <v>+</v>
      </c>
      <c r="AF108" s="18" t="str">
        <f>IF(MIN(Class_0!AC55,Class_1!AC55,Class_2!AC55) &gt;0, CHAR(43), CHAR(45))</f>
        <v>+</v>
      </c>
      <c r="AG108" s="18" t="str">
        <f>IF(MIN(Class_0!AD55,Class_1!AD55,Class_2!AD55) &gt;0, CHAR(43), CHAR(45))</f>
        <v>+</v>
      </c>
      <c r="AH108" s="18" t="str">
        <f>IF(MIN(Class_0!AE55,Class_1!AE55,Class_2!AE55) &gt;0, CHAR(43), CHAR(45))</f>
        <v>+</v>
      </c>
      <c r="AI108" s="18" t="str">
        <f>IF(MIN(Class_0!AF55,Class_1!AF55,Class_2!AF55) &gt;0, CHAR(43), CHAR(45))</f>
        <v>-</v>
      </c>
      <c r="AJ108" s="18" t="str">
        <f>IF(MIN(Class_0!AG55,Class_1!AG55,Class_2!AG55) &gt;0, CHAR(43), CHAR(45))</f>
        <v>+</v>
      </c>
      <c r="AK108" s="18" t="str">
        <f>IF(MIN(Class_0!AH55,Class_1!AH55,Class_2!AH55) &gt;0, CHAR(43), CHAR(45))</f>
        <v>+</v>
      </c>
      <c r="AL108" s="18" t="str">
        <f>IF(MIN(Class_0!AI55,Class_1!AI55,Class_2!AI55) &gt;0, CHAR(43), CHAR(45))</f>
        <v>-</v>
      </c>
      <c r="AM108" s="18" t="str">
        <f>IF(MIN(Class_0!AJ55,Class_1!AJ55,Class_2!AJ55) &gt;0, CHAR(43), CHAR(45))</f>
        <v>-</v>
      </c>
      <c r="AN108" s="18" t="str">
        <f>IF(MIN(Class_0!AK55,Class_1!AK55,Class_2!AK55) &gt;0, CHAR(43), CHAR(45))</f>
        <v>+</v>
      </c>
      <c r="AO108" s="18" t="str">
        <f>IF(MIN(Class_0!AL55,Class_1!AL55,Class_2!AL55) &gt;0, CHAR(43), CHAR(45))</f>
        <v>+</v>
      </c>
      <c r="AP108" s="18" t="str">
        <f>IF(MIN(Class_0!AM55,Class_1!AM55,Class_2!AM55) &gt;0, CHAR(43), CHAR(45))</f>
        <v>+</v>
      </c>
      <c r="AQ108" s="18" t="str">
        <f>IF(MIN(Class_0!AN55,Class_1!AN55,Class_2!AN55) &gt;0, CHAR(43), CHAR(45))</f>
        <v>+</v>
      </c>
      <c r="AR108" s="18" t="str">
        <f>IF(MIN(Class_0!AO55,Class_1!AO55,Class_2!AO55) &gt;0, CHAR(43), CHAR(45))</f>
        <v>+</v>
      </c>
      <c r="AS108" s="18" t="str">
        <f>IF(MIN(Class_0!AP55,Class_1!AP55,Class_2!AP55) &gt;0, CHAR(43), CHAR(45))</f>
        <v>+</v>
      </c>
      <c r="AT108" s="18" t="str">
        <f>IF(MIN(Class_0!AQ55,Class_1!AQ55,Class_2!AQ55) &gt;0, CHAR(43), CHAR(45))</f>
        <v>-</v>
      </c>
      <c r="AU108" s="18" t="str">
        <f>IF(MIN(Class_0!AR55,Class_1!AR55,Class_2!AR55) &gt;0, CHAR(43), CHAR(45))</f>
        <v>-</v>
      </c>
      <c r="AV108" s="18" t="str">
        <f>IF(MIN(Class_0!AS55,Class_1!AS55,Class_2!AS55) &gt;0, CHAR(43), CHAR(45))</f>
        <v>+</v>
      </c>
      <c r="AW108" s="18" t="str">
        <f>IF(MIN(Class_0!AT55,Class_1!AT55,Class_2!AT55) &gt;0, CHAR(43), CHAR(45))</f>
        <v>+</v>
      </c>
      <c r="AX108" s="18" t="str">
        <f>IF(MIN(Class_0!AU55,Class_1!AU55,Class_2!AU55) &gt;0, CHAR(43), CHAR(45))</f>
        <v>+</v>
      </c>
      <c r="AY108" s="18" t="str">
        <f>IF(MIN(Class_0!AV55,Class_1!AV55,Class_2!AV55) &gt;0, CHAR(43), CHAR(45))</f>
        <v>+</v>
      </c>
      <c r="AZ108" s="18" t="str">
        <f>IF(MIN(Class_0!AW55,Class_1!AW55,Class_2!AW55) &gt;0, CHAR(43), CHAR(45))</f>
        <v>+</v>
      </c>
      <c r="BA108" s="18" t="str">
        <f>IF(MIN(Class_0!AX55,Class_1!AX55,Class_2!AX55) &gt;0, CHAR(43), CHAR(45))</f>
        <v>+</v>
      </c>
      <c r="BB108" s="18" t="str">
        <f>IF(MIN(Class_0!AY55,Class_1!AY55,Class_2!AY55) &gt;0, CHAR(43), CHAR(45))</f>
        <v>+</v>
      </c>
      <c r="BC108" s="18" t="str">
        <f>IF(MIN(Class_0!AZ55,Class_1!AZ55,Class_2!AZ55) &gt;0, CHAR(43), CHAR(45))</f>
        <v>+</v>
      </c>
      <c r="BD108" s="18" t="str">
        <f>IF(MIN(Class_0!BA55,Class_1!BA55,Class_2!BA55) &gt;0, CHAR(43), CHAR(45))</f>
        <v>+</v>
      </c>
      <c r="BE108" s="18" t="str">
        <f>IF(MIN(Class_0!BB55,Class_1!BB55,Class_2!BB55) &gt;0, CHAR(43), CHAR(45))</f>
        <v>+</v>
      </c>
      <c r="BF108" s="19" t="str">
        <f>IF(MIN(Class_0!BC55,Class_1!BC55,Class_2!BC55) &gt;0, CHAR(43), CHAR(45))</f>
        <v>+</v>
      </c>
    </row>
    <row r="109" spans="3:58" x14ac:dyDescent="0.35"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</row>
  </sheetData>
  <conditionalFormatting sqref="B6:BB6">
    <cfRule type="cellIs" dxfId="4" priority="5" operator="greaterThan">
      <formula>0</formula>
    </cfRule>
  </conditionalFormatting>
  <conditionalFormatting sqref="B7:BB7">
    <cfRule type="cellIs" dxfId="3" priority="4" operator="equal">
      <formula>TRUE</formula>
    </cfRule>
  </conditionalFormatting>
  <conditionalFormatting sqref="B9:BB9">
    <cfRule type="cellIs" dxfId="2" priority="3" operator="equal">
      <formula>TRUE</formula>
    </cfRule>
  </conditionalFormatting>
  <conditionalFormatting sqref="E56:BF109">
    <cfRule type="cellIs" dxfId="1" priority="1" operator="equal">
      <formula>"-"</formula>
    </cfRule>
    <cfRule type="cellIs" dxfId="0" priority="2" operator="equal">
      <formula>"+"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55"/>
  <sheetViews>
    <sheetView workbookViewId="0">
      <selection activeCell="A2" sqref="A2:A55"/>
    </sheetView>
  </sheetViews>
  <sheetFormatPr defaultRowHeight="14.5" x14ac:dyDescent="0.35"/>
  <sheetData>
    <row r="1" spans="1:5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35">
      <c r="A2" s="1" t="s">
        <v>0</v>
      </c>
      <c r="B2">
        <v>1</v>
      </c>
      <c r="C2">
        <v>0.14880623111701469</v>
      </c>
      <c r="D2">
        <v>7.7711916766638883E-2</v>
      </c>
      <c r="E2">
        <v>0.1034990927334494</v>
      </c>
      <c r="F2">
        <v>5.6296968533679118E-2</v>
      </c>
      <c r="G2">
        <v>0.23077247402145959</v>
      </c>
      <c r="H2">
        <v>0.145052392268226</v>
      </c>
      <c r="I2">
        <v>9.0773174575819335E-2</v>
      </c>
      <c r="J2">
        <v>7.552885041198644E-2</v>
      </c>
      <c r="K2">
        <v>7.5589022985201093E-2</v>
      </c>
      <c r="L2">
        <v>4.9009402081044387E-2</v>
      </c>
      <c r="M2">
        <v>-2.6164688091622049E-2</v>
      </c>
      <c r="N2">
        <v>5.7971324026432312E-2</v>
      </c>
      <c r="O2">
        <v>1.766600060954681E-2</v>
      </c>
      <c r="P2">
        <v>-4.5791747773243578E-3</v>
      </c>
      <c r="Q2">
        <v>6.5661045783975885E-2</v>
      </c>
      <c r="R2">
        <v>9.0445627665326142E-2</v>
      </c>
      <c r="S2">
        <v>4.4771655680628443E-2</v>
      </c>
      <c r="T2">
        <v>5.0360063486709662E-3</v>
      </c>
      <c r="U2">
        <v>-5.3140244978910197E-3</v>
      </c>
      <c r="V2">
        <v>3.8391652669122277E-2</v>
      </c>
      <c r="W2">
        <v>1.684594960390827E-2</v>
      </c>
      <c r="X2">
        <v>8.2270203169502558E-3</v>
      </c>
      <c r="Y2">
        <v>1.881617891103543E-2</v>
      </c>
      <c r="Z2">
        <v>8.7416475667496472E-3</v>
      </c>
      <c r="AA2">
        <v>-1.3142896011452329E-3</v>
      </c>
      <c r="AB2">
        <v>-1.6306052970605711E-3</v>
      </c>
      <c r="AC2">
        <v>-1.5659250907355961E-2</v>
      </c>
      <c r="AD2">
        <v>-1.1661815466005789E-3</v>
      </c>
      <c r="AE2">
        <v>1.6109129146532852E-2</v>
      </c>
      <c r="AF2">
        <v>1.096675866690556E-2</v>
      </c>
      <c r="AG2">
        <v>-2.5043847724662029E-2</v>
      </c>
      <c r="AH2">
        <v>5.8859446378979018E-3</v>
      </c>
      <c r="AI2">
        <v>-8.2420877639449008E-3</v>
      </c>
      <c r="AJ2">
        <v>-5.3703722549037471E-2</v>
      </c>
      <c r="AK2">
        <v>-4.3444697673685917E-2</v>
      </c>
      <c r="AL2">
        <v>-7.2411022038378223E-2</v>
      </c>
      <c r="AM2">
        <v>-5.417094346891152E-2</v>
      </c>
      <c r="AN2">
        <v>-2.3968651256508211E-2</v>
      </c>
      <c r="AO2">
        <v>-1.7641427887868509E-2</v>
      </c>
      <c r="AP2">
        <v>-4.7779625072464143E-3</v>
      </c>
      <c r="AQ2">
        <v>-4.2186816895829201E-4</v>
      </c>
      <c r="AR2">
        <v>3.7039121417919381E-2</v>
      </c>
      <c r="AS2">
        <v>1.5345328650953321E-2</v>
      </c>
      <c r="AT2">
        <v>2.643353284488003E-2</v>
      </c>
      <c r="AU2">
        <v>4.1510336634821572E-2</v>
      </c>
      <c r="AV2">
        <v>2.0060859873308429E-2</v>
      </c>
      <c r="AW2">
        <v>-1.656230812471483E-2</v>
      </c>
      <c r="AX2">
        <v>3.1729450408982077E-2</v>
      </c>
      <c r="AY2">
        <v>1.8844404453487971E-2</v>
      </c>
      <c r="AZ2">
        <v>1.8258884914912111E-2</v>
      </c>
      <c r="BA2">
        <v>2.3751064351141441E-2</v>
      </c>
      <c r="BB2">
        <v>4.4399664909318348E-2</v>
      </c>
      <c r="BC2">
        <v>-3.9205289864607543E-2</v>
      </c>
    </row>
    <row r="3" spans="1:55" x14ac:dyDescent="0.35">
      <c r="A3" s="1" t="s">
        <v>1</v>
      </c>
      <c r="B3">
        <v>0.14880623111701469</v>
      </c>
      <c r="C3">
        <v>1</v>
      </c>
      <c r="D3">
        <v>0.72475925271086117</v>
      </c>
      <c r="E3">
        <v>0.56427421888205664</v>
      </c>
      <c r="F3">
        <v>0.47874986513055462</v>
      </c>
      <c r="G3">
        <v>0.77061615342136425</v>
      </c>
      <c r="H3">
        <v>0.19106751533209301</v>
      </c>
      <c r="I3">
        <v>1.4608439336808471E-2</v>
      </c>
      <c r="J3">
        <v>-8.7929299790749704E-2</v>
      </c>
      <c r="K3">
        <v>0.14165933658387761</v>
      </c>
      <c r="L3">
        <v>0.1383595771494455</v>
      </c>
      <c r="M3">
        <v>8.2801826948567803E-2</v>
      </c>
      <c r="N3">
        <v>8.5980298222592177E-2</v>
      </c>
      <c r="O3">
        <v>-0.13628193657838261</v>
      </c>
      <c r="P3">
        <v>3.143344634149689E-2</v>
      </c>
      <c r="Q3">
        <v>0.53118140272354741</v>
      </c>
      <c r="R3">
        <v>0.29551021540379951</v>
      </c>
      <c r="S3">
        <v>0.29777456841714051</v>
      </c>
      <c r="T3">
        <v>0.2140397826686358</v>
      </c>
      <c r="U3">
        <v>6.3230964547365417E-2</v>
      </c>
      <c r="V3">
        <v>7.1175746166043385E-2</v>
      </c>
      <c r="W3">
        <v>-4.2387132071062171E-2</v>
      </c>
      <c r="X3">
        <v>-8.9644338288791675E-2</v>
      </c>
      <c r="Y3">
        <v>-4.0915679573472662E-2</v>
      </c>
      <c r="Z3">
        <v>-9.9837750051147041E-3</v>
      </c>
      <c r="AA3">
        <v>-9.5072654876959654E-4</v>
      </c>
      <c r="AB3">
        <v>-0.14334956116458841</v>
      </c>
      <c r="AC3">
        <v>-9.3931131464656398E-2</v>
      </c>
      <c r="AD3">
        <v>7.1480027664814816E-2</v>
      </c>
      <c r="AE3">
        <v>-5.5447990369465031E-2</v>
      </c>
      <c r="AF3">
        <v>-2.2373374058795858E-2</v>
      </c>
      <c r="AG3">
        <v>-0.1160608642324439</v>
      </c>
      <c r="AH3">
        <v>-9.2821540024000226E-2</v>
      </c>
      <c r="AI3">
        <v>-0.1041016414895591</v>
      </c>
      <c r="AJ3">
        <v>-0.18503986522303639</v>
      </c>
      <c r="AK3">
        <v>-0.1115449916791179</v>
      </c>
      <c r="AL3">
        <v>-5.507422718648592E-2</v>
      </c>
      <c r="AM3">
        <v>-0.21086692002954499</v>
      </c>
      <c r="AN3">
        <v>-0.12056457522999819</v>
      </c>
      <c r="AO3">
        <v>-0.17601689676125579</v>
      </c>
      <c r="AP3">
        <v>-0.1448971957661136</v>
      </c>
      <c r="AQ3">
        <v>-0.182331333756411</v>
      </c>
      <c r="AR3">
        <v>-0.15032473454486389</v>
      </c>
      <c r="AS3">
        <v>-3.7483680846402551E-2</v>
      </c>
      <c r="AT3">
        <v>1.342367264869178E-2</v>
      </c>
      <c r="AU3">
        <v>-3.2738345753597187E-2</v>
      </c>
      <c r="AV3">
        <v>-2.66668668515881E-2</v>
      </c>
      <c r="AW3">
        <v>-0.1205986466451861</v>
      </c>
      <c r="AX3">
        <v>-6.0704669385286091E-2</v>
      </c>
      <c r="AY3">
        <v>1.7365221944974859E-2</v>
      </c>
      <c r="AZ3">
        <v>5.5189766719908613E-2</v>
      </c>
      <c r="BA3">
        <v>4.2225822770006173E-2</v>
      </c>
      <c r="BB3">
        <v>-5.0423237574258588E-2</v>
      </c>
      <c r="BC3">
        <v>-0.20959560481224809</v>
      </c>
    </row>
    <row r="4" spans="1:55" x14ac:dyDescent="0.35">
      <c r="A4" s="1" t="s">
        <v>2</v>
      </c>
      <c r="B4">
        <v>7.7711916766638883E-2</v>
      </c>
      <c r="C4">
        <v>0.72475925271086117</v>
      </c>
      <c r="D4">
        <v>1</v>
      </c>
      <c r="E4">
        <v>0.60726862458117081</v>
      </c>
      <c r="F4">
        <v>0.5398686331312339</v>
      </c>
      <c r="G4">
        <v>0.58052639400840822</v>
      </c>
      <c r="H4">
        <v>0.2248230478048123</v>
      </c>
      <c r="I4">
        <v>7.5834897786189445E-2</v>
      </c>
      <c r="J4">
        <v>-2.7820086495019339E-2</v>
      </c>
      <c r="K4">
        <v>0.15951892129022999</v>
      </c>
      <c r="L4">
        <v>0.1334718186728826</v>
      </c>
      <c r="M4">
        <v>8.9325733280068258E-3</v>
      </c>
      <c r="N4">
        <v>5.1408166997777942E-2</v>
      </c>
      <c r="O4">
        <v>-0.13600556326092419</v>
      </c>
      <c r="P4">
        <v>-3.5311786368485441E-2</v>
      </c>
      <c r="Q4">
        <v>0.43866639866870932</v>
      </c>
      <c r="R4">
        <v>0.2491905867494644</v>
      </c>
      <c r="S4">
        <v>0.25305052451112159</v>
      </c>
      <c r="T4">
        <v>0.21360557770817931</v>
      </c>
      <c r="U4">
        <v>4.6409996514671037E-2</v>
      </c>
      <c r="V4">
        <v>8.9349743572499335E-2</v>
      </c>
      <c r="W4">
        <v>-3.6992534379053331E-2</v>
      </c>
      <c r="X4">
        <v>-3.849076810565738E-2</v>
      </c>
      <c r="Y4">
        <v>-1.757761171251282E-2</v>
      </c>
      <c r="Z4">
        <v>-6.2844981090254496E-3</v>
      </c>
      <c r="AA4">
        <v>-4.2117884791579047E-2</v>
      </c>
      <c r="AB4">
        <v>-0.13582931932664291</v>
      </c>
      <c r="AC4">
        <v>-0.1058809673600961</v>
      </c>
      <c r="AD4">
        <v>6.2770955890229518E-2</v>
      </c>
      <c r="AE4">
        <v>-5.3631871965451189E-2</v>
      </c>
      <c r="AF4">
        <v>-2.0235493080845528E-2</v>
      </c>
      <c r="AG4">
        <v>-0.1021200861352129</v>
      </c>
      <c r="AH4">
        <v>-9.6065563477497326E-2</v>
      </c>
      <c r="AI4">
        <v>-0.1120087964119498</v>
      </c>
      <c r="AJ4">
        <v>-0.19079597205219731</v>
      </c>
      <c r="AK4">
        <v>-0.10040549286583909</v>
      </c>
      <c r="AL4">
        <v>-3.544809165293681E-2</v>
      </c>
      <c r="AM4">
        <v>-0.18683780871266231</v>
      </c>
      <c r="AN4">
        <v>-0.1175328488308227</v>
      </c>
      <c r="AO4">
        <v>-0.16443342252134391</v>
      </c>
      <c r="AP4">
        <v>-0.1241948658620019</v>
      </c>
      <c r="AQ4">
        <v>-0.20002414537678989</v>
      </c>
      <c r="AR4">
        <v>-0.13251782752043309</v>
      </c>
      <c r="AS4">
        <v>-3.1319403652008228E-2</v>
      </c>
      <c r="AT4">
        <v>-6.6868287470980961E-2</v>
      </c>
      <c r="AU4">
        <v>-5.2270902300736798E-2</v>
      </c>
      <c r="AV4">
        <v>-2.0061459648032941E-3</v>
      </c>
      <c r="AW4">
        <v>-9.5061255316484905E-2</v>
      </c>
      <c r="AX4">
        <v>-8.0374501434526836E-3</v>
      </c>
      <c r="AY4">
        <v>1.022706385082243E-2</v>
      </c>
      <c r="AZ4">
        <v>4.3079740123751938E-2</v>
      </c>
      <c r="BA4">
        <v>7.0377555628558311E-2</v>
      </c>
      <c r="BB4">
        <v>-2.2880369827308421E-2</v>
      </c>
      <c r="BC4">
        <v>-0.1673342218938704</v>
      </c>
    </row>
    <row r="5" spans="1:55" x14ac:dyDescent="0.35">
      <c r="A5" s="1" t="s">
        <v>3</v>
      </c>
      <c r="B5">
        <v>0.1034990927334494</v>
      </c>
      <c r="C5">
        <v>0.56427421888205664</v>
      </c>
      <c r="D5">
        <v>0.60726862458117081</v>
      </c>
      <c r="E5">
        <v>1</v>
      </c>
      <c r="F5">
        <v>0.64507603280831982</v>
      </c>
      <c r="G5">
        <v>0.444182263379926</v>
      </c>
      <c r="H5">
        <v>0.17523286714036321</v>
      </c>
      <c r="I5">
        <v>0.12708092910229821</v>
      </c>
      <c r="J5">
        <v>1.9588006129050421E-2</v>
      </c>
      <c r="K5">
        <v>0.1206798017143856</v>
      </c>
      <c r="L5">
        <v>0.1135492147507328</v>
      </c>
      <c r="M5">
        <v>4.8165044014855947E-2</v>
      </c>
      <c r="N5">
        <v>0.12584292133134911</v>
      </c>
      <c r="O5">
        <v>-0.12865825645573209</v>
      </c>
      <c r="P5">
        <v>-2.517237885975282E-2</v>
      </c>
      <c r="Q5">
        <v>0.37935986589989112</v>
      </c>
      <c r="R5">
        <v>0.24431603502558349</v>
      </c>
      <c r="S5">
        <v>0.2124501856926044</v>
      </c>
      <c r="T5">
        <v>0.1661254878523202</v>
      </c>
      <c r="U5">
        <v>1.6384696515290141E-2</v>
      </c>
      <c r="V5">
        <v>2.2110877649740259E-2</v>
      </c>
      <c r="W5">
        <v>-1.9761986984590259E-2</v>
      </c>
      <c r="X5">
        <v>-1.1932918522544919E-2</v>
      </c>
      <c r="Y5">
        <v>2.3497566702747842E-3</v>
      </c>
      <c r="Z5">
        <v>7.6191977653030271E-5</v>
      </c>
      <c r="AA5">
        <v>-8.4414383791295983E-3</v>
      </c>
      <c r="AB5">
        <v>-0.13098497449069299</v>
      </c>
      <c r="AC5">
        <v>-9.8412123369322493E-2</v>
      </c>
      <c r="AD5">
        <v>5.7897118445917162E-2</v>
      </c>
      <c r="AE5">
        <v>-1.058322543848556E-2</v>
      </c>
      <c r="AF5">
        <v>-2.6467445442064249E-2</v>
      </c>
      <c r="AG5">
        <v>-8.7866456212602639E-2</v>
      </c>
      <c r="AH5">
        <v>-9.2097625587637025E-2</v>
      </c>
      <c r="AI5">
        <v>-5.8047642632201767E-2</v>
      </c>
      <c r="AJ5">
        <v>-0.1075577568544198</v>
      </c>
      <c r="AK5">
        <v>-9.8481440738907272E-2</v>
      </c>
      <c r="AL5">
        <v>-6.3342372619343598E-2</v>
      </c>
      <c r="AM5">
        <v>-0.16126727714331271</v>
      </c>
      <c r="AN5">
        <v>-5.5861642060162482E-2</v>
      </c>
      <c r="AO5">
        <v>-9.501315842172077E-2</v>
      </c>
      <c r="AP5">
        <v>-5.6170616124408733E-2</v>
      </c>
      <c r="AQ5">
        <v>-0.15052582566949599</v>
      </c>
      <c r="AR5">
        <v>-0.1071593728247871</v>
      </c>
      <c r="AS5">
        <v>-6.791357600282333E-3</v>
      </c>
      <c r="AT5">
        <v>6.0293483725429977E-3</v>
      </c>
      <c r="AU5">
        <v>-1.079146395953307E-3</v>
      </c>
      <c r="AV5">
        <v>-5.7429479304512152E-3</v>
      </c>
      <c r="AW5">
        <v>-5.8191853432240759E-2</v>
      </c>
      <c r="AX5">
        <v>-1.045387195467146E-3</v>
      </c>
      <c r="AY5">
        <v>9.3569146101172666E-3</v>
      </c>
      <c r="AZ5">
        <v>6.1657872893157203E-2</v>
      </c>
      <c r="BA5">
        <v>3.8405410469597868E-2</v>
      </c>
      <c r="BB5">
        <v>1.5081726845109609E-2</v>
      </c>
      <c r="BC5">
        <v>-9.8309841373890164E-2</v>
      </c>
    </row>
    <row r="6" spans="1:55" x14ac:dyDescent="0.35">
      <c r="A6" s="1" t="s">
        <v>4</v>
      </c>
      <c r="B6">
        <v>5.6296968533679118E-2</v>
      </c>
      <c r="C6">
        <v>0.47874986513055462</v>
      </c>
      <c r="D6">
        <v>0.5398686331312339</v>
      </c>
      <c r="E6">
        <v>0.64507603280831982</v>
      </c>
      <c r="F6">
        <v>1</v>
      </c>
      <c r="G6">
        <v>0.34305469688726381</v>
      </c>
      <c r="H6">
        <v>0.19892838970202131</v>
      </c>
      <c r="I6">
        <v>0.16515111137884131</v>
      </c>
      <c r="J6">
        <v>0.1342646977096538</v>
      </c>
      <c r="K6">
        <v>0.1152011661005392</v>
      </c>
      <c r="L6">
        <v>8.8814525631201985E-2</v>
      </c>
      <c r="M6">
        <v>0.1104766045988002</v>
      </c>
      <c r="N6">
        <v>0.18012753302720741</v>
      </c>
      <c r="O6">
        <v>1.079205776614629E-2</v>
      </c>
      <c r="P6">
        <v>5.446257611333933E-2</v>
      </c>
      <c r="Q6">
        <v>0.35044118122804102</v>
      </c>
      <c r="R6">
        <v>0.15682698474636739</v>
      </c>
      <c r="S6">
        <v>0.1603061632380372</v>
      </c>
      <c r="T6">
        <v>0.18536037010265241</v>
      </c>
      <c r="U6">
        <v>3.1540678640933427E-2</v>
      </c>
      <c r="V6">
        <v>7.309044289731946E-2</v>
      </c>
      <c r="W6">
        <v>-1.7258304536978729E-3</v>
      </c>
      <c r="X6">
        <v>5.73414226908847E-2</v>
      </c>
      <c r="Y6">
        <v>0.1114459414710265</v>
      </c>
      <c r="Z6">
        <v>5.11364050406223E-2</v>
      </c>
      <c r="AA6">
        <v>5.8244115907251849E-2</v>
      </c>
      <c r="AB6">
        <v>-1.469480970952453E-3</v>
      </c>
      <c r="AC6">
        <v>4.1326144518510653E-2</v>
      </c>
      <c r="AD6">
        <v>0.1240157985912875</v>
      </c>
      <c r="AE6">
        <v>0.1119749342704232</v>
      </c>
      <c r="AF6">
        <v>9.6917377429807813E-2</v>
      </c>
      <c r="AG6">
        <v>-5.3586465083626817E-3</v>
      </c>
      <c r="AH6">
        <v>-9.2872397971963602E-3</v>
      </c>
      <c r="AI6">
        <v>3.3996135760368858E-3</v>
      </c>
      <c r="AJ6">
        <v>-4.2826896641655947E-2</v>
      </c>
      <c r="AK6">
        <v>2.0305985137924479E-2</v>
      </c>
      <c r="AL6">
        <v>1.8004995959100181E-2</v>
      </c>
      <c r="AM6">
        <v>-8.8350666859153076E-2</v>
      </c>
      <c r="AN6">
        <v>-3.7463365141552213E-2</v>
      </c>
      <c r="AO6">
        <v>-9.5281134789626798E-2</v>
      </c>
      <c r="AP6">
        <v>-5.9804266762612537E-2</v>
      </c>
      <c r="AQ6">
        <v>-0.11952813365007769</v>
      </c>
      <c r="AR6">
        <v>-6.9213904699544596E-2</v>
      </c>
      <c r="AS6">
        <v>-6.3562199355070544E-3</v>
      </c>
      <c r="AT6">
        <v>-2.5285912459366681E-2</v>
      </c>
      <c r="AU6">
        <v>-3.7504650751287283E-2</v>
      </c>
      <c r="AV6">
        <v>-1.9075194306326052E-2</v>
      </c>
      <c r="AW6">
        <v>-1.7997037990089931E-2</v>
      </c>
      <c r="AX6">
        <v>2.8761756947906138E-2</v>
      </c>
      <c r="AY6">
        <v>1.75087045111623E-2</v>
      </c>
      <c r="AZ6">
        <v>4.56018272759494E-2</v>
      </c>
      <c r="BA6">
        <v>6.8314324069473145E-2</v>
      </c>
      <c r="BB6">
        <v>9.3814720244787247E-3</v>
      </c>
      <c r="BC6">
        <v>-6.052918724082515E-2</v>
      </c>
    </row>
    <row r="7" spans="1:55" x14ac:dyDescent="0.35">
      <c r="A7" s="1" t="s">
        <v>5</v>
      </c>
      <c r="B7">
        <v>0.23077247402145959</v>
      </c>
      <c r="C7">
        <v>0.77061615342136425</v>
      </c>
      <c r="D7">
        <v>0.58052639400840822</v>
      </c>
      <c r="E7">
        <v>0.444182263379926</v>
      </c>
      <c r="F7">
        <v>0.34305469688726381</v>
      </c>
      <c r="G7">
        <v>1</v>
      </c>
      <c r="H7">
        <v>0.20926386990210111</v>
      </c>
      <c r="I7">
        <v>6.4991406823908068E-2</v>
      </c>
      <c r="J7">
        <v>-0.1202400207146089</v>
      </c>
      <c r="K7">
        <v>0.13320507848183841</v>
      </c>
      <c r="L7">
        <v>0.1415944906705239</v>
      </c>
      <c r="M7">
        <v>0.12532621747235989</v>
      </c>
      <c r="N7">
        <v>0.1163065096225282</v>
      </c>
      <c r="O7">
        <v>-7.9868678732550671E-2</v>
      </c>
      <c r="P7">
        <v>3.1886207296391633E-2</v>
      </c>
      <c r="Q7">
        <v>0.48637805858906002</v>
      </c>
      <c r="R7">
        <v>0.29595664489667611</v>
      </c>
      <c r="S7">
        <v>0.30994941516373842</v>
      </c>
      <c r="T7">
        <v>0.1563838103728763</v>
      </c>
      <c r="U7">
        <v>8.0269419365074701E-2</v>
      </c>
      <c r="V7">
        <v>6.611206516443828E-2</v>
      </c>
      <c r="W7">
        <v>-1.8566035480901091E-2</v>
      </c>
      <c r="X7">
        <v>-0.1036944860515827</v>
      </c>
      <c r="Y7">
        <v>-4.2176797174419148E-2</v>
      </c>
      <c r="Z7">
        <v>2.14865102715158E-2</v>
      </c>
      <c r="AA7">
        <v>1.5260010761989131E-2</v>
      </c>
      <c r="AB7">
        <v>-9.888458983143221E-2</v>
      </c>
      <c r="AC7">
        <v>-3.0753194627853839E-2</v>
      </c>
      <c r="AD7">
        <v>3.4588926323246262E-2</v>
      </c>
      <c r="AE7">
        <v>-1.7597494406863569E-2</v>
      </c>
      <c r="AF7">
        <v>-1.9766667628924029E-2</v>
      </c>
      <c r="AG7">
        <v>-8.0406809519996403E-2</v>
      </c>
      <c r="AH7">
        <v>-7.5066435470300244E-2</v>
      </c>
      <c r="AI7">
        <v>-7.4223989437559895E-2</v>
      </c>
      <c r="AJ7">
        <v>-0.1600698265362957</v>
      </c>
      <c r="AK7">
        <v>-6.0841181040331413E-2</v>
      </c>
      <c r="AL7">
        <v>-4.4080849686306808E-2</v>
      </c>
      <c r="AM7">
        <v>-0.18476939497304731</v>
      </c>
      <c r="AN7">
        <v>-0.12589194773560899</v>
      </c>
      <c r="AO7">
        <v>-0.13322792444936091</v>
      </c>
      <c r="AP7">
        <v>-7.2861956455168922E-2</v>
      </c>
      <c r="AQ7">
        <v>-9.1410351875558668E-2</v>
      </c>
      <c r="AR7">
        <v>-4.6688782343754627E-2</v>
      </c>
      <c r="AS7">
        <v>2.0539497390415589E-2</v>
      </c>
      <c r="AT7">
        <v>1.0278007929505249E-2</v>
      </c>
      <c r="AU7">
        <v>-3.3896761640502072E-2</v>
      </c>
      <c r="AV7">
        <v>-3.8362870533556082E-2</v>
      </c>
      <c r="AW7">
        <v>-9.6165971368686473E-2</v>
      </c>
      <c r="AX7">
        <v>-7.4472876751855419E-2</v>
      </c>
      <c r="AY7">
        <v>4.0565970017848044E-3</v>
      </c>
      <c r="AZ7">
        <v>-1.7626056867795711E-2</v>
      </c>
      <c r="BA7">
        <v>-1.096044115881635E-3</v>
      </c>
      <c r="BB7">
        <v>-4.4461653684000388E-2</v>
      </c>
      <c r="BC7">
        <v>-0.15163553369947641</v>
      </c>
    </row>
    <row r="8" spans="1:55" x14ac:dyDescent="0.35">
      <c r="A8" s="1" t="s">
        <v>6</v>
      </c>
      <c r="B8">
        <v>0.145052392268226</v>
      </c>
      <c r="C8">
        <v>0.19106751533209301</v>
      </c>
      <c r="D8">
        <v>0.2248230478048123</v>
      </c>
      <c r="E8">
        <v>0.17523286714036321</v>
      </c>
      <c r="F8">
        <v>0.19892838970202131</v>
      </c>
      <c r="G8">
        <v>0.20926386990210111</v>
      </c>
      <c r="H8">
        <v>1</v>
      </c>
      <c r="I8">
        <v>0.34528134552861839</v>
      </c>
      <c r="J8">
        <v>0.20384882436635021</v>
      </c>
      <c r="K8">
        <v>0.21186576032346061</v>
      </c>
      <c r="L8">
        <v>0.13446648970699729</v>
      </c>
      <c r="M8">
        <v>-2.4142880958167631E-2</v>
      </c>
      <c r="N8">
        <v>-4.4877072398395987E-2</v>
      </c>
      <c r="O8">
        <v>-4.5777911418400208E-2</v>
      </c>
      <c r="P8">
        <v>-9.2604526238707269E-2</v>
      </c>
      <c r="Q8">
        <v>-1.119043808741149E-2</v>
      </c>
      <c r="R8">
        <v>3.1614970312055339E-2</v>
      </c>
      <c r="S8">
        <v>3.0642830624968882E-2</v>
      </c>
      <c r="T8">
        <v>3.51675842069934E-3</v>
      </c>
      <c r="U8">
        <v>-3.4474154823085322E-3</v>
      </c>
      <c r="V8">
        <v>2.3818548348298701E-2</v>
      </c>
      <c r="W8">
        <v>-2.4262336809921591E-2</v>
      </c>
      <c r="X8">
        <v>-8.3905216722022953E-3</v>
      </c>
      <c r="Y8">
        <v>-3.1167506701993E-2</v>
      </c>
      <c r="Z8">
        <v>3.9050810131177643E-2</v>
      </c>
      <c r="AA8">
        <v>-7.3208415916841671E-2</v>
      </c>
      <c r="AB8">
        <v>-4.9565185211256593E-2</v>
      </c>
      <c r="AC8">
        <v>-5.9910540923020061E-2</v>
      </c>
      <c r="AD8">
        <v>-8.7523454109721247E-2</v>
      </c>
      <c r="AE8">
        <v>-1.6200768668801789E-2</v>
      </c>
      <c r="AF8">
        <v>-3.655287500362521E-2</v>
      </c>
      <c r="AG8">
        <v>-4.5476704325736028E-2</v>
      </c>
      <c r="AH8">
        <v>-5.2236398678604953E-2</v>
      </c>
      <c r="AI8">
        <v>-5.5588306958099E-2</v>
      </c>
      <c r="AJ8">
        <v>-7.4232894478596892E-2</v>
      </c>
      <c r="AK8">
        <v>-5.1053615606560812E-2</v>
      </c>
      <c r="AL8">
        <v>6.8335924231343178E-3</v>
      </c>
      <c r="AM8">
        <v>-1.7817689936796281E-2</v>
      </c>
      <c r="AN8">
        <v>-5.9489910356220907E-2</v>
      </c>
      <c r="AO8">
        <v>-2.0963463937238469E-2</v>
      </c>
      <c r="AP8">
        <v>-2.224857202171944E-2</v>
      </c>
      <c r="AQ8">
        <v>-2.072002781129707E-2</v>
      </c>
      <c r="AR8">
        <v>-1.591348710979594E-2</v>
      </c>
      <c r="AS8">
        <v>4.4034655852427017E-2</v>
      </c>
      <c r="AT8">
        <v>-3.1385932551060057E-2</v>
      </c>
      <c r="AU8">
        <v>-8.3674856518341029E-2</v>
      </c>
      <c r="AV8">
        <v>-2.6837492062482E-2</v>
      </c>
      <c r="AW8">
        <v>-4.1409221342520557E-2</v>
      </c>
      <c r="AX8">
        <v>-4.6846482481953597E-2</v>
      </c>
      <c r="AY8">
        <v>-4.7536280877481879E-2</v>
      </c>
      <c r="AZ8">
        <v>-0.1041676201429292</v>
      </c>
      <c r="BA8">
        <v>-4.6750730677841253E-2</v>
      </c>
      <c r="BB8">
        <v>-1.9468355920075179E-3</v>
      </c>
      <c r="BC8">
        <v>-1.2772903830628891E-2</v>
      </c>
    </row>
    <row r="9" spans="1:55" x14ac:dyDescent="0.35">
      <c r="A9" s="1" t="s">
        <v>7</v>
      </c>
      <c r="B9">
        <v>9.0773174575819335E-2</v>
      </c>
      <c r="C9">
        <v>1.4608439336808471E-2</v>
      </c>
      <c r="D9">
        <v>7.5834897786189445E-2</v>
      </c>
      <c r="E9">
        <v>0.12708092910229821</v>
      </c>
      <c r="F9">
        <v>0.16515111137884131</v>
      </c>
      <c r="G9">
        <v>6.4991406823908068E-2</v>
      </c>
      <c r="H9">
        <v>0.34528134552861839</v>
      </c>
      <c r="I9">
        <v>1</v>
      </c>
      <c r="J9">
        <v>0.45918788713931269</v>
      </c>
      <c r="K9">
        <v>0.1107754807553013</v>
      </c>
      <c r="L9">
        <v>9.8368576662909032E-2</v>
      </c>
      <c r="M9">
        <v>5.1139589388858188E-2</v>
      </c>
      <c r="N9">
        <v>9.2353321948534739E-2</v>
      </c>
      <c r="O9">
        <v>0.13470936333978231</v>
      </c>
      <c r="P9">
        <v>6.3740249429542165E-2</v>
      </c>
      <c r="Q9">
        <v>-5.7400172656985E-2</v>
      </c>
      <c r="R9">
        <v>-3.4059361514795619E-2</v>
      </c>
      <c r="S9">
        <v>5.9411802071141937E-3</v>
      </c>
      <c r="T9">
        <v>3.2132657387282611E-2</v>
      </c>
      <c r="U9">
        <v>2.4377825996863299E-2</v>
      </c>
      <c r="V9">
        <v>6.3157315606452755E-2</v>
      </c>
      <c r="W9">
        <v>7.2704134843493529E-2</v>
      </c>
      <c r="X9">
        <v>9.5814851570778375E-2</v>
      </c>
      <c r="Y9">
        <v>0.13368299576842571</v>
      </c>
      <c r="Z9">
        <v>0.1121574512926278</v>
      </c>
      <c r="AA9">
        <v>3.2526104904132477E-2</v>
      </c>
      <c r="AB9">
        <v>8.845599535538276E-2</v>
      </c>
      <c r="AC9">
        <v>8.355156843324367E-2</v>
      </c>
      <c r="AD9">
        <v>6.4355017600117706E-2</v>
      </c>
      <c r="AE9">
        <v>4.8148369164315412E-2</v>
      </c>
      <c r="AF9">
        <v>7.0675590798168373E-3</v>
      </c>
      <c r="AG9">
        <v>3.759851180843933E-2</v>
      </c>
      <c r="AH9">
        <v>2.5098568257739439E-2</v>
      </c>
      <c r="AI9">
        <v>-3.3301465161173298E-3</v>
      </c>
      <c r="AJ9">
        <v>3.07268458920282E-2</v>
      </c>
      <c r="AK9">
        <v>5.7415622350592832E-2</v>
      </c>
      <c r="AL9">
        <v>-6.6498962216983539E-3</v>
      </c>
      <c r="AM9">
        <v>2.2250505860047051E-2</v>
      </c>
      <c r="AN9">
        <v>-1.387502226517609E-3</v>
      </c>
      <c r="AO9">
        <v>4.7321566342857738E-2</v>
      </c>
      <c r="AP9">
        <v>5.2144715315203233E-2</v>
      </c>
      <c r="AQ9">
        <v>3.1206297786328361E-2</v>
      </c>
      <c r="AR9">
        <v>1.696454746381713E-2</v>
      </c>
      <c r="AS9">
        <v>2.1347986273234341E-2</v>
      </c>
      <c r="AT9">
        <v>2.4542303176739801E-2</v>
      </c>
      <c r="AU9">
        <v>2.1884713026023201E-2</v>
      </c>
      <c r="AV9">
        <v>2.0566519815663511E-2</v>
      </c>
      <c r="AW9">
        <v>4.5938398092506522E-2</v>
      </c>
      <c r="AX9">
        <v>2.4561823973020109E-2</v>
      </c>
      <c r="AY9">
        <v>-1.39969995909065E-2</v>
      </c>
      <c r="AZ9">
        <v>-3.2832537806085207E-2</v>
      </c>
      <c r="BA9">
        <v>4.6988969600264023E-3</v>
      </c>
      <c r="BB9">
        <v>4.7514109405156713E-2</v>
      </c>
      <c r="BC9">
        <v>0.10498254722503279</v>
      </c>
    </row>
    <row r="10" spans="1:55" x14ac:dyDescent="0.35">
      <c r="A10" s="1" t="s">
        <v>8</v>
      </c>
      <c r="B10">
        <v>7.552885041198644E-2</v>
      </c>
      <c r="C10">
        <v>-8.7929299790749704E-2</v>
      </c>
      <c r="D10">
        <v>-2.7820086495019339E-2</v>
      </c>
      <c r="E10">
        <v>1.9588006129050421E-2</v>
      </c>
      <c r="F10">
        <v>0.1342646977096538</v>
      </c>
      <c r="G10">
        <v>-0.1202400207146089</v>
      </c>
      <c r="H10">
        <v>0.20384882436635021</v>
      </c>
      <c r="I10">
        <v>0.45918788713931269</v>
      </c>
      <c r="J10">
        <v>1</v>
      </c>
      <c r="K10">
        <v>4.916617198058737E-2</v>
      </c>
      <c r="L10">
        <v>0.18284948620168709</v>
      </c>
      <c r="M10">
        <v>0.1200471381696015</v>
      </c>
      <c r="N10">
        <v>0.15920464368978859</v>
      </c>
      <c r="O10">
        <v>0.25534177694413518</v>
      </c>
      <c r="P10">
        <v>0.2234101612208384</v>
      </c>
      <c r="Q10">
        <v>-3.5460022806837972E-2</v>
      </c>
      <c r="R10">
        <v>-7.8991288247622568E-3</v>
      </c>
      <c r="S10">
        <v>-6.3951088208699325E-2</v>
      </c>
      <c r="T10">
        <v>3.1078254433781659E-2</v>
      </c>
      <c r="U10">
        <v>0.1382721107359465</v>
      </c>
      <c r="V10">
        <v>0.16373643591275691</v>
      </c>
      <c r="W10">
        <v>0.1726993405046065</v>
      </c>
      <c r="X10">
        <v>0.1463824157133477</v>
      </c>
      <c r="Y10">
        <v>0.19938267887011751</v>
      </c>
      <c r="Z10">
        <v>0.13283456616163231</v>
      </c>
      <c r="AA10">
        <v>0.121116332239316</v>
      </c>
      <c r="AB10">
        <v>0.15743928225021989</v>
      </c>
      <c r="AC10">
        <v>0.16114446006668709</v>
      </c>
      <c r="AD10">
        <v>0.17386550859343569</v>
      </c>
      <c r="AE10">
        <v>0.12803344279007689</v>
      </c>
      <c r="AF10">
        <v>9.9767458728164185E-2</v>
      </c>
      <c r="AG10">
        <v>0.1204019440205773</v>
      </c>
      <c r="AH10">
        <v>0.1013440906980151</v>
      </c>
      <c r="AI10">
        <v>7.6144519310377509E-2</v>
      </c>
      <c r="AJ10">
        <v>0.15074244788064839</v>
      </c>
      <c r="AK10">
        <v>0.14333045818399079</v>
      </c>
      <c r="AL10">
        <v>0.13344578670488</v>
      </c>
      <c r="AM10">
        <v>0.1866315567590055</v>
      </c>
      <c r="AN10">
        <v>0.118689268581936</v>
      </c>
      <c r="AO10">
        <v>0.14878101236312849</v>
      </c>
      <c r="AP10">
        <v>0.13974845382138559</v>
      </c>
      <c r="AQ10">
        <v>0.13449319888922481</v>
      </c>
      <c r="AR10">
        <v>9.0991252704400657E-2</v>
      </c>
      <c r="AS10">
        <v>6.7224992772913925E-2</v>
      </c>
      <c r="AT10">
        <v>7.8358758315478005E-2</v>
      </c>
      <c r="AU10">
        <v>9.5421647499752085E-2</v>
      </c>
      <c r="AV10">
        <v>6.8444587322104428E-2</v>
      </c>
      <c r="AW10">
        <v>0.13923380929119791</v>
      </c>
      <c r="AX10">
        <v>0.13754577022459799</v>
      </c>
      <c r="AY10">
        <v>8.4635664883893999E-2</v>
      </c>
      <c r="AZ10">
        <v>8.0675876608388292E-2</v>
      </c>
      <c r="BA10">
        <v>0.13825511796585099</v>
      </c>
      <c r="BB10">
        <v>0.15661388028719081</v>
      </c>
      <c r="BC10">
        <v>8.6574543561016765E-2</v>
      </c>
    </row>
    <row r="11" spans="1:55" x14ac:dyDescent="0.35">
      <c r="A11" s="1" t="s">
        <v>9</v>
      </c>
      <c r="B11">
        <v>7.5589022985201093E-2</v>
      </c>
      <c r="C11">
        <v>0.14165933658387761</v>
      </c>
      <c r="D11">
        <v>0.15951892129022999</v>
      </c>
      <c r="E11">
        <v>0.1206798017143856</v>
      </c>
      <c r="F11">
        <v>0.1152011661005392</v>
      </c>
      <c r="G11">
        <v>0.13320507848183841</v>
      </c>
      <c r="H11">
        <v>0.21186576032346061</v>
      </c>
      <c r="I11">
        <v>0.1107754807553013</v>
      </c>
      <c r="J11">
        <v>4.916617198058737E-2</v>
      </c>
      <c r="K11">
        <v>1</v>
      </c>
      <c r="L11">
        <v>0.33175983811282123</v>
      </c>
      <c r="M11">
        <v>-0.16256410242459249</v>
      </c>
      <c r="N11">
        <v>-0.19533694338779309</v>
      </c>
      <c r="O11">
        <v>-0.28045944266308648</v>
      </c>
      <c r="P11">
        <v>-0.25643858380372042</v>
      </c>
      <c r="Q11">
        <v>-2.2478927688142691E-2</v>
      </c>
      <c r="R11">
        <v>5.5214129897178679E-2</v>
      </c>
      <c r="S11">
        <v>3.4484319917161763E-2</v>
      </c>
      <c r="T11">
        <v>2.5829574828904779E-2</v>
      </c>
      <c r="U11">
        <v>-4.2673417833970932E-2</v>
      </c>
      <c r="V11">
        <v>-6.7188568991379927E-2</v>
      </c>
      <c r="W11">
        <v>-0.1036455442312014</v>
      </c>
      <c r="X11">
        <v>-4.9294201262590161E-2</v>
      </c>
      <c r="Y11">
        <v>-0.1171799553110429</v>
      </c>
      <c r="Z11">
        <v>-0.1651017820892989</v>
      </c>
      <c r="AA11">
        <v>-0.20045266706926801</v>
      </c>
      <c r="AB11">
        <v>-0.14056994039496901</v>
      </c>
      <c r="AC11">
        <v>-0.1790097755958853</v>
      </c>
      <c r="AD11">
        <v>-0.16374664163592709</v>
      </c>
      <c r="AE11">
        <v>-0.13773121536858329</v>
      </c>
      <c r="AF11">
        <v>-0.119979653809443</v>
      </c>
      <c r="AG11">
        <v>-0.1468974468219223</v>
      </c>
      <c r="AH11">
        <v>-0.1045829415219814</v>
      </c>
      <c r="AI11">
        <v>-0.13115555904790191</v>
      </c>
      <c r="AJ11">
        <v>-0.19993309304002571</v>
      </c>
      <c r="AK11">
        <v>-0.16103177002890021</v>
      </c>
      <c r="AL11">
        <v>-9.8974745392245198E-2</v>
      </c>
      <c r="AM11">
        <v>-0.16686484917613381</v>
      </c>
      <c r="AN11">
        <v>-0.13848335398871639</v>
      </c>
      <c r="AO11">
        <v>-0.147132609969756</v>
      </c>
      <c r="AP11">
        <v>-0.13704182833167039</v>
      </c>
      <c r="AQ11">
        <v>-0.11037830510136799</v>
      </c>
      <c r="AR11">
        <v>-5.1556133064358647E-2</v>
      </c>
      <c r="AS11">
        <v>2.3868138573645638E-2</v>
      </c>
      <c r="AT11">
        <v>-8.1035799566993069E-2</v>
      </c>
      <c r="AU11">
        <v>-7.48902507436877E-2</v>
      </c>
      <c r="AV11">
        <v>-2.2920932579071039E-2</v>
      </c>
      <c r="AW11">
        <v>-0.1328770892435919</v>
      </c>
      <c r="AX11">
        <v>-9.7315018260708624E-2</v>
      </c>
      <c r="AY11">
        <v>-9.055173242381688E-2</v>
      </c>
      <c r="AZ11">
        <v>-5.2556571160300623E-2</v>
      </c>
      <c r="BA11">
        <v>-4.3320199299360963E-2</v>
      </c>
      <c r="BB11">
        <v>-5.5363921713257588E-2</v>
      </c>
      <c r="BC11">
        <v>-7.533378168605627E-2</v>
      </c>
    </row>
    <row r="12" spans="1:55" x14ac:dyDescent="0.35">
      <c r="A12" s="1" t="s">
        <v>10</v>
      </c>
      <c r="B12">
        <v>4.9009402081044387E-2</v>
      </c>
      <c r="C12">
        <v>0.1383595771494455</v>
      </c>
      <c r="D12">
        <v>0.1334718186728826</v>
      </c>
      <c r="E12">
        <v>0.1135492147507328</v>
      </c>
      <c r="F12">
        <v>8.8814525631201985E-2</v>
      </c>
      <c r="G12">
        <v>0.1415944906705239</v>
      </c>
      <c r="H12">
        <v>0.13446648970699729</v>
      </c>
      <c r="I12">
        <v>9.8368576662909032E-2</v>
      </c>
      <c r="J12">
        <v>0.18284948620168709</v>
      </c>
      <c r="K12">
        <v>0.33175983811282123</v>
      </c>
      <c r="L12">
        <v>1</v>
      </c>
      <c r="M12">
        <v>0.1549656969165828</v>
      </c>
      <c r="N12">
        <v>7.0450871177774321E-2</v>
      </c>
      <c r="O12">
        <v>-5.8548838030177609E-2</v>
      </c>
      <c r="P12">
        <v>3.2348735571755799E-2</v>
      </c>
      <c r="Q12">
        <v>4.4085910364256908E-2</v>
      </c>
      <c r="R12">
        <v>2.507911841841777E-2</v>
      </c>
      <c r="S12">
        <v>-3.021649580514308E-3</v>
      </c>
      <c r="T12">
        <v>-1.9524001826812101E-2</v>
      </c>
      <c r="U12">
        <v>-2.0398261046409589E-3</v>
      </c>
      <c r="V12">
        <v>3.9807106539712471E-2</v>
      </c>
      <c r="W12">
        <v>-2.792600049325035E-2</v>
      </c>
      <c r="X12">
        <v>-2.5921309918071522E-2</v>
      </c>
      <c r="Y12">
        <v>-5.323366523380735E-3</v>
      </c>
      <c r="Z12">
        <v>-4.3900126617336069E-2</v>
      </c>
      <c r="AA12">
        <v>2.699064818898702E-2</v>
      </c>
      <c r="AB12">
        <v>-4.4680843794987143E-2</v>
      </c>
      <c r="AC12">
        <v>-2.34414392302199E-2</v>
      </c>
      <c r="AD12">
        <v>-2.38133427710608E-2</v>
      </c>
      <c r="AE12">
        <v>-5.9608886434365557E-2</v>
      </c>
      <c r="AF12">
        <v>1.195355859685716E-2</v>
      </c>
      <c r="AG12">
        <v>9.6316365530094948E-3</v>
      </c>
      <c r="AH12">
        <v>-2.095472988030843E-3</v>
      </c>
      <c r="AI12">
        <v>-4.2765439082377413E-2</v>
      </c>
      <c r="AJ12">
        <v>-8.831434007546933E-2</v>
      </c>
      <c r="AK12">
        <v>-4.9800191057141723E-2</v>
      </c>
      <c r="AL12">
        <v>-1.6034979330104379E-2</v>
      </c>
      <c r="AM12">
        <v>-7.347571925991056E-2</v>
      </c>
      <c r="AN12">
        <v>2.0003170895302791E-2</v>
      </c>
      <c r="AO12">
        <v>-3.2010591661575098E-2</v>
      </c>
      <c r="AP12">
        <v>-7.7972327673173124E-3</v>
      </c>
      <c r="AQ12">
        <v>-1.7880335007381572E-2</v>
      </c>
      <c r="AR12">
        <v>-1.172797132665322E-2</v>
      </c>
      <c r="AS12">
        <v>-9.933448053163086E-3</v>
      </c>
      <c r="AT12">
        <v>1.085076997640497E-2</v>
      </c>
      <c r="AU12">
        <v>-7.5326278583238869E-3</v>
      </c>
      <c r="AV12">
        <v>-1.2493771114960049E-2</v>
      </c>
      <c r="AW12">
        <v>-4.9948750980390581E-2</v>
      </c>
      <c r="AX12">
        <v>-5.8167771442723677E-2</v>
      </c>
      <c r="AY12">
        <v>-3.5007590521139727E-2</v>
      </c>
      <c r="AZ12">
        <v>6.4940020696251092E-6</v>
      </c>
      <c r="BA12">
        <v>2.5837196614285879E-2</v>
      </c>
      <c r="BB12">
        <v>-6.0509221830033218E-2</v>
      </c>
      <c r="BC12">
        <v>-0.10181265361790599</v>
      </c>
    </row>
    <row r="13" spans="1:55" x14ac:dyDescent="0.35">
      <c r="A13" s="1" t="s">
        <v>11</v>
      </c>
      <c r="B13">
        <v>-2.6164688091622049E-2</v>
      </c>
      <c r="C13">
        <v>8.2801826948567803E-2</v>
      </c>
      <c r="D13">
        <v>8.9325733280068258E-3</v>
      </c>
      <c r="E13">
        <v>4.8165044014855947E-2</v>
      </c>
      <c r="F13">
        <v>0.1104766045988002</v>
      </c>
      <c r="G13">
        <v>0.12532621747235989</v>
      </c>
      <c r="H13">
        <v>-2.4142880958167631E-2</v>
      </c>
      <c r="I13">
        <v>5.1139589388858188E-2</v>
      </c>
      <c r="J13">
        <v>0.1200471381696015</v>
      </c>
      <c r="K13">
        <v>-0.16256410242459249</v>
      </c>
      <c r="L13">
        <v>0.1549656969165828</v>
      </c>
      <c r="M13">
        <v>1</v>
      </c>
      <c r="N13">
        <v>0.58616300834903823</v>
      </c>
      <c r="O13">
        <v>0.43397781972719479</v>
      </c>
      <c r="P13">
        <v>0.48711375168681492</v>
      </c>
      <c r="Q13">
        <v>0.1700051409502546</v>
      </c>
      <c r="R13">
        <v>5.7745337393562121E-2</v>
      </c>
      <c r="S13">
        <v>1.9915948106094698E-2</v>
      </c>
      <c r="T13">
        <v>6.5744855579250736E-2</v>
      </c>
      <c r="U13">
        <v>0.1241480388997963</v>
      </c>
      <c r="V13">
        <v>0.13125570217657689</v>
      </c>
      <c r="W13">
        <v>9.7157424554147789E-2</v>
      </c>
      <c r="X13">
        <v>9.2057394328308756E-2</v>
      </c>
      <c r="Y13">
        <v>0.1859157822622178</v>
      </c>
      <c r="Z13">
        <v>0.27517975046970761</v>
      </c>
      <c r="AA13">
        <v>0.369838167535186</v>
      </c>
      <c r="AB13">
        <v>0.3225091367572171</v>
      </c>
      <c r="AC13">
        <v>0.34112833736853992</v>
      </c>
      <c r="AD13">
        <v>0.31584174252851888</v>
      </c>
      <c r="AE13">
        <v>0.20869926951299661</v>
      </c>
      <c r="AF13">
        <v>0.16484916435513661</v>
      </c>
      <c r="AG13">
        <v>0.20927305691910139</v>
      </c>
      <c r="AH13">
        <v>0.19438056228761941</v>
      </c>
      <c r="AI13">
        <v>0.208823866902241</v>
      </c>
      <c r="AJ13">
        <v>0.1919983391650899</v>
      </c>
      <c r="AK13">
        <v>0.2488528165135889</v>
      </c>
      <c r="AL13">
        <v>0.16932167509267329</v>
      </c>
      <c r="AM13">
        <v>0.1968021061619894</v>
      </c>
      <c r="AN13">
        <v>0.2055401240326212</v>
      </c>
      <c r="AO13">
        <v>0.17141731230181559</v>
      </c>
      <c r="AP13">
        <v>0.1180961318263551</v>
      </c>
      <c r="AQ13">
        <v>4.7935016580575897E-2</v>
      </c>
      <c r="AR13">
        <v>3.2859911771945083E-2</v>
      </c>
      <c r="AS13">
        <v>-1.8933752876725059E-2</v>
      </c>
      <c r="AT13">
        <v>0.1527721634437956</v>
      </c>
      <c r="AU13">
        <v>8.6874829880501173E-2</v>
      </c>
      <c r="AV13">
        <v>4.5726072991790892E-2</v>
      </c>
      <c r="AW13">
        <v>0.19414006660384989</v>
      </c>
      <c r="AX13">
        <v>0.1140238200809878</v>
      </c>
      <c r="AY13">
        <v>0.22524245156907749</v>
      </c>
      <c r="AZ13">
        <v>0.22037530692499491</v>
      </c>
      <c r="BA13">
        <v>0.1813237633346452</v>
      </c>
      <c r="BB13">
        <v>0.16741397208154271</v>
      </c>
      <c r="BC13">
        <v>5.8940101498602647E-2</v>
      </c>
    </row>
    <row r="14" spans="1:55" x14ac:dyDescent="0.35">
      <c r="A14" s="1" t="s">
        <v>12</v>
      </c>
      <c r="B14">
        <v>5.7971324026432312E-2</v>
      </c>
      <c r="C14">
        <v>8.5980298222592177E-2</v>
      </c>
      <c r="D14">
        <v>5.1408166997777942E-2</v>
      </c>
      <c r="E14">
        <v>0.12584292133134911</v>
      </c>
      <c r="F14">
        <v>0.18012753302720741</v>
      </c>
      <c r="G14">
        <v>0.1163065096225282</v>
      </c>
      <c r="H14">
        <v>-4.4877072398395987E-2</v>
      </c>
      <c r="I14">
        <v>9.2353321948534739E-2</v>
      </c>
      <c r="J14">
        <v>0.15920464368978859</v>
      </c>
      <c r="K14">
        <v>-0.19533694338779309</v>
      </c>
      <c r="L14">
        <v>7.0450871177774321E-2</v>
      </c>
      <c r="M14">
        <v>0.58616300834903823</v>
      </c>
      <c r="N14">
        <v>1</v>
      </c>
      <c r="O14">
        <v>0.46174093665735422</v>
      </c>
      <c r="P14">
        <v>0.50053128022977056</v>
      </c>
      <c r="Q14">
        <v>0.1147753668424646</v>
      </c>
      <c r="R14">
        <v>9.8365160343338118E-3</v>
      </c>
      <c r="S14">
        <v>2.019169157491868E-2</v>
      </c>
      <c r="T14">
        <v>4.57205973379863E-2</v>
      </c>
      <c r="U14">
        <v>0.1641004230010415</v>
      </c>
      <c r="V14">
        <v>0.1432049183827265</v>
      </c>
      <c r="W14">
        <v>0.17152667733239291</v>
      </c>
      <c r="X14">
        <v>0.168796346765587</v>
      </c>
      <c r="Y14">
        <v>0.20625407333903931</v>
      </c>
      <c r="Z14">
        <v>0.22784138677899421</v>
      </c>
      <c r="AA14">
        <v>0.33325805936391728</v>
      </c>
      <c r="AB14">
        <v>0.29915690805119022</v>
      </c>
      <c r="AC14">
        <v>0.34849942263370481</v>
      </c>
      <c r="AD14">
        <v>0.26926974357316541</v>
      </c>
      <c r="AE14">
        <v>0.23242073624948539</v>
      </c>
      <c r="AF14">
        <v>0.17656439413578109</v>
      </c>
      <c r="AG14">
        <v>0.1713787446528465</v>
      </c>
      <c r="AH14">
        <v>0.18189796474177969</v>
      </c>
      <c r="AI14">
        <v>0.24059069626342849</v>
      </c>
      <c r="AJ14">
        <v>0.18687440390040749</v>
      </c>
      <c r="AK14">
        <v>0.16658954998673139</v>
      </c>
      <c r="AL14">
        <v>0.1217181732608158</v>
      </c>
      <c r="AM14">
        <v>0.15653748890235741</v>
      </c>
      <c r="AN14">
        <v>0.1764475929705675</v>
      </c>
      <c r="AO14">
        <v>0.17953198861442871</v>
      </c>
      <c r="AP14">
        <v>0.1548456319101125</v>
      </c>
      <c r="AQ14">
        <v>0.10857512176242851</v>
      </c>
      <c r="AR14">
        <v>0.1006765883708413</v>
      </c>
      <c r="AS14">
        <v>5.2629497735186548E-2</v>
      </c>
      <c r="AT14">
        <v>9.0034507526556298E-2</v>
      </c>
      <c r="AU14">
        <v>3.9314192900634412E-2</v>
      </c>
      <c r="AV14">
        <v>2.1475872123659839E-2</v>
      </c>
      <c r="AW14">
        <v>0.1493850010867239</v>
      </c>
      <c r="AX14">
        <v>0.13860996912533291</v>
      </c>
      <c r="AY14">
        <v>0.17631505603519951</v>
      </c>
      <c r="AZ14">
        <v>0.1395321716537026</v>
      </c>
      <c r="BA14">
        <v>0.15178364441863121</v>
      </c>
      <c r="BB14">
        <v>0.1467329449189031</v>
      </c>
      <c r="BC14">
        <v>0.12537859299552909</v>
      </c>
    </row>
    <row r="15" spans="1:55" x14ac:dyDescent="0.35">
      <c r="A15" s="1" t="s">
        <v>13</v>
      </c>
      <c r="B15">
        <v>1.766600060954681E-2</v>
      </c>
      <c r="C15">
        <v>-0.13628193657838261</v>
      </c>
      <c r="D15">
        <v>-0.13600556326092419</v>
      </c>
      <c r="E15">
        <v>-0.12865825645573209</v>
      </c>
      <c r="F15">
        <v>1.079205776614629E-2</v>
      </c>
      <c r="G15">
        <v>-7.9868678732550671E-2</v>
      </c>
      <c r="H15">
        <v>-4.5777911418400208E-2</v>
      </c>
      <c r="I15">
        <v>0.13470936333978231</v>
      </c>
      <c r="J15">
        <v>0.25534177694413518</v>
      </c>
      <c r="K15">
        <v>-0.28045944266308648</v>
      </c>
      <c r="L15">
        <v>-5.8548838030177609E-2</v>
      </c>
      <c r="M15">
        <v>0.43397781972719479</v>
      </c>
      <c r="N15">
        <v>0.46174093665735422</v>
      </c>
      <c r="O15">
        <v>1</v>
      </c>
      <c r="P15">
        <v>0.50543638351209397</v>
      </c>
      <c r="Q15">
        <v>8.5870297225362602E-2</v>
      </c>
      <c r="R15">
        <v>-2.5619576438840209E-2</v>
      </c>
      <c r="S15">
        <v>6.88597085222976E-2</v>
      </c>
      <c r="T15">
        <v>0.10372600279933369</v>
      </c>
      <c r="U15">
        <v>0.17981135394531719</v>
      </c>
      <c r="V15">
        <v>0.21705717342378841</v>
      </c>
      <c r="W15">
        <v>0.24035523983986801</v>
      </c>
      <c r="X15">
        <v>0.19289800702907139</v>
      </c>
      <c r="Y15">
        <v>0.28711049377716708</v>
      </c>
      <c r="Z15">
        <v>0.37253292007729538</v>
      </c>
      <c r="AA15">
        <v>0.38551983620285157</v>
      </c>
      <c r="AB15">
        <v>0.39903926691575881</v>
      </c>
      <c r="AC15">
        <v>0.42572474496694751</v>
      </c>
      <c r="AD15">
        <v>0.36759285818846082</v>
      </c>
      <c r="AE15">
        <v>0.31323579436677651</v>
      </c>
      <c r="AF15">
        <v>0.25512282411569243</v>
      </c>
      <c r="AG15">
        <v>0.31893267274706688</v>
      </c>
      <c r="AH15">
        <v>0.20689075986046321</v>
      </c>
      <c r="AI15">
        <v>0.25426856495654859</v>
      </c>
      <c r="AJ15">
        <v>0.25067461836088212</v>
      </c>
      <c r="AK15">
        <v>0.21299458844788291</v>
      </c>
      <c r="AL15">
        <v>0.19750440352577389</v>
      </c>
      <c r="AM15">
        <v>0.26759761567675161</v>
      </c>
      <c r="AN15">
        <v>0.14482925911578459</v>
      </c>
      <c r="AO15">
        <v>0.18532712921425809</v>
      </c>
      <c r="AP15">
        <v>0.18502354141480981</v>
      </c>
      <c r="AQ15">
        <v>0.19242547318950551</v>
      </c>
      <c r="AR15">
        <v>9.0475170149750567E-2</v>
      </c>
      <c r="AS15">
        <v>-6.1744748935165621E-3</v>
      </c>
      <c r="AT15">
        <v>0.15289954654374829</v>
      </c>
      <c r="AU15">
        <v>7.8668534753734587E-2</v>
      </c>
      <c r="AV15">
        <v>5.5543461639066198E-2</v>
      </c>
      <c r="AW15">
        <v>0.2472892629213668</v>
      </c>
      <c r="AX15">
        <v>0.18298271774242519</v>
      </c>
      <c r="AY15">
        <v>0.16827034975496741</v>
      </c>
      <c r="AZ15">
        <v>0.13156895113429889</v>
      </c>
      <c r="BA15">
        <v>7.9179348919661427E-2</v>
      </c>
      <c r="BB15">
        <v>0.1061492931504127</v>
      </c>
      <c r="BC15">
        <v>0.15540151441137201</v>
      </c>
    </row>
    <row r="16" spans="1:55" x14ac:dyDescent="0.35">
      <c r="A16" s="1" t="s">
        <v>14</v>
      </c>
      <c r="B16">
        <v>-4.5791747773243578E-3</v>
      </c>
      <c r="C16">
        <v>3.143344634149689E-2</v>
      </c>
      <c r="D16">
        <v>-3.5311786368485441E-2</v>
      </c>
      <c r="E16">
        <v>-2.517237885975282E-2</v>
      </c>
      <c r="F16">
        <v>5.446257611333933E-2</v>
      </c>
      <c r="G16">
        <v>3.1886207296391633E-2</v>
      </c>
      <c r="H16">
        <v>-9.2604526238707269E-2</v>
      </c>
      <c r="I16">
        <v>6.3740249429542165E-2</v>
      </c>
      <c r="J16">
        <v>0.2234101612208384</v>
      </c>
      <c r="K16">
        <v>-0.25643858380372042</v>
      </c>
      <c r="L16">
        <v>3.2348735571755799E-2</v>
      </c>
      <c r="M16">
        <v>0.48711375168681492</v>
      </c>
      <c r="N16">
        <v>0.50053128022977056</v>
      </c>
      <c r="O16">
        <v>0.50543638351209397</v>
      </c>
      <c r="P16">
        <v>1</v>
      </c>
      <c r="Q16">
        <v>0.12027938677765219</v>
      </c>
      <c r="R16">
        <v>3.1084171885133322E-2</v>
      </c>
      <c r="S16">
        <v>1.114781602673961E-2</v>
      </c>
      <c r="T16">
        <v>3.7657197889982022E-2</v>
      </c>
      <c r="U16">
        <v>0.2125655129382184</v>
      </c>
      <c r="V16">
        <v>0.20154230045652219</v>
      </c>
      <c r="W16">
        <v>0.19084673178046541</v>
      </c>
      <c r="X16">
        <v>7.2119393234879661E-2</v>
      </c>
      <c r="Y16">
        <v>0.17232670672894271</v>
      </c>
      <c r="Z16">
        <v>0.24458511060875149</v>
      </c>
      <c r="AA16">
        <v>0.45742462721384708</v>
      </c>
      <c r="AB16">
        <v>0.37971030419484131</v>
      </c>
      <c r="AC16">
        <v>0.45273899211956931</v>
      </c>
      <c r="AD16">
        <v>0.35723049257409628</v>
      </c>
      <c r="AE16">
        <v>0.24463645011083099</v>
      </c>
      <c r="AF16">
        <v>0.23948225909532139</v>
      </c>
      <c r="AG16">
        <v>0.21445933599433981</v>
      </c>
      <c r="AH16">
        <v>0.21026645489032539</v>
      </c>
      <c r="AI16">
        <v>0.20596713415763249</v>
      </c>
      <c r="AJ16">
        <v>0.20388574079424249</v>
      </c>
      <c r="AK16">
        <v>0.25287600594593213</v>
      </c>
      <c r="AL16">
        <v>0.180790127879735</v>
      </c>
      <c r="AM16">
        <v>0.1350080348636333</v>
      </c>
      <c r="AN16">
        <v>0.17599811325668879</v>
      </c>
      <c r="AO16">
        <v>0.15020896044764709</v>
      </c>
      <c r="AP16">
        <v>0.11127700887517861</v>
      </c>
      <c r="AQ16">
        <v>8.8033498612669223E-2</v>
      </c>
      <c r="AR16">
        <v>7.0638520905628999E-2</v>
      </c>
      <c r="AS16">
        <v>7.2071197482579577E-2</v>
      </c>
      <c r="AT16">
        <v>0.1014889012834311</v>
      </c>
      <c r="AU16">
        <v>6.7210142859903316E-2</v>
      </c>
      <c r="AV16">
        <v>-6.0563249538004458E-3</v>
      </c>
      <c r="AW16">
        <v>0.22272722979980911</v>
      </c>
      <c r="AX16">
        <v>0.128071886687949</v>
      </c>
      <c r="AY16">
        <v>0.20751966709515701</v>
      </c>
      <c r="AZ16">
        <v>0.14329858146303351</v>
      </c>
      <c r="BA16">
        <v>0.14748264027224611</v>
      </c>
      <c r="BB16">
        <v>0.13958338777633569</v>
      </c>
      <c r="BC16">
        <v>7.5032321922522016E-2</v>
      </c>
    </row>
    <row r="17" spans="1:55" x14ac:dyDescent="0.35">
      <c r="A17" s="1" t="s">
        <v>15</v>
      </c>
      <c r="B17">
        <v>6.5661045783975885E-2</v>
      </c>
      <c r="C17">
        <v>0.53118140272354741</v>
      </c>
      <c r="D17">
        <v>0.43866639866870932</v>
      </c>
      <c r="E17">
        <v>0.37935986589989112</v>
      </c>
      <c r="F17">
        <v>0.35044118122804102</v>
      </c>
      <c r="G17">
        <v>0.48637805858906002</v>
      </c>
      <c r="H17">
        <v>-1.119043808741149E-2</v>
      </c>
      <c r="I17">
        <v>-5.7400172656985E-2</v>
      </c>
      <c r="J17">
        <v>-3.5460022806837972E-2</v>
      </c>
      <c r="K17">
        <v>-2.2478927688142691E-2</v>
      </c>
      <c r="L17">
        <v>4.4085910364256908E-2</v>
      </c>
      <c r="M17">
        <v>0.1700051409502546</v>
      </c>
      <c r="N17">
        <v>0.1147753668424646</v>
      </c>
      <c r="O17">
        <v>8.5870297225362602E-2</v>
      </c>
      <c r="P17">
        <v>0.12027938677765219</v>
      </c>
      <c r="Q17">
        <v>1</v>
      </c>
      <c r="R17">
        <v>0.29662692630363591</v>
      </c>
      <c r="S17">
        <v>0.3535982379839141</v>
      </c>
      <c r="T17">
        <v>0.38980175882543611</v>
      </c>
      <c r="U17">
        <v>0.22697729003722081</v>
      </c>
      <c r="V17">
        <v>0.25229679688713508</v>
      </c>
      <c r="W17">
        <v>9.0866686052353568E-2</v>
      </c>
      <c r="X17">
        <v>1.5053864349908E-2</v>
      </c>
      <c r="Y17">
        <v>9.0934551167785344E-2</v>
      </c>
      <c r="Z17">
        <v>0.1080947758782029</v>
      </c>
      <c r="AA17">
        <v>0.1697112374390185</v>
      </c>
      <c r="AB17">
        <v>7.1836514160485018E-2</v>
      </c>
      <c r="AC17">
        <v>2.9723357274926719E-2</v>
      </c>
      <c r="AD17">
        <v>0.33302292850118381</v>
      </c>
      <c r="AE17">
        <v>7.2959341967064481E-2</v>
      </c>
      <c r="AF17">
        <v>0.12662606772999399</v>
      </c>
      <c r="AG17">
        <v>4.333107855066904E-2</v>
      </c>
      <c r="AH17">
        <v>3.7727364039545672E-2</v>
      </c>
      <c r="AI17">
        <v>7.2266570136839386E-3</v>
      </c>
      <c r="AJ17">
        <v>-1.1256959663338921E-2</v>
      </c>
      <c r="AK17">
        <v>2.4119290488529291E-2</v>
      </c>
      <c r="AL17">
        <v>3.3695183895897207E-2</v>
      </c>
      <c r="AM17">
        <v>-2.3452268606652081E-2</v>
      </c>
      <c r="AN17">
        <v>2.3823553380045239E-2</v>
      </c>
      <c r="AO17">
        <v>2.8051603401574561E-3</v>
      </c>
      <c r="AP17">
        <v>8.5185097024153729E-3</v>
      </c>
      <c r="AQ17">
        <v>-5.8923465504888417E-2</v>
      </c>
      <c r="AR17">
        <v>-4.9356039534782938E-2</v>
      </c>
      <c r="AS17">
        <v>-8.2258988568025659E-2</v>
      </c>
      <c r="AT17">
        <v>0.14182728058533109</v>
      </c>
      <c r="AU17">
        <v>7.6951531767357848E-2</v>
      </c>
      <c r="AV17">
        <v>2.337192691061914E-2</v>
      </c>
      <c r="AW17">
        <v>7.1899658020776483E-2</v>
      </c>
      <c r="AX17">
        <v>3.754971082731301E-2</v>
      </c>
      <c r="AY17">
        <v>0.1169507701428464</v>
      </c>
      <c r="AZ17">
        <v>0.19259980182555331</v>
      </c>
      <c r="BA17">
        <v>8.1388110626457455E-2</v>
      </c>
      <c r="BB17">
        <v>1.089978497672886E-2</v>
      </c>
      <c r="BC17">
        <v>-0.10357434500119531</v>
      </c>
    </row>
    <row r="18" spans="1:55" x14ac:dyDescent="0.35">
      <c r="A18" s="1" t="s">
        <v>16</v>
      </c>
      <c r="B18">
        <v>9.0445627665326142E-2</v>
      </c>
      <c r="C18">
        <v>0.29551021540379951</v>
      </c>
      <c r="D18">
        <v>0.2491905867494644</v>
      </c>
      <c r="E18">
        <v>0.24431603502558349</v>
      </c>
      <c r="F18">
        <v>0.15682698474636739</v>
      </c>
      <c r="G18">
        <v>0.29595664489667611</v>
      </c>
      <c r="H18">
        <v>3.1614970312055339E-2</v>
      </c>
      <c r="I18">
        <v>-3.4059361514795619E-2</v>
      </c>
      <c r="J18">
        <v>-7.8991288247622568E-3</v>
      </c>
      <c r="K18">
        <v>5.5214129897178679E-2</v>
      </c>
      <c r="L18">
        <v>2.507911841841777E-2</v>
      </c>
      <c r="M18">
        <v>5.7745337393562121E-2</v>
      </c>
      <c r="N18">
        <v>9.8365160343338118E-3</v>
      </c>
      <c r="O18">
        <v>-2.5619576438840209E-2</v>
      </c>
      <c r="P18">
        <v>3.1084171885133322E-2</v>
      </c>
      <c r="Q18">
        <v>0.29662692630363591</v>
      </c>
      <c r="R18">
        <v>1</v>
      </c>
      <c r="S18">
        <v>0.51440235402009005</v>
      </c>
      <c r="T18">
        <v>0.30401511375030799</v>
      </c>
      <c r="U18">
        <v>0.1007951921553015</v>
      </c>
      <c r="V18">
        <v>8.2790713059343268E-2</v>
      </c>
      <c r="W18">
        <v>3.091660475114719E-2</v>
      </c>
      <c r="X18">
        <v>3.0876572025654699E-2</v>
      </c>
      <c r="Y18">
        <v>4.1296559648195969E-3</v>
      </c>
      <c r="Z18">
        <v>6.9171852401952671E-2</v>
      </c>
      <c r="AA18">
        <v>-1.876619851147902E-2</v>
      </c>
      <c r="AB18">
        <v>-6.6619133524884008E-2</v>
      </c>
      <c r="AC18">
        <v>-7.0253929981310539E-2</v>
      </c>
      <c r="AD18">
        <v>5.5541880923657867E-2</v>
      </c>
      <c r="AE18">
        <v>2.7180197823097291E-2</v>
      </c>
      <c r="AF18">
        <v>1.6171086359116741E-2</v>
      </c>
      <c r="AG18">
        <v>-1.7940683313039191E-2</v>
      </c>
      <c r="AH18">
        <v>3.0584754946644038E-3</v>
      </c>
      <c r="AI18">
        <v>-3.7079927773342548E-2</v>
      </c>
      <c r="AJ18">
        <v>-3.0059014440212639E-2</v>
      </c>
      <c r="AK18">
        <v>-3.2402898005090178E-2</v>
      </c>
      <c r="AL18">
        <v>-1.402158611082239E-2</v>
      </c>
      <c r="AM18">
        <v>-0.1008290442148178</v>
      </c>
      <c r="AN18">
        <v>-4.4244011446872442E-2</v>
      </c>
      <c r="AO18">
        <v>-3.1427545419345407E-2</v>
      </c>
      <c r="AP18">
        <v>-3.1820090054484572E-2</v>
      </c>
      <c r="AQ18">
        <v>-7.3652143401556597E-2</v>
      </c>
      <c r="AR18">
        <v>-1.6985579835380769E-2</v>
      </c>
      <c r="AS18">
        <v>6.8174831693343868E-3</v>
      </c>
      <c r="AT18">
        <v>4.3408766983012242E-2</v>
      </c>
      <c r="AU18">
        <v>-8.3665991113932355E-3</v>
      </c>
      <c r="AV18">
        <v>-1.594360546340455E-2</v>
      </c>
      <c r="AW18">
        <v>-1.4437495429935759E-3</v>
      </c>
      <c r="AX18">
        <v>1.6839179930788161E-2</v>
      </c>
      <c r="AY18">
        <v>-2.3442332710335431E-3</v>
      </c>
      <c r="AZ18">
        <v>2.4861829800886678E-2</v>
      </c>
      <c r="BA18">
        <v>4.0103193071771313E-2</v>
      </c>
      <c r="BB18">
        <v>3.6607844219677499E-2</v>
      </c>
      <c r="BC18">
        <v>-3.045821529356375E-2</v>
      </c>
    </row>
    <row r="19" spans="1:55" x14ac:dyDescent="0.35">
      <c r="A19" s="1" t="s">
        <v>17</v>
      </c>
      <c r="B19">
        <v>4.4771655680628443E-2</v>
      </c>
      <c r="C19">
        <v>0.29777456841714051</v>
      </c>
      <c r="D19">
        <v>0.25305052451112159</v>
      </c>
      <c r="E19">
        <v>0.2124501856926044</v>
      </c>
      <c r="F19">
        <v>0.1603061632380372</v>
      </c>
      <c r="G19">
        <v>0.30994941516373842</v>
      </c>
      <c r="H19">
        <v>3.0642830624968882E-2</v>
      </c>
      <c r="I19">
        <v>5.9411802071141937E-3</v>
      </c>
      <c r="J19">
        <v>-6.3951088208699325E-2</v>
      </c>
      <c r="K19">
        <v>3.4484319917161763E-2</v>
      </c>
      <c r="L19">
        <v>-3.021649580514308E-3</v>
      </c>
      <c r="M19">
        <v>1.9915948106094698E-2</v>
      </c>
      <c r="N19">
        <v>2.019169157491868E-2</v>
      </c>
      <c r="O19">
        <v>6.88597085222976E-2</v>
      </c>
      <c r="P19">
        <v>1.114781602673961E-2</v>
      </c>
      <c r="Q19">
        <v>0.3535982379839141</v>
      </c>
      <c r="R19">
        <v>0.51440235402009005</v>
      </c>
      <c r="S19">
        <v>1</v>
      </c>
      <c r="T19">
        <v>0.49575020823586252</v>
      </c>
      <c r="U19">
        <v>0.1482983450317944</v>
      </c>
      <c r="V19">
        <v>0.1302385323416988</v>
      </c>
      <c r="W19">
        <v>0.12859463352908801</v>
      </c>
      <c r="X19">
        <v>5.2121988579599217E-2</v>
      </c>
      <c r="Y19">
        <v>8.8489302925966754E-2</v>
      </c>
      <c r="Z19">
        <v>0.17982634893583299</v>
      </c>
      <c r="AA19">
        <v>4.383594806849197E-3</v>
      </c>
      <c r="AB19">
        <v>-3.8953754358066049E-2</v>
      </c>
      <c r="AC19">
        <v>-2.625826613403422E-2</v>
      </c>
      <c r="AD19">
        <v>0.17478574093126459</v>
      </c>
      <c r="AE19">
        <v>7.2687969362994875E-2</v>
      </c>
      <c r="AF19">
        <v>9.0407992229435075E-2</v>
      </c>
      <c r="AG19">
        <v>4.2957584984341227E-2</v>
      </c>
      <c r="AH19">
        <v>-1.017255314219071E-3</v>
      </c>
      <c r="AI19">
        <v>5.2642631523189534E-3</v>
      </c>
      <c r="AJ19">
        <v>1.195621590690161E-2</v>
      </c>
      <c r="AK19">
        <v>-9.4398430280719162E-3</v>
      </c>
      <c r="AL19">
        <v>1.980502808155736E-2</v>
      </c>
      <c r="AM19">
        <v>-4.0138636202736062E-2</v>
      </c>
      <c r="AN19">
        <v>-1.8827039817820228E-2</v>
      </c>
      <c r="AO19">
        <v>-2.1171844909596482E-3</v>
      </c>
      <c r="AP19">
        <v>6.8206416124285529E-3</v>
      </c>
      <c r="AQ19">
        <v>-8.5129829270483251E-2</v>
      </c>
      <c r="AR19">
        <v>-4.3762763181831872E-2</v>
      </c>
      <c r="AS19">
        <v>-2.5167364898567281E-2</v>
      </c>
      <c r="AT19">
        <v>7.1000186484632549E-2</v>
      </c>
      <c r="AU19">
        <v>-2.3860595943396758E-2</v>
      </c>
      <c r="AV19">
        <v>1.1712917049316741E-3</v>
      </c>
      <c r="AW19">
        <v>4.7446863451703972E-2</v>
      </c>
      <c r="AX19">
        <v>4.7590675098660128E-2</v>
      </c>
      <c r="AY19">
        <v>8.5687280241754007E-3</v>
      </c>
      <c r="AZ19">
        <v>5.7555565211329769E-2</v>
      </c>
      <c r="BA19">
        <v>1.8000798545571749E-2</v>
      </c>
      <c r="BB19">
        <v>-1.1458673927812109E-2</v>
      </c>
      <c r="BC19">
        <v>-2.830569098078789E-2</v>
      </c>
    </row>
    <row r="20" spans="1:55" x14ac:dyDescent="0.35">
      <c r="A20" s="1" t="s">
        <v>18</v>
      </c>
      <c r="B20">
        <v>5.0360063486709662E-3</v>
      </c>
      <c r="C20">
        <v>0.2140397826686358</v>
      </c>
      <c r="D20">
        <v>0.21360557770817931</v>
      </c>
      <c r="E20">
        <v>0.1661254878523202</v>
      </c>
      <c r="F20">
        <v>0.18536037010265241</v>
      </c>
      <c r="G20">
        <v>0.1563838103728763</v>
      </c>
      <c r="H20">
        <v>3.51675842069934E-3</v>
      </c>
      <c r="I20">
        <v>3.2132657387282611E-2</v>
      </c>
      <c r="J20">
        <v>3.1078254433781659E-2</v>
      </c>
      <c r="K20">
        <v>2.5829574828904779E-2</v>
      </c>
      <c r="L20">
        <v>-1.9524001826812101E-2</v>
      </c>
      <c r="M20">
        <v>6.5744855579250736E-2</v>
      </c>
      <c r="N20">
        <v>4.57205973379863E-2</v>
      </c>
      <c r="O20">
        <v>0.10372600279933369</v>
      </c>
      <c r="P20">
        <v>3.7657197889982022E-2</v>
      </c>
      <c r="Q20">
        <v>0.38980175882543611</v>
      </c>
      <c r="R20">
        <v>0.30401511375030799</v>
      </c>
      <c r="S20">
        <v>0.49575020823586252</v>
      </c>
      <c r="T20">
        <v>1</v>
      </c>
      <c r="U20">
        <v>0.25438595816484821</v>
      </c>
      <c r="V20">
        <v>0.22718930688959529</v>
      </c>
      <c r="W20">
        <v>0.25641280100662239</v>
      </c>
      <c r="X20">
        <v>0.1503620324132347</v>
      </c>
      <c r="Y20">
        <v>0.1579751852849044</v>
      </c>
      <c r="Z20">
        <v>0.19587621277137929</v>
      </c>
      <c r="AA20">
        <v>4.9035173543096403E-2</v>
      </c>
      <c r="AB20">
        <v>6.5140647152037323E-2</v>
      </c>
      <c r="AC20">
        <v>8.5325490530912901E-2</v>
      </c>
      <c r="AD20">
        <v>0.30932203102478179</v>
      </c>
      <c r="AE20">
        <v>0.1193070207533832</v>
      </c>
      <c r="AF20">
        <v>0.11891523964476269</v>
      </c>
      <c r="AG20">
        <v>0.1118000136501356</v>
      </c>
      <c r="AH20">
        <v>0.1029927779744472</v>
      </c>
      <c r="AI20">
        <v>6.964299511036727E-2</v>
      </c>
      <c r="AJ20">
        <v>0.1018322723767207</v>
      </c>
      <c r="AK20">
        <v>3.6743547247129242E-2</v>
      </c>
      <c r="AL20">
        <v>6.2549669203143574E-2</v>
      </c>
      <c r="AM20">
        <v>-7.4907983466065203E-3</v>
      </c>
      <c r="AN20">
        <v>8.7706991365961127E-3</v>
      </c>
      <c r="AO20">
        <v>2.6363023136128361E-2</v>
      </c>
      <c r="AP20">
        <v>-1.9979067468321901E-3</v>
      </c>
      <c r="AQ20">
        <v>-7.4469064465776655E-2</v>
      </c>
      <c r="AR20">
        <v>-7.541019933723965E-2</v>
      </c>
      <c r="AS20">
        <v>-2.9491632315726171E-2</v>
      </c>
      <c r="AT20">
        <v>7.7075202440107585E-2</v>
      </c>
      <c r="AU20">
        <v>1.309120458957023E-2</v>
      </c>
      <c r="AV20">
        <v>7.2207532995986669E-3</v>
      </c>
      <c r="AW20">
        <v>0.11131322584241719</v>
      </c>
      <c r="AX20">
        <v>3.6862069206026441E-3</v>
      </c>
      <c r="AY20">
        <v>7.3478191559055675E-2</v>
      </c>
      <c r="AZ20">
        <v>0.19960008240088281</v>
      </c>
      <c r="BA20">
        <v>0.12741740943058599</v>
      </c>
      <c r="BB20">
        <v>7.4217505251515936E-2</v>
      </c>
      <c r="BC20">
        <v>3.9943603255472172E-2</v>
      </c>
    </row>
    <row r="21" spans="1:55" x14ac:dyDescent="0.35">
      <c r="A21" s="1" t="s">
        <v>19</v>
      </c>
      <c r="B21">
        <v>-5.3140244978910197E-3</v>
      </c>
      <c r="C21">
        <v>6.3230964547365417E-2</v>
      </c>
      <c r="D21">
        <v>4.6409996514671037E-2</v>
      </c>
      <c r="E21">
        <v>1.6384696515290141E-2</v>
      </c>
      <c r="F21">
        <v>3.1540678640933427E-2</v>
      </c>
      <c r="G21">
        <v>8.0269419365074701E-2</v>
      </c>
      <c r="H21">
        <v>-3.4474154823085322E-3</v>
      </c>
      <c r="I21">
        <v>2.4377825996863299E-2</v>
      </c>
      <c r="J21">
        <v>0.1382721107359465</v>
      </c>
      <c r="K21">
        <v>-4.2673417833970932E-2</v>
      </c>
      <c r="L21">
        <v>-2.0398261046409589E-3</v>
      </c>
      <c r="M21">
        <v>0.1241480388997963</v>
      </c>
      <c r="N21">
        <v>0.1641004230010415</v>
      </c>
      <c r="O21">
        <v>0.17981135394531719</v>
      </c>
      <c r="P21">
        <v>0.2125655129382184</v>
      </c>
      <c r="Q21">
        <v>0.22697729003722081</v>
      </c>
      <c r="R21">
        <v>0.1007951921553015</v>
      </c>
      <c r="S21">
        <v>0.1482983450317944</v>
      </c>
      <c r="T21">
        <v>0.25438595816484821</v>
      </c>
      <c r="U21">
        <v>1</v>
      </c>
      <c r="V21">
        <v>0.47967997983471111</v>
      </c>
      <c r="W21">
        <v>0.39790864297897011</v>
      </c>
      <c r="X21">
        <v>0.171951327556152</v>
      </c>
      <c r="Y21">
        <v>0.15914419319063089</v>
      </c>
      <c r="Z21">
        <v>0.12518046422575749</v>
      </c>
      <c r="AA21">
        <v>-3.5630398556360881E-3</v>
      </c>
      <c r="AB21">
        <v>5.0344007613993727E-2</v>
      </c>
      <c r="AC21">
        <v>6.632215450087238E-2</v>
      </c>
      <c r="AD21">
        <v>0.15811722807032921</v>
      </c>
      <c r="AE21">
        <v>9.1157307058419526E-2</v>
      </c>
      <c r="AF21">
        <v>0.13990578869560469</v>
      </c>
      <c r="AG21">
        <v>0.1213764809908395</v>
      </c>
      <c r="AH21">
        <v>0.15717062066428239</v>
      </c>
      <c r="AI21">
        <v>0.1086389754693209</v>
      </c>
      <c r="AJ21">
        <v>6.4627206250548616E-2</v>
      </c>
      <c r="AK21">
        <v>6.8383667209575338E-2</v>
      </c>
      <c r="AL21">
        <v>1.8851314978621501E-2</v>
      </c>
      <c r="AM21">
        <v>5.455643245616016E-2</v>
      </c>
      <c r="AN21">
        <v>5.8712119701316207E-2</v>
      </c>
      <c r="AO21">
        <v>3.5190441930955448E-2</v>
      </c>
      <c r="AP21">
        <v>-3.6857795304905433E-2</v>
      </c>
      <c r="AQ21">
        <v>-1.6324474500498679E-2</v>
      </c>
      <c r="AR21">
        <v>8.5598841620356716E-3</v>
      </c>
      <c r="AS21">
        <v>-1.4045026840386171E-2</v>
      </c>
      <c r="AT21">
        <v>2.0560062812975611E-2</v>
      </c>
      <c r="AU21">
        <v>2.252361191129857E-2</v>
      </c>
      <c r="AV21">
        <v>1.0775517332310681E-2</v>
      </c>
      <c r="AW21">
        <v>8.5550057716385838E-2</v>
      </c>
      <c r="AX21">
        <v>6.4415530286047559E-2</v>
      </c>
      <c r="AY21">
        <v>0.16576399119509641</v>
      </c>
      <c r="AZ21">
        <v>0.1035221299685139</v>
      </c>
      <c r="BA21">
        <v>9.4303427819756175E-2</v>
      </c>
      <c r="BB21">
        <v>3.6168149494788943E-2</v>
      </c>
      <c r="BC21">
        <v>1.4919963856912461E-2</v>
      </c>
    </row>
    <row r="22" spans="1:55" x14ac:dyDescent="0.35">
      <c r="A22" s="1" t="s">
        <v>20</v>
      </c>
      <c r="B22">
        <v>3.8391652669122277E-2</v>
      </c>
      <c r="C22">
        <v>7.1175746166043385E-2</v>
      </c>
      <c r="D22">
        <v>8.9349743572499335E-2</v>
      </c>
      <c r="E22">
        <v>2.2110877649740259E-2</v>
      </c>
      <c r="F22">
        <v>7.309044289731946E-2</v>
      </c>
      <c r="G22">
        <v>6.611206516443828E-2</v>
      </c>
      <c r="H22">
        <v>2.3818548348298701E-2</v>
      </c>
      <c r="I22">
        <v>6.3157315606452755E-2</v>
      </c>
      <c r="J22">
        <v>0.16373643591275691</v>
      </c>
      <c r="K22">
        <v>-6.7188568991379927E-2</v>
      </c>
      <c r="L22">
        <v>3.9807106539712471E-2</v>
      </c>
      <c r="M22">
        <v>0.13125570217657689</v>
      </c>
      <c r="N22">
        <v>0.1432049183827265</v>
      </c>
      <c r="O22">
        <v>0.21705717342378841</v>
      </c>
      <c r="P22">
        <v>0.20154230045652219</v>
      </c>
      <c r="Q22">
        <v>0.25229679688713508</v>
      </c>
      <c r="R22">
        <v>8.2790713059343268E-2</v>
      </c>
      <c r="S22">
        <v>0.1302385323416988</v>
      </c>
      <c r="T22">
        <v>0.22718930688959529</v>
      </c>
      <c r="U22">
        <v>0.47967997983471111</v>
      </c>
      <c r="V22">
        <v>1</v>
      </c>
      <c r="W22">
        <v>0.46234041533828729</v>
      </c>
      <c r="X22">
        <v>0.18899705211406731</v>
      </c>
      <c r="Y22">
        <v>0.29382017844785968</v>
      </c>
      <c r="Z22">
        <v>0.25259667291076038</v>
      </c>
      <c r="AA22">
        <v>8.9698070754087117E-2</v>
      </c>
      <c r="AB22">
        <v>0.10177720813586361</v>
      </c>
      <c r="AC22">
        <v>0.15361972529946771</v>
      </c>
      <c r="AD22">
        <v>0.28574206759353732</v>
      </c>
      <c r="AE22">
        <v>0.12176085452444819</v>
      </c>
      <c r="AF22">
        <v>0.1700661724011629</v>
      </c>
      <c r="AG22">
        <v>0.2275882438822027</v>
      </c>
      <c r="AH22">
        <v>0.13155529364559801</v>
      </c>
      <c r="AI22">
        <v>0.15485633195403781</v>
      </c>
      <c r="AJ22">
        <v>9.058267472731886E-2</v>
      </c>
      <c r="AK22">
        <v>0.1202103545323111</v>
      </c>
      <c r="AL22">
        <v>0.1176509356877953</v>
      </c>
      <c r="AM22">
        <v>0.11331366119831759</v>
      </c>
      <c r="AN22">
        <v>6.2821054152917249E-2</v>
      </c>
      <c r="AO22">
        <v>2.0777208821571441E-2</v>
      </c>
      <c r="AP22">
        <v>6.4600595714767256E-2</v>
      </c>
      <c r="AQ22">
        <v>3.7733847087619787E-2</v>
      </c>
      <c r="AR22">
        <v>5.0731118726136698E-2</v>
      </c>
      <c r="AS22">
        <v>4.9333936604882819E-2</v>
      </c>
      <c r="AT22">
        <v>5.7345519187995048E-2</v>
      </c>
      <c r="AU22">
        <v>5.6203950581253243E-2</v>
      </c>
      <c r="AV22">
        <v>7.4856042769098019E-2</v>
      </c>
      <c r="AW22">
        <v>0.20514623096841361</v>
      </c>
      <c r="AX22">
        <v>0.15819307675466401</v>
      </c>
      <c r="AY22">
        <v>0.20292551398884601</v>
      </c>
      <c r="AZ22">
        <v>0.17670086046852759</v>
      </c>
      <c r="BA22">
        <v>0.15539725357098419</v>
      </c>
      <c r="BB22">
        <v>6.5134534062581878E-2</v>
      </c>
      <c r="BC22">
        <v>-1.7361048567772371E-2</v>
      </c>
    </row>
    <row r="23" spans="1:55" x14ac:dyDescent="0.35">
      <c r="A23" s="1" t="s">
        <v>21</v>
      </c>
      <c r="B23">
        <v>1.684594960390827E-2</v>
      </c>
      <c r="C23">
        <v>-4.2387132071062171E-2</v>
      </c>
      <c r="D23">
        <v>-3.6992534379053331E-2</v>
      </c>
      <c r="E23">
        <v>-1.9761986984590259E-2</v>
      </c>
      <c r="F23">
        <v>-1.7258304536978729E-3</v>
      </c>
      <c r="G23">
        <v>-1.8566035480901091E-2</v>
      </c>
      <c r="H23">
        <v>-2.4262336809921591E-2</v>
      </c>
      <c r="I23">
        <v>7.2704134843493529E-2</v>
      </c>
      <c r="J23">
        <v>0.1726993405046065</v>
      </c>
      <c r="K23">
        <v>-0.1036455442312014</v>
      </c>
      <c r="L23">
        <v>-2.792600049325035E-2</v>
      </c>
      <c r="M23">
        <v>9.7157424554147789E-2</v>
      </c>
      <c r="N23">
        <v>0.17152667733239291</v>
      </c>
      <c r="O23">
        <v>0.24035523983986801</v>
      </c>
      <c r="P23">
        <v>0.19084673178046541</v>
      </c>
      <c r="Q23">
        <v>9.0866686052353568E-2</v>
      </c>
      <c r="R23">
        <v>3.091660475114719E-2</v>
      </c>
      <c r="S23">
        <v>0.12859463352908801</v>
      </c>
      <c r="T23">
        <v>0.25641280100662239</v>
      </c>
      <c r="U23">
        <v>0.39790864297897011</v>
      </c>
      <c r="V23">
        <v>0.46234041533828729</v>
      </c>
      <c r="W23">
        <v>1</v>
      </c>
      <c r="X23">
        <v>0.26160208412697572</v>
      </c>
      <c r="Y23">
        <v>0.34259183427858819</v>
      </c>
      <c r="Z23">
        <v>0.30965886215967231</v>
      </c>
      <c r="AA23">
        <v>0.13693479205526221</v>
      </c>
      <c r="AB23">
        <v>0.16779618611678401</v>
      </c>
      <c r="AC23">
        <v>0.28901495542399019</v>
      </c>
      <c r="AD23">
        <v>0.37615290616969083</v>
      </c>
      <c r="AE23">
        <v>0.20840022276006209</v>
      </c>
      <c r="AF23">
        <v>0.20476121963887009</v>
      </c>
      <c r="AG23">
        <v>0.30465794635980981</v>
      </c>
      <c r="AH23">
        <v>0.2203642280424857</v>
      </c>
      <c r="AI23">
        <v>0.22021050550601101</v>
      </c>
      <c r="AJ23">
        <v>0.25133815012860189</v>
      </c>
      <c r="AK23">
        <v>0.19144553859396399</v>
      </c>
      <c r="AL23">
        <v>0.15831078426311579</v>
      </c>
      <c r="AM23">
        <v>0.20685899652016321</v>
      </c>
      <c r="AN23">
        <v>0.19018500795130081</v>
      </c>
      <c r="AO23">
        <v>0.19425169645379259</v>
      </c>
      <c r="AP23">
        <v>0.15849993876837509</v>
      </c>
      <c r="AQ23">
        <v>0.12652119622919619</v>
      </c>
      <c r="AR23">
        <v>8.2228590091169007E-2</v>
      </c>
      <c r="AS23">
        <v>5.3524431039095842E-2</v>
      </c>
      <c r="AT23">
        <v>0.216449182488297</v>
      </c>
      <c r="AU23">
        <v>0.1500380621619764</v>
      </c>
      <c r="AV23">
        <v>0.10224073033400929</v>
      </c>
      <c r="AW23">
        <v>0.26431637425830318</v>
      </c>
      <c r="AX23">
        <v>0.1499256415733215</v>
      </c>
      <c r="AY23">
        <v>0.15739584199148929</v>
      </c>
      <c r="AZ23">
        <v>0.22360885567114841</v>
      </c>
      <c r="BA23">
        <v>0.15653763754340999</v>
      </c>
      <c r="BB23">
        <v>0.18003422252631221</v>
      </c>
      <c r="BC23">
        <v>0.1348923116212096</v>
      </c>
    </row>
    <row r="24" spans="1:55" x14ac:dyDescent="0.35">
      <c r="A24" s="1" t="s">
        <v>22</v>
      </c>
      <c r="B24">
        <v>8.2270203169502558E-3</v>
      </c>
      <c r="C24">
        <v>-8.9644338288791675E-2</v>
      </c>
      <c r="D24">
        <v>-3.849076810565738E-2</v>
      </c>
      <c r="E24">
        <v>-1.1932918522544919E-2</v>
      </c>
      <c r="F24">
        <v>5.73414226908847E-2</v>
      </c>
      <c r="G24">
        <v>-0.1036944860515827</v>
      </c>
      <c r="H24">
        <v>-8.3905216722022953E-3</v>
      </c>
      <c r="I24">
        <v>9.5814851570778375E-2</v>
      </c>
      <c r="J24">
        <v>0.1463824157133477</v>
      </c>
      <c r="K24">
        <v>-4.9294201262590161E-2</v>
      </c>
      <c r="L24">
        <v>-2.5921309918071522E-2</v>
      </c>
      <c r="M24">
        <v>9.2057394328308756E-2</v>
      </c>
      <c r="N24">
        <v>0.168796346765587</v>
      </c>
      <c r="O24">
        <v>0.19289800702907139</v>
      </c>
      <c r="P24">
        <v>7.2119393234879661E-2</v>
      </c>
      <c r="Q24">
        <v>1.5053864349908E-2</v>
      </c>
      <c r="R24">
        <v>3.0876572025654699E-2</v>
      </c>
      <c r="S24">
        <v>5.2121988579599217E-2</v>
      </c>
      <c r="T24">
        <v>0.1503620324132347</v>
      </c>
      <c r="U24">
        <v>0.171951327556152</v>
      </c>
      <c r="V24">
        <v>0.18899705211406731</v>
      </c>
      <c r="W24">
        <v>0.26160208412697572</v>
      </c>
      <c r="X24">
        <v>1</v>
      </c>
      <c r="Y24">
        <v>0.5657587860660529</v>
      </c>
      <c r="Z24">
        <v>0.24710811363103391</v>
      </c>
      <c r="AA24">
        <v>2.8710577002759889E-3</v>
      </c>
      <c r="AB24">
        <v>3.4842355586622561E-2</v>
      </c>
      <c r="AC24">
        <v>7.6150557272717287E-2</v>
      </c>
      <c r="AD24">
        <v>0.10270304162948519</v>
      </c>
      <c r="AE24">
        <v>0.1450138869977203</v>
      </c>
      <c r="AF24">
        <v>0.13783856628674721</v>
      </c>
      <c r="AG24">
        <v>0.22381165249065821</v>
      </c>
      <c r="AH24">
        <v>0.1065165382542808</v>
      </c>
      <c r="AI24">
        <v>7.5939976247708763E-2</v>
      </c>
      <c r="AJ24">
        <v>9.7208058213923768E-2</v>
      </c>
      <c r="AK24">
        <v>0.1071321326841909</v>
      </c>
      <c r="AL24">
        <v>8.9693780725327202E-2</v>
      </c>
      <c r="AM24">
        <v>0.13666849462906039</v>
      </c>
      <c r="AN24">
        <v>0.1052646586354339</v>
      </c>
      <c r="AO24">
        <v>9.0367472357898063E-2</v>
      </c>
      <c r="AP24">
        <v>8.8558199745808544E-2</v>
      </c>
      <c r="AQ24">
        <v>0.10556633940898071</v>
      </c>
      <c r="AR24">
        <v>5.0622342425761663E-2</v>
      </c>
      <c r="AS24">
        <v>7.5859760260969744E-2</v>
      </c>
      <c r="AT24">
        <v>4.6362865175376203E-2</v>
      </c>
      <c r="AU24">
        <v>3.5811269128685062E-2</v>
      </c>
      <c r="AV24">
        <v>7.4867255428226379E-2</v>
      </c>
      <c r="AW24">
        <v>0.16675929357920799</v>
      </c>
      <c r="AX24">
        <v>0.1271726588947201</v>
      </c>
      <c r="AY24">
        <v>5.1004982585347372E-2</v>
      </c>
      <c r="AZ24">
        <v>0.12088671142893161</v>
      </c>
      <c r="BA24">
        <v>8.9571483111768893E-2</v>
      </c>
      <c r="BB24">
        <v>9.675054473658587E-2</v>
      </c>
      <c r="BC24">
        <v>9.3868001856713554E-2</v>
      </c>
    </row>
    <row r="25" spans="1:55" x14ac:dyDescent="0.35">
      <c r="A25" s="1" t="s">
        <v>23</v>
      </c>
      <c r="B25">
        <v>1.881617891103543E-2</v>
      </c>
      <c r="C25">
        <v>-4.0915679573472662E-2</v>
      </c>
      <c r="D25">
        <v>-1.757761171251282E-2</v>
      </c>
      <c r="E25">
        <v>2.3497566702747842E-3</v>
      </c>
      <c r="F25">
        <v>0.1114459414710265</v>
      </c>
      <c r="G25">
        <v>-4.2176797174419148E-2</v>
      </c>
      <c r="H25">
        <v>-3.1167506701993E-2</v>
      </c>
      <c r="I25">
        <v>0.13368299576842571</v>
      </c>
      <c r="J25">
        <v>0.19938267887011751</v>
      </c>
      <c r="K25">
        <v>-0.1171799553110429</v>
      </c>
      <c r="L25">
        <v>-5.323366523380735E-3</v>
      </c>
      <c r="M25">
        <v>0.1859157822622178</v>
      </c>
      <c r="N25">
        <v>0.20625407333903931</v>
      </c>
      <c r="O25">
        <v>0.28711049377716708</v>
      </c>
      <c r="P25">
        <v>0.17232670672894271</v>
      </c>
      <c r="Q25">
        <v>9.0934551167785344E-2</v>
      </c>
      <c r="R25">
        <v>4.1296559648195969E-3</v>
      </c>
      <c r="S25">
        <v>8.8489302925966754E-2</v>
      </c>
      <c r="T25">
        <v>0.1579751852849044</v>
      </c>
      <c r="U25">
        <v>0.15914419319063089</v>
      </c>
      <c r="V25">
        <v>0.29382017844785968</v>
      </c>
      <c r="W25">
        <v>0.34259183427858819</v>
      </c>
      <c r="X25">
        <v>0.5657587860660529</v>
      </c>
      <c r="Y25">
        <v>1</v>
      </c>
      <c r="Z25">
        <v>0.37483401426408142</v>
      </c>
      <c r="AA25">
        <v>0.17324330017688641</v>
      </c>
      <c r="AB25">
        <v>0.14191740274260861</v>
      </c>
      <c r="AC25">
        <v>0.24427549819664801</v>
      </c>
      <c r="AD25">
        <v>0.21376328211995399</v>
      </c>
      <c r="AE25">
        <v>0.22467841447651449</v>
      </c>
      <c r="AF25">
        <v>0.19859653668367991</v>
      </c>
      <c r="AG25">
        <v>0.25362259594690911</v>
      </c>
      <c r="AH25">
        <v>0.17324377654817749</v>
      </c>
      <c r="AI25">
        <v>0.19078303403564209</v>
      </c>
      <c r="AJ25">
        <v>0.178139530647933</v>
      </c>
      <c r="AK25">
        <v>0.16132568820655199</v>
      </c>
      <c r="AL25">
        <v>0.1664329322314618</v>
      </c>
      <c r="AM25">
        <v>0.16605874852272601</v>
      </c>
      <c r="AN25">
        <v>0.18809023442204281</v>
      </c>
      <c r="AO25">
        <v>0.15835880181020651</v>
      </c>
      <c r="AP25">
        <v>0.17518510424459641</v>
      </c>
      <c r="AQ25">
        <v>9.7903157965636298E-2</v>
      </c>
      <c r="AR25">
        <v>5.8361731361282691E-2</v>
      </c>
      <c r="AS25">
        <v>1.314719958072781E-2</v>
      </c>
      <c r="AT25">
        <v>6.0287202064123642E-2</v>
      </c>
      <c r="AU25">
        <v>4.2607149522612763E-2</v>
      </c>
      <c r="AV25">
        <v>3.786627678503305E-2</v>
      </c>
      <c r="AW25">
        <v>0.22946295886458351</v>
      </c>
      <c r="AX25">
        <v>0.14585729195001829</v>
      </c>
      <c r="AY25">
        <v>0.1012801336084856</v>
      </c>
      <c r="AZ25">
        <v>0.1788683459269276</v>
      </c>
      <c r="BA25">
        <v>0.14937133031712629</v>
      </c>
      <c r="BB25">
        <v>6.0933664149915807E-2</v>
      </c>
      <c r="BC25">
        <v>1.8907885139653659E-2</v>
      </c>
    </row>
    <row r="26" spans="1:55" x14ac:dyDescent="0.35">
      <c r="A26" s="1" t="s">
        <v>24</v>
      </c>
      <c r="B26">
        <v>8.7416475667496472E-3</v>
      </c>
      <c r="C26">
        <v>-9.9837750051147041E-3</v>
      </c>
      <c r="D26">
        <v>-6.2844981090254496E-3</v>
      </c>
      <c r="E26">
        <v>7.6191977653030271E-5</v>
      </c>
      <c r="F26">
        <v>5.11364050406223E-2</v>
      </c>
      <c r="G26">
        <v>2.14865102715158E-2</v>
      </c>
      <c r="H26">
        <v>3.9050810131177643E-2</v>
      </c>
      <c r="I26">
        <v>0.1121574512926278</v>
      </c>
      <c r="J26">
        <v>0.13283456616163231</v>
      </c>
      <c r="K26">
        <v>-0.1651017820892989</v>
      </c>
      <c r="L26">
        <v>-4.3900126617336069E-2</v>
      </c>
      <c r="M26">
        <v>0.27517975046970761</v>
      </c>
      <c r="N26">
        <v>0.22784138677899421</v>
      </c>
      <c r="O26">
        <v>0.37253292007729538</v>
      </c>
      <c r="P26">
        <v>0.24458511060875149</v>
      </c>
      <c r="Q26">
        <v>0.1080947758782029</v>
      </c>
      <c r="R26">
        <v>6.9171852401952671E-2</v>
      </c>
      <c r="S26">
        <v>0.17982634893583299</v>
      </c>
      <c r="T26">
        <v>0.19587621277137929</v>
      </c>
      <c r="U26">
        <v>0.12518046422575749</v>
      </c>
      <c r="V26">
        <v>0.25259667291076038</v>
      </c>
      <c r="W26">
        <v>0.30965886215967231</v>
      </c>
      <c r="X26">
        <v>0.24710811363103391</v>
      </c>
      <c r="Y26">
        <v>0.37483401426408142</v>
      </c>
      <c r="Z26">
        <v>1</v>
      </c>
      <c r="AA26">
        <v>0.38980836527051621</v>
      </c>
      <c r="AB26">
        <v>0.29466610003777938</v>
      </c>
      <c r="AC26">
        <v>0.42487907768875288</v>
      </c>
      <c r="AD26">
        <v>0.37946770010435082</v>
      </c>
      <c r="AE26">
        <v>0.27222299742739509</v>
      </c>
      <c r="AF26">
        <v>0.25836509959931059</v>
      </c>
      <c r="AG26">
        <v>0.34203761504563601</v>
      </c>
      <c r="AH26">
        <v>0.2004756443406871</v>
      </c>
      <c r="AI26">
        <v>0.23679588674814961</v>
      </c>
      <c r="AJ26">
        <v>0.28000111869380451</v>
      </c>
      <c r="AK26">
        <v>0.20980889512464021</v>
      </c>
      <c r="AL26">
        <v>0.22884357474905709</v>
      </c>
      <c r="AM26">
        <v>0.25584468820539608</v>
      </c>
      <c r="AN26">
        <v>0.1694010420666994</v>
      </c>
      <c r="AO26">
        <v>0.2446667950278095</v>
      </c>
      <c r="AP26">
        <v>0.24413525048385309</v>
      </c>
      <c r="AQ26">
        <v>0.16988500881757559</v>
      </c>
      <c r="AR26">
        <v>0.13228361403135469</v>
      </c>
      <c r="AS26">
        <v>0.1051305834591057</v>
      </c>
      <c r="AT26">
        <v>0.1210871652706603</v>
      </c>
      <c r="AU26">
        <v>0.10359025824188919</v>
      </c>
      <c r="AV26">
        <v>9.500781462742719E-2</v>
      </c>
      <c r="AW26">
        <v>0.22354676138466451</v>
      </c>
      <c r="AX26">
        <v>0.11425578568502159</v>
      </c>
      <c r="AY26">
        <v>9.5405497085389188E-2</v>
      </c>
      <c r="AZ26">
        <v>6.6569529645519862E-2</v>
      </c>
      <c r="BA26">
        <v>6.7155226811108831E-2</v>
      </c>
      <c r="BB26">
        <v>4.3565273031384619E-2</v>
      </c>
      <c r="BC26">
        <v>5.8519158052760152E-2</v>
      </c>
    </row>
    <row r="27" spans="1:55" x14ac:dyDescent="0.35">
      <c r="A27" s="1" t="s">
        <v>25</v>
      </c>
      <c r="B27">
        <v>-1.3142896011452329E-3</v>
      </c>
      <c r="C27">
        <v>-9.5072654876959654E-4</v>
      </c>
      <c r="D27">
        <v>-4.2117884791579047E-2</v>
      </c>
      <c r="E27">
        <v>-8.4414383791295983E-3</v>
      </c>
      <c r="F27">
        <v>5.8244115907251849E-2</v>
      </c>
      <c r="G27">
        <v>1.5260010761989131E-2</v>
      </c>
      <c r="H27">
        <v>-7.3208415916841671E-2</v>
      </c>
      <c r="I27">
        <v>3.2526104904132477E-2</v>
      </c>
      <c r="J27">
        <v>0.121116332239316</v>
      </c>
      <c r="K27">
        <v>-0.20045266706926801</v>
      </c>
      <c r="L27">
        <v>2.699064818898702E-2</v>
      </c>
      <c r="M27">
        <v>0.369838167535186</v>
      </c>
      <c r="N27">
        <v>0.33325805936391728</v>
      </c>
      <c r="O27">
        <v>0.38551983620285157</v>
      </c>
      <c r="P27">
        <v>0.45742462721384708</v>
      </c>
      <c r="Q27">
        <v>0.1697112374390185</v>
      </c>
      <c r="R27">
        <v>-1.876619851147902E-2</v>
      </c>
      <c r="S27">
        <v>4.383594806849197E-3</v>
      </c>
      <c r="T27">
        <v>4.9035173543096403E-2</v>
      </c>
      <c r="U27">
        <v>-3.5630398556360881E-3</v>
      </c>
      <c r="V27">
        <v>8.9698070754087117E-2</v>
      </c>
      <c r="W27">
        <v>0.13693479205526221</v>
      </c>
      <c r="X27">
        <v>2.8710577002759889E-3</v>
      </c>
      <c r="Y27">
        <v>0.17324330017688641</v>
      </c>
      <c r="Z27">
        <v>0.38980836527051621</v>
      </c>
      <c r="AA27">
        <v>1</v>
      </c>
      <c r="AB27">
        <v>0.61495381238250846</v>
      </c>
      <c r="AC27">
        <v>0.61370433110735279</v>
      </c>
      <c r="AD27">
        <v>0.44190525050857421</v>
      </c>
      <c r="AE27">
        <v>0.25813805734765111</v>
      </c>
      <c r="AF27">
        <v>0.24019096965589759</v>
      </c>
      <c r="AG27">
        <v>0.31100247973413608</v>
      </c>
      <c r="AH27">
        <v>0.25418803299567438</v>
      </c>
      <c r="AI27">
        <v>0.25510427225941801</v>
      </c>
      <c r="AJ27">
        <v>0.30182797742048378</v>
      </c>
      <c r="AK27">
        <v>0.2755228081426086</v>
      </c>
      <c r="AL27">
        <v>0.23300588073226719</v>
      </c>
      <c r="AM27">
        <v>0.24856463150224731</v>
      </c>
      <c r="AN27">
        <v>0.2402676702161371</v>
      </c>
      <c r="AO27">
        <v>0.21949749105596639</v>
      </c>
      <c r="AP27">
        <v>0.17161621306349231</v>
      </c>
      <c r="AQ27">
        <v>0.1220821659548583</v>
      </c>
      <c r="AR27">
        <v>0.1182141103147491</v>
      </c>
      <c r="AS27">
        <v>4.8334477875112483E-2</v>
      </c>
      <c r="AT27">
        <v>0.23906179365253419</v>
      </c>
      <c r="AU27">
        <v>0.15742458645270541</v>
      </c>
      <c r="AV27">
        <v>7.2172267485732494E-2</v>
      </c>
      <c r="AW27">
        <v>0.2095800848010527</v>
      </c>
      <c r="AX27">
        <v>0.1162800935822625</v>
      </c>
      <c r="AY27">
        <v>0.1218904420981603</v>
      </c>
      <c r="AZ27">
        <v>0.1348945416790292</v>
      </c>
      <c r="BA27">
        <v>2.7592269667428761E-2</v>
      </c>
      <c r="BB27">
        <v>-1.091498815866605E-2</v>
      </c>
      <c r="BC27">
        <v>-7.7467091417019587E-2</v>
      </c>
    </row>
    <row r="28" spans="1:55" x14ac:dyDescent="0.35">
      <c r="A28" s="1" t="s">
        <v>26</v>
      </c>
      <c r="B28">
        <v>-1.6306052970605711E-3</v>
      </c>
      <c r="C28">
        <v>-0.14334956116458841</v>
      </c>
      <c r="D28">
        <v>-0.13582931932664291</v>
      </c>
      <c r="E28">
        <v>-0.13098497449069299</v>
      </c>
      <c r="F28">
        <v>-1.469480970952453E-3</v>
      </c>
      <c r="G28">
        <v>-9.888458983143221E-2</v>
      </c>
      <c r="H28">
        <v>-4.9565185211256593E-2</v>
      </c>
      <c r="I28">
        <v>8.845599535538276E-2</v>
      </c>
      <c r="J28">
        <v>0.15743928225021989</v>
      </c>
      <c r="K28">
        <v>-0.14056994039496901</v>
      </c>
      <c r="L28">
        <v>-4.4680843794987143E-2</v>
      </c>
      <c r="M28">
        <v>0.3225091367572171</v>
      </c>
      <c r="N28">
        <v>0.29915690805119022</v>
      </c>
      <c r="O28">
        <v>0.39903926691575881</v>
      </c>
      <c r="P28">
        <v>0.37971030419484131</v>
      </c>
      <c r="Q28">
        <v>7.1836514160485018E-2</v>
      </c>
      <c r="R28">
        <v>-6.6619133524884008E-2</v>
      </c>
      <c r="S28">
        <v>-3.8953754358066049E-2</v>
      </c>
      <c r="T28">
        <v>6.5140647152037323E-2</v>
      </c>
      <c r="U28">
        <v>5.0344007613993727E-2</v>
      </c>
      <c r="V28">
        <v>0.10177720813586361</v>
      </c>
      <c r="W28">
        <v>0.16779618611678401</v>
      </c>
      <c r="X28">
        <v>3.4842355586622561E-2</v>
      </c>
      <c r="Y28">
        <v>0.14191740274260861</v>
      </c>
      <c r="Z28">
        <v>0.29466610003777938</v>
      </c>
      <c r="AA28">
        <v>0.61495381238250846</v>
      </c>
      <c r="AB28">
        <v>1</v>
      </c>
      <c r="AC28">
        <v>0.67864256037564774</v>
      </c>
      <c r="AD28">
        <v>0.47551211365356388</v>
      </c>
      <c r="AE28">
        <v>0.34762588597722988</v>
      </c>
      <c r="AF28">
        <v>0.33809588113997019</v>
      </c>
      <c r="AG28">
        <v>0.34395722340264578</v>
      </c>
      <c r="AH28">
        <v>0.31995554556006128</v>
      </c>
      <c r="AI28">
        <v>0.3498263377212551</v>
      </c>
      <c r="AJ28">
        <v>0.38086258310428078</v>
      </c>
      <c r="AK28">
        <v>0.33301524937615051</v>
      </c>
      <c r="AL28">
        <v>0.28317477136105063</v>
      </c>
      <c r="AM28">
        <v>0.3246851874776201</v>
      </c>
      <c r="AN28">
        <v>0.31956414438466502</v>
      </c>
      <c r="AO28">
        <v>0.28306456127845619</v>
      </c>
      <c r="AP28">
        <v>0.25672862204384062</v>
      </c>
      <c r="AQ28">
        <v>0.16466685997497191</v>
      </c>
      <c r="AR28">
        <v>0.14427021915388449</v>
      </c>
      <c r="AS28">
        <v>6.1808236981035103E-2</v>
      </c>
      <c r="AT28">
        <v>0.27417785926020199</v>
      </c>
      <c r="AU28">
        <v>0.24068899944961181</v>
      </c>
      <c r="AV28">
        <v>0.15363281286688071</v>
      </c>
      <c r="AW28">
        <v>0.26671115724702782</v>
      </c>
      <c r="AX28">
        <v>0.17050726571813141</v>
      </c>
      <c r="AY28">
        <v>0.1869037480940163</v>
      </c>
      <c r="AZ28">
        <v>0.164087648418031</v>
      </c>
      <c r="BA28">
        <v>7.3638886431450973E-2</v>
      </c>
      <c r="BB28">
        <v>7.7351712474072493E-2</v>
      </c>
      <c r="BC28">
        <v>0.1114093859505364</v>
      </c>
    </row>
    <row r="29" spans="1:55" x14ac:dyDescent="0.35">
      <c r="A29" s="1" t="s">
        <v>27</v>
      </c>
      <c r="B29">
        <v>-1.5659250907355961E-2</v>
      </c>
      <c r="C29">
        <v>-9.3931131464656398E-2</v>
      </c>
      <c r="D29">
        <v>-0.1058809673600961</v>
      </c>
      <c r="E29">
        <v>-9.8412123369322493E-2</v>
      </c>
      <c r="F29">
        <v>4.1326144518510653E-2</v>
      </c>
      <c r="G29">
        <v>-3.0753194627853839E-2</v>
      </c>
      <c r="H29">
        <v>-5.9910540923020061E-2</v>
      </c>
      <c r="I29">
        <v>8.355156843324367E-2</v>
      </c>
      <c r="J29">
        <v>0.16114446006668709</v>
      </c>
      <c r="K29">
        <v>-0.1790097755958853</v>
      </c>
      <c r="L29">
        <v>-2.34414392302199E-2</v>
      </c>
      <c r="M29">
        <v>0.34112833736853992</v>
      </c>
      <c r="N29">
        <v>0.34849942263370481</v>
      </c>
      <c r="O29">
        <v>0.42572474496694751</v>
      </c>
      <c r="P29">
        <v>0.45273899211956931</v>
      </c>
      <c r="Q29">
        <v>2.9723357274926719E-2</v>
      </c>
      <c r="R29">
        <v>-7.0253929981310539E-2</v>
      </c>
      <c r="S29">
        <v>-2.625826613403422E-2</v>
      </c>
      <c r="T29">
        <v>8.5325490530912901E-2</v>
      </c>
      <c r="U29">
        <v>6.632215450087238E-2</v>
      </c>
      <c r="V29">
        <v>0.15361972529946771</v>
      </c>
      <c r="W29">
        <v>0.28901495542399019</v>
      </c>
      <c r="X29">
        <v>7.6150557272717287E-2</v>
      </c>
      <c r="Y29">
        <v>0.24427549819664801</v>
      </c>
      <c r="Z29">
        <v>0.42487907768875288</v>
      </c>
      <c r="AA29">
        <v>0.61370433110735279</v>
      </c>
      <c r="AB29">
        <v>0.67864256037564774</v>
      </c>
      <c r="AC29">
        <v>1</v>
      </c>
      <c r="AD29">
        <v>0.56312322651688063</v>
      </c>
      <c r="AE29">
        <v>0.41194763154121999</v>
      </c>
      <c r="AF29">
        <v>0.36485089636156742</v>
      </c>
      <c r="AG29">
        <v>0.42074455743377998</v>
      </c>
      <c r="AH29">
        <v>0.32121037543899039</v>
      </c>
      <c r="AI29">
        <v>0.38404399232584302</v>
      </c>
      <c r="AJ29">
        <v>0.41650215046556438</v>
      </c>
      <c r="AK29">
        <v>0.36160349167371619</v>
      </c>
      <c r="AL29">
        <v>0.32827897578600101</v>
      </c>
      <c r="AM29">
        <v>0.35445161632476607</v>
      </c>
      <c r="AN29">
        <v>0.32759511881206321</v>
      </c>
      <c r="AO29">
        <v>0.31564835920063461</v>
      </c>
      <c r="AP29">
        <v>0.31864782292551741</v>
      </c>
      <c r="AQ29">
        <v>0.32479385548039208</v>
      </c>
      <c r="AR29">
        <v>0.25049978554980568</v>
      </c>
      <c r="AS29">
        <v>0.18005963726038979</v>
      </c>
      <c r="AT29">
        <v>0.2701128357375836</v>
      </c>
      <c r="AU29">
        <v>0.19436668900910101</v>
      </c>
      <c r="AV29">
        <v>9.0777700329100736E-2</v>
      </c>
      <c r="AW29">
        <v>0.3402173016253196</v>
      </c>
      <c r="AX29">
        <v>0.1930215943312199</v>
      </c>
      <c r="AY29">
        <v>0.22857450957613271</v>
      </c>
      <c r="AZ29">
        <v>0.16599195699253411</v>
      </c>
      <c r="BA29">
        <v>0.162572878361396</v>
      </c>
      <c r="BB29">
        <v>0.1670471481504647</v>
      </c>
      <c r="BC29">
        <v>0.12646169411383251</v>
      </c>
    </row>
    <row r="30" spans="1:55" x14ac:dyDescent="0.35">
      <c r="A30" s="1" t="s">
        <v>28</v>
      </c>
      <c r="B30">
        <v>-1.1661815466005789E-3</v>
      </c>
      <c r="C30">
        <v>7.1480027664814816E-2</v>
      </c>
      <c r="D30">
        <v>6.2770955890229518E-2</v>
      </c>
      <c r="E30">
        <v>5.7897118445917162E-2</v>
      </c>
      <c r="F30">
        <v>0.1240157985912875</v>
      </c>
      <c r="G30">
        <v>3.4588926323246262E-2</v>
      </c>
      <c r="H30">
        <v>-8.7523454109721247E-2</v>
      </c>
      <c r="I30">
        <v>6.4355017600117706E-2</v>
      </c>
      <c r="J30">
        <v>0.17386550859343569</v>
      </c>
      <c r="K30">
        <v>-0.16374664163592709</v>
      </c>
      <c r="L30">
        <v>-2.38133427710608E-2</v>
      </c>
      <c r="M30">
        <v>0.31584174252851888</v>
      </c>
      <c r="N30">
        <v>0.26926974357316541</v>
      </c>
      <c r="O30">
        <v>0.36759285818846082</v>
      </c>
      <c r="P30">
        <v>0.35723049257409628</v>
      </c>
      <c r="Q30">
        <v>0.33302292850118381</v>
      </c>
      <c r="R30">
        <v>5.5541880923657867E-2</v>
      </c>
      <c r="S30">
        <v>0.17478574093126459</v>
      </c>
      <c r="T30">
        <v>0.30932203102478179</v>
      </c>
      <c r="U30">
        <v>0.15811722807032921</v>
      </c>
      <c r="V30">
        <v>0.28574206759353732</v>
      </c>
      <c r="W30">
        <v>0.37615290616969083</v>
      </c>
      <c r="X30">
        <v>0.10270304162948519</v>
      </c>
      <c r="Y30">
        <v>0.21376328211995399</v>
      </c>
      <c r="Z30">
        <v>0.37946770010435082</v>
      </c>
      <c r="AA30">
        <v>0.44190525050857421</v>
      </c>
      <c r="AB30">
        <v>0.47551211365356388</v>
      </c>
      <c r="AC30">
        <v>0.56312322651688063</v>
      </c>
      <c r="AD30">
        <v>1</v>
      </c>
      <c r="AE30">
        <v>0.39228334083833399</v>
      </c>
      <c r="AF30">
        <v>0.34729573226180682</v>
      </c>
      <c r="AG30">
        <v>0.42727015689950698</v>
      </c>
      <c r="AH30">
        <v>0.34420879769185397</v>
      </c>
      <c r="AI30">
        <v>0.36750317430262158</v>
      </c>
      <c r="AJ30">
        <v>0.40705010508382827</v>
      </c>
      <c r="AK30">
        <v>0.35643993244279631</v>
      </c>
      <c r="AL30">
        <v>0.29795912587652301</v>
      </c>
      <c r="AM30">
        <v>0.35703606159338352</v>
      </c>
      <c r="AN30">
        <v>0.27693211872327977</v>
      </c>
      <c r="AO30">
        <v>0.31305736638280729</v>
      </c>
      <c r="AP30">
        <v>0.28369409413547542</v>
      </c>
      <c r="AQ30">
        <v>0.21113179434508861</v>
      </c>
      <c r="AR30">
        <v>0.14102330856277301</v>
      </c>
      <c r="AS30">
        <v>8.786496556437158E-2</v>
      </c>
      <c r="AT30">
        <v>0.4050780732295014</v>
      </c>
      <c r="AU30">
        <v>0.30641647665287991</v>
      </c>
      <c r="AV30">
        <v>0.18918380212282451</v>
      </c>
      <c r="AW30">
        <v>0.44561973385491022</v>
      </c>
      <c r="AX30">
        <v>0.26301883594558462</v>
      </c>
      <c r="AY30">
        <v>0.31510287440855611</v>
      </c>
      <c r="AZ30">
        <v>0.34063723604586421</v>
      </c>
      <c r="BA30">
        <v>0.23890872900546739</v>
      </c>
      <c r="BB30">
        <v>0.25064683119343178</v>
      </c>
      <c r="BC30">
        <v>0.13027680619091631</v>
      </c>
    </row>
    <row r="31" spans="1:55" x14ac:dyDescent="0.35">
      <c r="A31" s="1" t="s">
        <v>29</v>
      </c>
      <c r="B31">
        <v>1.6109129146532852E-2</v>
      </c>
      <c r="C31">
        <v>-5.5447990369465031E-2</v>
      </c>
      <c r="D31">
        <v>-5.3631871965451189E-2</v>
      </c>
      <c r="E31">
        <v>-1.058322543848556E-2</v>
      </c>
      <c r="F31">
        <v>0.1119749342704232</v>
      </c>
      <c r="G31">
        <v>-1.7597494406863569E-2</v>
      </c>
      <c r="H31">
        <v>-1.6200768668801789E-2</v>
      </c>
      <c r="I31">
        <v>4.8148369164315412E-2</v>
      </c>
      <c r="J31">
        <v>0.12803344279007689</v>
      </c>
      <c r="K31">
        <v>-0.13773121536858329</v>
      </c>
      <c r="L31">
        <v>-5.9608886434365557E-2</v>
      </c>
      <c r="M31">
        <v>0.20869926951299661</v>
      </c>
      <c r="N31">
        <v>0.23242073624948539</v>
      </c>
      <c r="O31">
        <v>0.31323579436677651</v>
      </c>
      <c r="P31">
        <v>0.24463645011083099</v>
      </c>
      <c r="Q31">
        <v>7.2959341967064481E-2</v>
      </c>
      <c r="R31">
        <v>2.7180197823097291E-2</v>
      </c>
      <c r="S31">
        <v>7.2687969362994875E-2</v>
      </c>
      <c r="T31">
        <v>0.1193070207533832</v>
      </c>
      <c r="U31">
        <v>9.1157307058419526E-2</v>
      </c>
      <c r="V31">
        <v>0.12176085452444819</v>
      </c>
      <c r="W31">
        <v>0.20840022276006209</v>
      </c>
      <c r="X31">
        <v>0.1450138869977203</v>
      </c>
      <c r="Y31">
        <v>0.22467841447651449</v>
      </c>
      <c r="Z31">
        <v>0.27222299742739509</v>
      </c>
      <c r="AA31">
        <v>0.25813805734765111</v>
      </c>
      <c r="AB31">
        <v>0.34762588597722988</v>
      </c>
      <c r="AC31">
        <v>0.41194763154121999</v>
      </c>
      <c r="AD31">
        <v>0.39228334083833399</v>
      </c>
      <c r="AE31">
        <v>1</v>
      </c>
      <c r="AF31">
        <v>0.66999467223904385</v>
      </c>
      <c r="AG31">
        <v>0.5456570517223347</v>
      </c>
      <c r="AH31">
        <v>0.28529530606255571</v>
      </c>
      <c r="AI31">
        <v>0.3266611377557373</v>
      </c>
      <c r="AJ31">
        <v>0.32111745494276728</v>
      </c>
      <c r="AK31">
        <v>0.27058106845417429</v>
      </c>
      <c r="AL31">
        <v>0.25629590023173637</v>
      </c>
      <c r="AM31">
        <v>0.26505075700793501</v>
      </c>
      <c r="AN31">
        <v>0.20523732396604419</v>
      </c>
      <c r="AO31">
        <v>0.1961432241716837</v>
      </c>
      <c r="AP31">
        <v>0.2115089193682303</v>
      </c>
      <c r="AQ31">
        <v>9.3982896188904722E-2</v>
      </c>
      <c r="AR31">
        <v>0.1080507263011793</v>
      </c>
      <c r="AS31">
        <v>0.1162201498743389</v>
      </c>
      <c r="AT31">
        <v>8.4074436681874865E-2</v>
      </c>
      <c r="AU31">
        <v>3.9350251571237782E-2</v>
      </c>
      <c r="AV31">
        <v>4.9296924634712358E-2</v>
      </c>
      <c r="AW31">
        <v>0.1437487284314313</v>
      </c>
      <c r="AX31">
        <v>0.1056340792389287</v>
      </c>
      <c r="AY31">
        <v>3.782428690341226E-2</v>
      </c>
      <c r="AZ31">
        <v>5.3598676705910123E-3</v>
      </c>
      <c r="BA31">
        <v>4.0947533196160492E-2</v>
      </c>
      <c r="BB31">
        <v>1.363339876894182E-2</v>
      </c>
      <c r="BC31">
        <v>0.1021002901160966</v>
      </c>
    </row>
    <row r="32" spans="1:55" x14ac:dyDescent="0.35">
      <c r="A32" s="1" t="s">
        <v>30</v>
      </c>
      <c r="B32">
        <v>1.096675866690556E-2</v>
      </c>
      <c r="C32">
        <v>-2.2373374058795858E-2</v>
      </c>
      <c r="D32">
        <v>-2.0235493080845528E-2</v>
      </c>
      <c r="E32">
        <v>-2.6467445442064249E-2</v>
      </c>
      <c r="F32">
        <v>9.6917377429807813E-2</v>
      </c>
      <c r="G32">
        <v>-1.9766667628924029E-2</v>
      </c>
      <c r="H32">
        <v>-3.655287500362521E-2</v>
      </c>
      <c r="I32">
        <v>7.0675590798168373E-3</v>
      </c>
      <c r="J32">
        <v>9.9767458728164185E-2</v>
      </c>
      <c r="K32">
        <v>-0.119979653809443</v>
      </c>
      <c r="L32">
        <v>1.195355859685716E-2</v>
      </c>
      <c r="M32">
        <v>0.16484916435513661</v>
      </c>
      <c r="N32">
        <v>0.17656439413578109</v>
      </c>
      <c r="O32">
        <v>0.25512282411569243</v>
      </c>
      <c r="P32">
        <v>0.23948225909532139</v>
      </c>
      <c r="Q32">
        <v>0.12662606772999399</v>
      </c>
      <c r="R32">
        <v>1.6171086359116741E-2</v>
      </c>
      <c r="S32">
        <v>9.0407992229435075E-2</v>
      </c>
      <c r="T32">
        <v>0.11891523964476269</v>
      </c>
      <c r="U32">
        <v>0.13990578869560469</v>
      </c>
      <c r="V32">
        <v>0.1700661724011629</v>
      </c>
      <c r="W32">
        <v>0.20476121963887009</v>
      </c>
      <c r="X32">
        <v>0.13783856628674721</v>
      </c>
      <c r="Y32">
        <v>0.19859653668367991</v>
      </c>
      <c r="Z32">
        <v>0.25836509959931059</v>
      </c>
      <c r="AA32">
        <v>0.24019096965589759</v>
      </c>
      <c r="AB32">
        <v>0.33809588113997019</v>
      </c>
      <c r="AC32">
        <v>0.36485089636156742</v>
      </c>
      <c r="AD32">
        <v>0.34729573226180682</v>
      </c>
      <c r="AE32">
        <v>0.66999467223904385</v>
      </c>
      <c r="AF32">
        <v>1</v>
      </c>
      <c r="AG32">
        <v>0.5291807443226485</v>
      </c>
      <c r="AH32">
        <v>0.24930754898880869</v>
      </c>
      <c r="AI32">
        <v>0.29549161087832182</v>
      </c>
      <c r="AJ32">
        <v>0.24746566653277971</v>
      </c>
      <c r="AK32">
        <v>0.2463277420387395</v>
      </c>
      <c r="AL32">
        <v>0.2167230428577292</v>
      </c>
      <c r="AM32">
        <v>0.21929642082867809</v>
      </c>
      <c r="AN32">
        <v>0.1767507566093926</v>
      </c>
      <c r="AO32">
        <v>0.1232747135681198</v>
      </c>
      <c r="AP32">
        <v>0.16973808337697591</v>
      </c>
      <c r="AQ32">
        <v>4.835055902283094E-2</v>
      </c>
      <c r="AR32">
        <v>8.4868547005758882E-2</v>
      </c>
      <c r="AS32">
        <v>0.1223640994829613</v>
      </c>
      <c r="AT32">
        <v>6.5519439711565625E-2</v>
      </c>
      <c r="AU32">
        <v>4.4390452703516353E-2</v>
      </c>
      <c r="AV32">
        <v>5.6914317032399471E-2</v>
      </c>
      <c r="AW32">
        <v>0.13200996718051181</v>
      </c>
      <c r="AX32">
        <v>8.8034789844342487E-2</v>
      </c>
      <c r="AY32">
        <v>3.3013530854790397E-2</v>
      </c>
      <c r="AZ32">
        <v>3.6742409567689219E-2</v>
      </c>
      <c r="BA32">
        <v>8.5972404366128741E-2</v>
      </c>
      <c r="BB32">
        <v>6.4740114579743286E-3</v>
      </c>
      <c r="BC32">
        <v>-5.4600960981041639E-3</v>
      </c>
    </row>
    <row r="33" spans="1:55" x14ac:dyDescent="0.35">
      <c r="A33" s="1" t="s">
        <v>31</v>
      </c>
      <c r="B33">
        <v>-2.5043847724662029E-2</v>
      </c>
      <c r="C33">
        <v>-0.1160608642324439</v>
      </c>
      <c r="D33">
        <v>-0.1021200861352129</v>
      </c>
      <c r="E33">
        <v>-8.7866456212602639E-2</v>
      </c>
      <c r="F33">
        <v>-5.3586465083626817E-3</v>
      </c>
      <c r="G33">
        <v>-8.0406809519996403E-2</v>
      </c>
      <c r="H33">
        <v>-4.5476704325736028E-2</v>
      </c>
      <c r="I33">
        <v>3.759851180843933E-2</v>
      </c>
      <c r="J33">
        <v>0.1204019440205773</v>
      </c>
      <c r="K33">
        <v>-0.1468974468219223</v>
      </c>
      <c r="L33">
        <v>9.6316365530094948E-3</v>
      </c>
      <c r="M33">
        <v>0.20927305691910139</v>
      </c>
      <c r="N33">
        <v>0.1713787446528465</v>
      </c>
      <c r="O33">
        <v>0.31893267274706688</v>
      </c>
      <c r="P33">
        <v>0.21445933599433981</v>
      </c>
      <c r="Q33">
        <v>4.333107855066904E-2</v>
      </c>
      <c r="R33">
        <v>-1.7940683313039191E-2</v>
      </c>
      <c r="S33">
        <v>4.2957584984341227E-2</v>
      </c>
      <c r="T33">
        <v>0.1118000136501356</v>
      </c>
      <c r="U33">
        <v>0.1213764809908395</v>
      </c>
      <c r="V33">
        <v>0.2275882438822027</v>
      </c>
      <c r="W33">
        <v>0.30465794635980981</v>
      </c>
      <c r="X33">
        <v>0.22381165249065821</v>
      </c>
      <c r="Y33">
        <v>0.25362259594690911</v>
      </c>
      <c r="Z33">
        <v>0.34203761504563601</v>
      </c>
      <c r="AA33">
        <v>0.31100247973413608</v>
      </c>
      <c r="AB33">
        <v>0.34395722340264578</v>
      </c>
      <c r="AC33">
        <v>0.42074455743377998</v>
      </c>
      <c r="AD33">
        <v>0.42727015689950698</v>
      </c>
      <c r="AE33">
        <v>0.5456570517223347</v>
      </c>
      <c r="AF33">
        <v>0.5291807443226485</v>
      </c>
      <c r="AG33">
        <v>1</v>
      </c>
      <c r="AH33">
        <v>0.4382809398389258</v>
      </c>
      <c r="AI33">
        <v>0.46379493757535861</v>
      </c>
      <c r="AJ33">
        <v>0.55453078556579838</v>
      </c>
      <c r="AK33">
        <v>0.45259649038586058</v>
      </c>
      <c r="AL33">
        <v>0.47157689689712529</v>
      </c>
      <c r="AM33">
        <v>0.45747373133946251</v>
      </c>
      <c r="AN33">
        <v>0.35163516854722371</v>
      </c>
      <c r="AO33">
        <v>0.35708883847660999</v>
      </c>
      <c r="AP33">
        <v>0.36549228436813902</v>
      </c>
      <c r="AQ33">
        <v>0.30006104033211739</v>
      </c>
      <c r="AR33">
        <v>0.25374841463016018</v>
      </c>
      <c r="AS33">
        <v>0.18019435367023659</v>
      </c>
      <c r="AT33">
        <v>0.24227743415275371</v>
      </c>
      <c r="AU33">
        <v>0.17865326778001381</v>
      </c>
      <c r="AV33">
        <v>0.14433115848978451</v>
      </c>
      <c r="AW33">
        <v>0.32147914176333192</v>
      </c>
      <c r="AX33">
        <v>0.24761008307967569</v>
      </c>
      <c r="AY33">
        <v>0.1643708072918908</v>
      </c>
      <c r="AZ33">
        <v>0.1249892275949776</v>
      </c>
      <c r="BA33">
        <v>0.1251742782742592</v>
      </c>
      <c r="BB33">
        <v>0.1296568781146773</v>
      </c>
      <c r="BC33">
        <v>8.8007125545544462E-2</v>
      </c>
    </row>
    <row r="34" spans="1:55" x14ac:dyDescent="0.35">
      <c r="A34" s="1" t="s">
        <v>32</v>
      </c>
      <c r="B34">
        <v>5.8859446378979018E-3</v>
      </c>
      <c r="C34">
        <v>-9.2821540024000226E-2</v>
      </c>
      <c r="D34">
        <v>-9.6065563477497326E-2</v>
      </c>
      <c r="E34">
        <v>-9.2097625587637025E-2</v>
      </c>
      <c r="F34">
        <v>-9.2872397971963602E-3</v>
      </c>
      <c r="G34">
        <v>-7.5066435470300244E-2</v>
      </c>
      <c r="H34">
        <v>-5.2236398678604953E-2</v>
      </c>
      <c r="I34">
        <v>2.5098568257739439E-2</v>
      </c>
      <c r="J34">
        <v>0.1013440906980151</v>
      </c>
      <c r="K34">
        <v>-0.1045829415219814</v>
      </c>
      <c r="L34">
        <v>-2.095472988030843E-3</v>
      </c>
      <c r="M34">
        <v>0.19438056228761941</v>
      </c>
      <c r="N34">
        <v>0.18189796474177969</v>
      </c>
      <c r="O34">
        <v>0.20689075986046321</v>
      </c>
      <c r="P34">
        <v>0.21026645489032539</v>
      </c>
      <c r="Q34">
        <v>3.7727364039545672E-2</v>
      </c>
      <c r="R34">
        <v>3.0584754946644038E-3</v>
      </c>
      <c r="S34">
        <v>-1.017255314219071E-3</v>
      </c>
      <c r="T34">
        <v>0.1029927779744472</v>
      </c>
      <c r="U34">
        <v>0.15717062066428239</v>
      </c>
      <c r="V34">
        <v>0.13155529364559801</v>
      </c>
      <c r="W34">
        <v>0.2203642280424857</v>
      </c>
      <c r="X34">
        <v>0.1065165382542808</v>
      </c>
      <c r="Y34">
        <v>0.17324377654817749</v>
      </c>
      <c r="Z34">
        <v>0.2004756443406871</v>
      </c>
      <c r="AA34">
        <v>0.25418803299567438</v>
      </c>
      <c r="AB34">
        <v>0.31995554556006128</v>
      </c>
      <c r="AC34">
        <v>0.32121037543899039</v>
      </c>
      <c r="AD34">
        <v>0.34420879769185397</v>
      </c>
      <c r="AE34">
        <v>0.28529530606255571</v>
      </c>
      <c r="AF34">
        <v>0.24930754898880869</v>
      </c>
      <c r="AG34">
        <v>0.4382809398389258</v>
      </c>
      <c r="AH34">
        <v>1</v>
      </c>
      <c r="AI34">
        <v>0.6170364298050931</v>
      </c>
      <c r="AJ34">
        <v>0.53780928574806974</v>
      </c>
      <c r="AK34">
        <v>0.37199704358015617</v>
      </c>
      <c r="AL34">
        <v>0.36648605142613022</v>
      </c>
      <c r="AM34">
        <v>0.36543658316714261</v>
      </c>
      <c r="AN34">
        <v>0.28413797333521212</v>
      </c>
      <c r="AO34">
        <v>0.28974405096313138</v>
      </c>
      <c r="AP34">
        <v>0.20374131838837489</v>
      </c>
      <c r="AQ34">
        <v>0.1890912070132123</v>
      </c>
      <c r="AR34">
        <v>0.17180974157943929</v>
      </c>
      <c r="AS34">
        <v>0.14826262770048829</v>
      </c>
      <c r="AT34">
        <v>0.17368948172200019</v>
      </c>
      <c r="AU34">
        <v>0.19532756725459779</v>
      </c>
      <c r="AV34">
        <v>0.17395672849549121</v>
      </c>
      <c r="AW34">
        <v>0.25666808583957579</v>
      </c>
      <c r="AX34">
        <v>0.22105767209944971</v>
      </c>
      <c r="AY34">
        <v>0.2631444238460221</v>
      </c>
      <c r="AZ34">
        <v>0.19924896871814921</v>
      </c>
      <c r="BA34">
        <v>0.2075520243263892</v>
      </c>
      <c r="BB34">
        <v>0.1356023296328614</v>
      </c>
      <c r="BC34">
        <v>7.8506709526683982E-2</v>
      </c>
    </row>
    <row r="35" spans="1:55" x14ac:dyDescent="0.35">
      <c r="A35" s="1" t="s">
        <v>33</v>
      </c>
      <c r="B35">
        <v>-8.2420877639449008E-3</v>
      </c>
      <c r="C35">
        <v>-0.1041016414895591</v>
      </c>
      <c r="D35">
        <v>-0.1120087964119498</v>
      </c>
      <c r="E35">
        <v>-5.8047642632201767E-2</v>
      </c>
      <c r="F35">
        <v>3.3996135760368858E-3</v>
      </c>
      <c r="G35">
        <v>-7.4223989437559895E-2</v>
      </c>
      <c r="H35">
        <v>-5.5588306958099E-2</v>
      </c>
      <c r="I35">
        <v>-3.3301465161173298E-3</v>
      </c>
      <c r="J35">
        <v>7.6144519310377509E-2</v>
      </c>
      <c r="K35">
        <v>-0.13115555904790191</v>
      </c>
      <c r="L35">
        <v>-4.2765439082377413E-2</v>
      </c>
      <c r="M35">
        <v>0.208823866902241</v>
      </c>
      <c r="N35">
        <v>0.24059069626342849</v>
      </c>
      <c r="O35">
        <v>0.25426856495654859</v>
      </c>
      <c r="P35">
        <v>0.20596713415763249</v>
      </c>
      <c r="Q35">
        <v>7.2266570136839386E-3</v>
      </c>
      <c r="R35">
        <v>-3.7079927773342548E-2</v>
      </c>
      <c r="S35">
        <v>5.2642631523189534E-3</v>
      </c>
      <c r="T35">
        <v>6.964299511036727E-2</v>
      </c>
      <c r="U35">
        <v>0.1086389754693209</v>
      </c>
      <c r="V35">
        <v>0.15485633195403781</v>
      </c>
      <c r="W35">
        <v>0.22021050550601101</v>
      </c>
      <c r="X35">
        <v>7.5939976247708763E-2</v>
      </c>
      <c r="Y35">
        <v>0.19078303403564209</v>
      </c>
      <c r="Z35">
        <v>0.23679588674814961</v>
      </c>
      <c r="AA35">
        <v>0.25510427225941801</v>
      </c>
      <c r="AB35">
        <v>0.3498263377212551</v>
      </c>
      <c r="AC35">
        <v>0.38404399232584302</v>
      </c>
      <c r="AD35">
        <v>0.36750317430262158</v>
      </c>
      <c r="AE35">
        <v>0.3266611377557373</v>
      </c>
      <c r="AF35">
        <v>0.29549161087832182</v>
      </c>
      <c r="AG35">
        <v>0.46379493757535861</v>
      </c>
      <c r="AH35">
        <v>0.6170364298050931</v>
      </c>
      <c r="AI35">
        <v>1</v>
      </c>
      <c r="AJ35">
        <v>0.63355426397370607</v>
      </c>
      <c r="AK35">
        <v>0.3971932128736208</v>
      </c>
      <c r="AL35">
        <v>0.38327091950805448</v>
      </c>
      <c r="AM35">
        <v>0.38643213400141868</v>
      </c>
      <c r="AN35">
        <v>0.36790063813466761</v>
      </c>
      <c r="AO35">
        <v>0.3395685329423781</v>
      </c>
      <c r="AP35">
        <v>0.30829306799858341</v>
      </c>
      <c r="AQ35">
        <v>0.22699658062169981</v>
      </c>
      <c r="AR35">
        <v>0.22578845312069029</v>
      </c>
      <c r="AS35">
        <v>0.21583512683738551</v>
      </c>
      <c r="AT35">
        <v>0.19544549255399271</v>
      </c>
      <c r="AU35">
        <v>0.17461898910769061</v>
      </c>
      <c r="AV35">
        <v>0.13021217320490061</v>
      </c>
      <c r="AW35">
        <v>0.32383837915578267</v>
      </c>
      <c r="AX35">
        <v>0.2790548042132075</v>
      </c>
      <c r="AY35">
        <v>0.29650939258489772</v>
      </c>
      <c r="AZ35">
        <v>0.19630734493914301</v>
      </c>
      <c r="BA35">
        <v>0.19907827199242009</v>
      </c>
      <c r="BB35">
        <v>0.17296197109343939</v>
      </c>
      <c r="BC35">
        <v>0.1262984093901853</v>
      </c>
    </row>
    <row r="36" spans="1:55" x14ac:dyDescent="0.35">
      <c r="A36" s="1" t="s">
        <v>34</v>
      </c>
      <c r="B36">
        <v>-5.3703722549037471E-2</v>
      </c>
      <c r="C36">
        <v>-0.18503986522303639</v>
      </c>
      <c r="D36">
        <v>-0.19079597205219731</v>
      </c>
      <c r="E36">
        <v>-0.1075577568544198</v>
      </c>
      <c r="F36">
        <v>-4.2826896641655947E-2</v>
      </c>
      <c r="G36">
        <v>-0.1600698265362957</v>
      </c>
      <c r="H36">
        <v>-7.4232894478596892E-2</v>
      </c>
      <c r="I36">
        <v>3.07268458920282E-2</v>
      </c>
      <c r="J36">
        <v>0.15074244788064839</v>
      </c>
      <c r="K36">
        <v>-0.19993309304002571</v>
      </c>
      <c r="L36">
        <v>-8.831434007546933E-2</v>
      </c>
      <c r="M36">
        <v>0.1919983391650899</v>
      </c>
      <c r="N36">
        <v>0.18687440390040749</v>
      </c>
      <c r="O36">
        <v>0.25067461836088212</v>
      </c>
      <c r="P36">
        <v>0.20388574079424249</v>
      </c>
      <c r="Q36">
        <v>-1.1256959663338921E-2</v>
      </c>
      <c r="R36">
        <v>-3.0059014440212639E-2</v>
      </c>
      <c r="S36">
        <v>1.195621590690161E-2</v>
      </c>
      <c r="T36">
        <v>0.1018322723767207</v>
      </c>
      <c r="U36">
        <v>6.4627206250548616E-2</v>
      </c>
      <c r="V36">
        <v>9.058267472731886E-2</v>
      </c>
      <c r="W36">
        <v>0.25133815012860189</v>
      </c>
      <c r="X36">
        <v>9.7208058213923768E-2</v>
      </c>
      <c r="Y36">
        <v>0.178139530647933</v>
      </c>
      <c r="Z36">
        <v>0.28000111869380451</v>
      </c>
      <c r="AA36">
        <v>0.30182797742048378</v>
      </c>
      <c r="AB36">
        <v>0.38086258310428078</v>
      </c>
      <c r="AC36">
        <v>0.41650215046556438</v>
      </c>
      <c r="AD36">
        <v>0.40705010508382827</v>
      </c>
      <c r="AE36">
        <v>0.32111745494276728</v>
      </c>
      <c r="AF36">
        <v>0.24746566653277971</v>
      </c>
      <c r="AG36">
        <v>0.55453078556579838</v>
      </c>
      <c r="AH36">
        <v>0.53780928574806974</v>
      </c>
      <c r="AI36">
        <v>0.63355426397370607</v>
      </c>
      <c r="AJ36">
        <v>1</v>
      </c>
      <c r="AK36">
        <v>0.53827293145813515</v>
      </c>
      <c r="AL36">
        <v>0.51850741720194737</v>
      </c>
      <c r="AM36">
        <v>0.58461966820224942</v>
      </c>
      <c r="AN36">
        <v>0.49509294299275319</v>
      </c>
      <c r="AO36">
        <v>0.50532258031267263</v>
      </c>
      <c r="AP36">
        <v>0.46720305594980283</v>
      </c>
      <c r="AQ36">
        <v>0.38434304819840542</v>
      </c>
      <c r="AR36">
        <v>0.35043930245883759</v>
      </c>
      <c r="AS36">
        <v>0.2498090922466692</v>
      </c>
      <c r="AT36">
        <v>0.27701327794006692</v>
      </c>
      <c r="AU36">
        <v>0.24464695692901731</v>
      </c>
      <c r="AV36">
        <v>0.16628763952592229</v>
      </c>
      <c r="AW36">
        <v>0.34190599516828352</v>
      </c>
      <c r="AX36">
        <v>0.24609315291784251</v>
      </c>
      <c r="AY36">
        <v>0.2407852385011941</v>
      </c>
      <c r="AZ36">
        <v>0.17239114367976829</v>
      </c>
      <c r="BA36">
        <v>0.19799292045655131</v>
      </c>
      <c r="BB36">
        <v>0.20038540065139271</v>
      </c>
      <c r="BC36">
        <v>0.19013831717683</v>
      </c>
    </row>
    <row r="37" spans="1:55" x14ac:dyDescent="0.35">
      <c r="A37" s="1" t="s">
        <v>35</v>
      </c>
      <c r="B37">
        <v>-4.3444697673685917E-2</v>
      </c>
      <c r="C37">
        <v>-0.1115449916791179</v>
      </c>
      <c r="D37">
        <v>-0.10040549286583909</v>
      </c>
      <c r="E37">
        <v>-9.8481440738907272E-2</v>
      </c>
      <c r="F37">
        <v>2.0305985137924479E-2</v>
      </c>
      <c r="G37">
        <v>-6.0841181040331413E-2</v>
      </c>
      <c r="H37">
        <v>-5.1053615606560812E-2</v>
      </c>
      <c r="I37">
        <v>5.7415622350592832E-2</v>
      </c>
      <c r="J37">
        <v>0.14333045818399079</v>
      </c>
      <c r="K37">
        <v>-0.16103177002890021</v>
      </c>
      <c r="L37">
        <v>-4.9800191057141723E-2</v>
      </c>
      <c r="M37">
        <v>0.2488528165135889</v>
      </c>
      <c r="N37">
        <v>0.16658954998673139</v>
      </c>
      <c r="O37">
        <v>0.21299458844788291</v>
      </c>
      <c r="P37">
        <v>0.25287600594593213</v>
      </c>
      <c r="Q37">
        <v>2.4119290488529291E-2</v>
      </c>
      <c r="R37">
        <v>-3.2402898005090178E-2</v>
      </c>
      <c r="S37">
        <v>-9.4398430280719162E-3</v>
      </c>
      <c r="T37">
        <v>3.6743547247129242E-2</v>
      </c>
      <c r="U37">
        <v>6.8383667209575338E-2</v>
      </c>
      <c r="V37">
        <v>0.1202103545323111</v>
      </c>
      <c r="W37">
        <v>0.19144553859396399</v>
      </c>
      <c r="X37">
        <v>0.1071321326841909</v>
      </c>
      <c r="Y37">
        <v>0.16132568820655199</v>
      </c>
      <c r="Z37">
        <v>0.20980889512464021</v>
      </c>
      <c r="AA37">
        <v>0.2755228081426086</v>
      </c>
      <c r="AB37">
        <v>0.33301524937615051</v>
      </c>
      <c r="AC37">
        <v>0.36160349167371619</v>
      </c>
      <c r="AD37">
        <v>0.35643993244279631</v>
      </c>
      <c r="AE37">
        <v>0.27058106845417429</v>
      </c>
      <c r="AF37">
        <v>0.2463277420387395</v>
      </c>
      <c r="AG37">
        <v>0.45259649038586058</v>
      </c>
      <c r="AH37">
        <v>0.37199704358015617</v>
      </c>
      <c r="AI37">
        <v>0.3971932128736208</v>
      </c>
      <c r="AJ37">
        <v>0.53827293145813515</v>
      </c>
      <c r="AK37">
        <v>1</v>
      </c>
      <c r="AL37">
        <v>0.60735462520883388</v>
      </c>
      <c r="AM37">
        <v>0.52204195728819469</v>
      </c>
      <c r="AN37">
        <v>0.37699408056088568</v>
      </c>
      <c r="AO37">
        <v>0.37791066913211618</v>
      </c>
      <c r="AP37">
        <v>0.36785871722568941</v>
      </c>
      <c r="AQ37">
        <v>0.31043376205777301</v>
      </c>
      <c r="AR37">
        <v>0.28014450919035649</v>
      </c>
      <c r="AS37">
        <v>0.15125801307980991</v>
      </c>
      <c r="AT37">
        <v>0.21763657251829521</v>
      </c>
      <c r="AU37">
        <v>0.18023877583568149</v>
      </c>
      <c r="AV37">
        <v>0.10213678224884259</v>
      </c>
      <c r="AW37">
        <v>0.24265122050854401</v>
      </c>
      <c r="AX37">
        <v>0.17551878802887561</v>
      </c>
      <c r="AY37">
        <v>0.19416091524284251</v>
      </c>
      <c r="AZ37">
        <v>0.15310666218285959</v>
      </c>
      <c r="BA37">
        <v>8.876392122987195E-2</v>
      </c>
      <c r="BB37">
        <v>0.14923148016067231</v>
      </c>
      <c r="BC37">
        <v>9.1968497330287197E-2</v>
      </c>
    </row>
    <row r="38" spans="1:55" x14ac:dyDescent="0.35">
      <c r="A38" s="1" t="s">
        <v>36</v>
      </c>
      <c r="B38">
        <v>-7.2411022038378223E-2</v>
      </c>
      <c r="C38">
        <v>-5.507422718648592E-2</v>
      </c>
      <c r="D38">
        <v>-3.544809165293681E-2</v>
      </c>
      <c r="E38">
        <v>-6.3342372619343598E-2</v>
      </c>
      <c r="F38">
        <v>1.8004995959100181E-2</v>
      </c>
      <c r="G38">
        <v>-4.4080849686306808E-2</v>
      </c>
      <c r="H38">
        <v>6.8335924231343178E-3</v>
      </c>
      <c r="I38">
        <v>-6.6498962216983539E-3</v>
      </c>
      <c r="J38">
        <v>0.13344578670488</v>
      </c>
      <c r="K38">
        <v>-9.8974745392245198E-2</v>
      </c>
      <c r="L38">
        <v>-1.6034979330104379E-2</v>
      </c>
      <c r="M38">
        <v>0.16932167509267329</v>
      </c>
      <c r="N38">
        <v>0.1217181732608158</v>
      </c>
      <c r="O38">
        <v>0.19750440352577389</v>
      </c>
      <c r="P38">
        <v>0.180790127879735</v>
      </c>
      <c r="Q38">
        <v>3.3695183895897207E-2</v>
      </c>
      <c r="R38">
        <v>-1.402158611082239E-2</v>
      </c>
      <c r="S38">
        <v>1.980502808155736E-2</v>
      </c>
      <c r="T38">
        <v>6.2549669203143574E-2</v>
      </c>
      <c r="U38">
        <v>1.8851314978621501E-2</v>
      </c>
      <c r="V38">
        <v>0.1176509356877953</v>
      </c>
      <c r="W38">
        <v>0.15831078426311579</v>
      </c>
      <c r="X38">
        <v>8.9693780725327202E-2</v>
      </c>
      <c r="Y38">
        <v>0.1664329322314618</v>
      </c>
      <c r="Z38">
        <v>0.22884357474905709</v>
      </c>
      <c r="AA38">
        <v>0.23300588073226719</v>
      </c>
      <c r="AB38">
        <v>0.28317477136105063</v>
      </c>
      <c r="AC38">
        <v>0.32827897578600101</v>
      </c>
      <c r="AD38">
        <v>0.29795912587652301</v>
      </c>
      <c r="AE38">
        <v>0.25629590023173637</v>
      </c>
      <c r="AF38">
        <v>0.2167230428577292</v>
      </c>
      <c r="AG38">
        <v>0.47157689689712529</v>
      </c>
      <c r="AH38">
        <v>0.36648605142613022</v>
      </c>
      <c r="AI38">
        <v>0.38327091950805448</v>
      </c>
      <c r="AJ38">
        <v>0.51850741720194737</v>
      </c>
      <c r="AK38">
        <v>0.60735462520883388</v>
      </c>
      <c r="AL38">
        <v>1</v>
      </c>
      <c r="AM38">
        <v>0.61943927068017413</v>
      </c>
      <c r="AN38">
        <v>0.48284331319028528</v>
      </c>
      <c r="AO38">
        <v>0.47485727890617802</v>
      </c>
      <c r="AP38">
        <v>0.41859789893058302</v>
      </c>
      <c r="AQ38">
        <v>0.33917266048003658</v>
      </c>
      <c r="AR38">
        <v>0.29010997841671932</v>
      </c>
      <c r="AS38">
        <v>0.19061055528596241</v>
      </c>
      <c r="AT38">
        <v>0.1865361397101036</v>
      </c>
      <c r="AU38">
        <v>0.16797970426592909</v>
      </c>
      <c r="AV38">
        <v>0.12334063906542871</v>
      </c>
      <c r="AW38">
        <v>0.25786368778430557</v>
      </c>
      <c r="AX38">
        <v>0.2222665007675805</v>
      </c>
      <c r="AY38">
        <v>0.16791661956942769</v>
      </c>
      <c r="AZ38">
        <v>0.10197995578007971</v>
      </c>
      <c r="BA38">
        <v>9.7026732179014114E-2</v>
      </c>
      <c r="BB38">
        <v>0.100142622349097</v>
      </c>
      <c r="BC38">
        <v>4.6970050037940213E-2</v>
      </c>
    </row>
    <row r="39" spans="1:55" x14ac:dyDescent="0.35">
      <c r="A39" s="1" t="s">
        <v>37</v>
      </c>
      <c r="B39">
        <v>-5.417094346891152E-2</v>
      </c>
      <c r="C39">
        <v>-0.21086692002954499</v>
      </c>
      <c r="D39">
        <v>-0.18683780871266231</v>
      </c>
      <c r="E39">
        <v>-0.16126727714331271</v>
      </c>
      <c r="F39">
        <v>-8.8350666859153076E-2</v>
      </c>
      <c r="G39">
        <v>-0.18476939497304731</v>
      </c>
      <c r="H39">
        <v>-1.7817689936796281E-2</v>
      </c>
      <c r="I39">
        <v>2.2250505860047051E-2</v>
      </c>
      <c r="J39">
        <v>0.1866315567590055</v>
      </c>
      <c r="K39">
        <v>-0.16686484917613381</v>
      </c>
      <c r="L39">
        <v>-7.347571925991056E-2</v>
      </c>
      <c r="M39">
        <v>0.1968021061619894</v>
      </c>
      <c r="N39">
        <v>0.15653748890235741</v>
      </c>
      <c r="O39">
        <v>0.26759761567675161</v>
      </c>
      <c r="P39">
        <v>0.1350080348636333</v>
      </c>
      <c r="Q39">
        <v>-2.3452268606652081E-2</v>
      </c>
      <c r="R39">
        <v>-0.1008290442148178</v>
      </c>
      <c r="S39">
        <v>-4.0138636202736062E-2</v>
      </c>
      <c r="T39">
        <v>-7.4907983466065203E-3</v>
      </c>
      <c r="U39">
        <v>5.455643245616016E-2</v>
      </c>
      <c r="V39">
        <v>0.11331366119831759</v>
      </c>
      <c r="W39">
        <v>0.20685899652016321</v>
      </c>
      <c r="X39">
        <v>0.13666849462906039</v>
      </c>
      <c r="Y39">
        <v>0.16605874852272601</v>
      </c>
      <c r="Z39">
        <v>0.25584468820539608</v>
      </c>
      <c r="AA39">
        <v>0.24856463150224731</v>
      </c>
      <c r="AB39">
        <v>0.3246851874776201</v>
      </c>
      <c r="AC39">
        <v>0.35445161632476607</v>
      </c>
      <c r="AD39">
        <v>0.35703606159338352</v>
      </c>
      <c r="AE39">
        <v>0.26505075700793501</v>
      </c>
      <c r="AF39">
        <v>0.21929642082867809</v>
      </c>
      <c r="AG39">
        <v>0.45747373133946251</v>
      </c>
      <c r="AH39">
        <v>0.36543658316714261</v>
      </c>
      <c r="AI39">
        <v>0.38643213400141868</v>
      </c>
      <c r="AJ39">
        <v>0.58461966820224942</v>
      </c>
      <c r="AK39">
        <v>0.52204195728819469</v>
      </c>
      <c r="AL39">
        <v>0.61943927068017413</v>
      </c>
      <c r="AM39">
        <v>1</v>
      </c>
      <c r="AN39">
        <v>0.54784524434822035</v>
      </c>
      <c r="AO39">
        <v>0.61289442140863803</v>
      </c>
      <c r="AP39">
        <v>0.5442886534365432</v>
      </c>
      <c r="AQ39">
        <v>0.46802625101367379</v>
      </c>
      <c r="AR39">
        <v>0.36989749455245852</v>
      </c>
      <c r="AS39">
        <v>0.17151305044415879</v>
      </c>
      <c r="AT39">
        <v>0.3256954792050662</v>
      </c>
      <c r="AU39">
        <v>0.28480371130688648</v>
      </c>
      <c r="AV39">
        <v>0.18576301476791951</v>
      </c>
      <c r="AW39">
        <v>0.36205078157410958</v>
      </c>
      <c r="AX39">
        <v>0.2492849656262989</v>
      </c>
      <c r="AY39">
        <v>0.15371508682700649</v>
      </c>
      <c r="AZ39">
        <v>0.12753366066022029</v>
      </c>
      <c r="BA39">
        <v>4.0507621096448412E-2</v>
      </c>
      <c r="BB39">
        <v>0.1186388804985362</v>
      </c>
      <c r="BC39">
        <v>0.13171131723969101</v>
      </c>
    </row>
    <row r="40" spans="1:55" x14ac:dyDescent="0.35">
      <c r="A40" s="1" t="s">
        <v>38</v>
      </c>
      <c r="B40">
        <v>-2.3968651256508211E-2</v>
      </c>
      <c r="C40">
        <v>-0.12056457522999819</v>
      </c>
      <c r="D40">
        <v>-0.1175328488308227</v>
      </c>
      <c r="E40">
        <v>-5.5861642060162482E-2</v>
      </c>
      <c r="F40">
        <v>-3.7463365141552213E-2</v>
      </c>
      <c r="G40">
        <v>-0.12589194773560899</v>
      </c>
      <c r="H40">
        <v>-5.9489910356220907E-2</v>
      </c>
      <c r="I40">
        <v>-1.387502226517609E-3</v>
      </c>
      <c r="J40">
        <v>0.118689268581936</v>
      </c>
      <c r="K40">
        <v>-0.13848335398871639</v>
      </c>
      <c r="L40">
        <v>2.0003170895302791E-2</v>
      </c>
      <c r="M40">
        <v>0.2055401240326212</v>
      </c>
      <c r="N40">
        <v>0.1764475929705675</v>
      </c>
      <c r="O40">
        <v>0.14482925911578459</v>
      </c>
      <c r="P40">
        <v>0.17599811325668879</v>
      </c>
      <c r="Q40">
        <v>2.3823553380045239E-2</v>
      </c>
      <c r="R40">
        <v>-4.4244011446872442E-2</v>
      </c>
      <c r="S40">
        <v>-1.8827039817820228E-2</v>
      </c>
      <c r="T40">
        <v>8.7706991365961127E-3</v>
      </c>
      <c r="U40">
        <v>5.8712119701316207E-2</v>
      </c>
      <c r="V40">
        <v>6.2821054152917249E-2</v>
      </c>
      <c r="W40">
        <v>0.19018500795130081</v>
      </c>
      <c r="X40">
        <v>0.1052646586354339</v>
      </c>
      <c r="Y40">
        <v>0.18809023442204281</v>
      </c>
      <c r="Z40">
        <v>0.1694010420666994</v>
      </c>
      <c r="AA40">
        <v>0.2402676702161371</v>
      </c>
      <c r="AB40">
        <v>0.31956414438466502</v>
      </c>
      <c r="AC40">
        <v>0.32759511881206321</v>
      </c>
      <c r="AD40">
        <v>0.27693211872327977</v>
      </c>
      <c r="AE40">
        <v>0.20523732396604419</v>
      </c>
      <c r="AF40">
        <v>0.1767507566093926</v>
      </c>
      <c r="AG40">
        <v>0.35163516854722371</v>
      </c>
      <c r="AH40">
        <v>0.28413797333521212</v>
      </c>
      <c r="AI40">
        <v>0.36790063813466761</v>
      </c>
      <c r="AJ40">
        <v>0.49509294299275319</v>
      </c>
      <c r="AK40">
        <v>0.37699408056088568</v>
      </c>
      <c r="AL40">
        <v>0.48284331319028528</v>
      </c>
      <c r="AM40">
        <v>0.54784524434822035</v>
      </c>
      <c r="AN40">
        <v>1</v>
      </c>
      <c r="AO40">
        <v>0.68050584573377304</v>
      </c>
      <c r="AP40">
        <v>0.50627315340876755</v>
      </c>
      <c r="AQ40">
        <v>0.2800439265085784</v>
      </c>
      <c r="AR40">
        <v>0.23409538326733109</v>
      </c>
      <c r="AS40">
        <v>0.10210076157887719</v>
      </c>
      <c r="AT40">
        <v>0.1865496459800163</v>
      </c>
      <c r="AU40">
        <v>0.20375353627612111</v>
      </c>
      <c r="AV40">
        <v>9.0555688477625837E-2</v>
      </c>
      <c r="AW40">
        <v>0.22633246265348861</v>
      </c>
      <c r="AX40">
        <v>0.15550124390855319</v>
      </c>
      <c r="AY40">
        <v>0.1149703266282783</v>
      </c>
      <c r="AZ40">
        <v>0.14556810932114919</v>
      </c>
      <c r="BA40">
        <v>8.0346892568625039E-2</v>
      </c>
      <c r="BB40">
        <v>5.8694036412325047E-2</v>
      </c>
      <c r="BC40">
        <v>2.8635916211361839E-2</v>
      </c>
    </row>
    <row r="41" spans="1:55" x14ac:dyDescent="0.35">
      <c r="A41" s="1" t="s">
        <v>39</v>
      </c>
      <c r="B41">
        <v>-1.7641427887868509E-2</v>
      </c>
      <c r="C41">
        <v>-0.17601689676125579</v>
      </c>
      <c r="D41">
        <v>-0.16443342252134391</v>
      </c>
      <c r="E41">
        <v>-9.501315842172077E-2</v>
      </c>
      <c r="F41">
        <v>-9.5281134789626798E-2</v>
      </c>
      <c r="G41">
        <v>-0.13322792444936091</v>
      </c>
      <c r="H41">
        <v>-2.0963463937238469E-2</v>
      </c>
      <c r="I41">
        <v>4.7321566342857738E-2</v>
      </c>
      <c r="J41">
        <v>0.14878101236312849</v>
      </c>
      <c r="K41">
        <v>-0.147132609969756</v>
      </c>
      <c r="L41">
        <v>-3.2010591661575098E-2</v>
      </c>
      <c r="M41">
        <v>0.17141731230181559</v>
      </c>
      <c r="N41">
        <v>0.17953198861442871</v>
      </c>
      <c r="O41">
        <v>0.18532712921425809</v>
      </c>
      <c r="P41">
        <v>0.15020896044764709</v>
      </c>
      <c r="Q41">
        <v>2.8051603401574561E-3</v>
      </c>
      <c r="R41">
        <v>-3.1427545419345407E-2</v>
      </c>
      <c r="S41">
        <v>-2.1171844909596482E-3</v>
      </c>
      <c r="T41">
        <v>2.6363023136128361E-2</v>
      </c>
      <c r="U41">
        <v>3.5190441930955448E-2</v>
      </c>
      <c r="V41">
        <v>2.0777208821571441E-2</v>
      </c>
      <c r="W41">
        <v>0.19425169645379259</v>
      </c>
      <c r="X41">
        <v>9.0367472357898063E-2</v>
      </c>
      <c r="Y41">
        <v>0.15835880181020651</v>
      </c>
      <c r="Z41">
        <v>0.2446667950278095</v>
      </c>
      <c r="AA41">
        <v>0.21949749105596639</v>
      </c>
      <c r="AB41">
        <v>0.28306456127845619</v>
      </c>
      <c r="AC41">
        <v>0.31564835920063461</v>
      </c>
      <c r="AD41">
        <v>0.31305736638280729</v>
      </c>
      <c r="AE41">
        <v>0.1961432241716837</v>
      </c>
      <c r="AF41">
        <v>0.1232747135681198</v>
      </c>
      <c r="AG41">
        <v>0.35708883847660999</v>
      </c>
      <c r="AH41">
        <v>0.28974405096313138</v>
      </c>
      <c r="AI41">
        <v>0.3395685329423781</v>
      </c>
      <c r="AJ41">
        <v>0.50532258031267263</v>
      </c>
      <c r="AK41">
        <v>0.37791066913211618</v>
      </c>
      <c r="AL41">
        <v>0.47485727890617802</v>
      </c>
      <c r="AM41">
        <v>0.61289442140863803</v>
      </c>
      <c r="AN41">
        <v>0.68050584573377304</v>
      </c>
      <c r="AO41">
        <v>1</v>
      </c>
      <c r="AP41">
        <v>0.66925542192049869</v>
      </c>
      <c r="AQ41">
        <v>0.44222223804089961</v>
      </c>
      <c r="AR41">
        <v>0.40610762152372842</v>
      </c>
      <c r="AS41">
        <v>0.22811843476225699</v>
      </c>
      <c r="AT41">
        <v>0.29305910248091899</v>
      </c>
      <c r="AU41">
        <v>0.25467017218814852</v>
      </c>
      <c r="AV41">
        <v>0.1279428444578746</v>
      </c>
      <c r="AW41">
        <v>0.31024951475856888</v>
      </c>
      <c r="AX41">
        <v>0.18698733674422069</v>
      </c>
      <c r="AY41">
        <v>0.1088255677759743</v>
      </c>
      <c r="AZ41">
        <v>0.1442337111455782</v>
      </c>
      <c r="BA41">
        <v>2.9348182080704069E-2</v>
      </c>
      <c r="BB41">
        <v>0.10336972285535299</v>
      </c>
      <c r="BC41">
        <v>0.1554139787457629</v>
      </c>
    </row>
    <row r="42" spans="1:55" x14ac:dyDescent="0.35">
      <c r="A42" s="1" t="s">
        <v>40</v>
      </c>
      <c r="B42">
        <v>-4.7779625072464143E-3</v>
      </c>
      <c r="C42">
        <v>-0.1448971957661136</v>
      </c>
      <c r="D42">
        <v>-0.1241948658620019</v>
      </c>
      <c r="E42">
        <v>-5.6170616124408733E-2</v>
      </c>
      <c r="F42">
        <v>-5.9804266762612537E-2</v>
      </c>
      <c r="G42">
        <v>-7.2861956455168922E-2</v>
      </c>
      <c r="H42">
        <v>-2.224857202171944E-2</v>
      </c>
      <c r="I42">
        <v>5.2144715315203233E-2</v>
      </c>
      <c r="J42">
        <v>0.13974845382138559</v>
      </c>
      <c r="K42">
        <v>-0.13704182833167039</v>
      </c>
      <c r="L42">
        <v>-7.7972327673173124E-3</v>
      </c>
      <c r="M42">
        <v>0.1180961318263551</v>
      </c>
      <c r="N42">
        <v>0.1548456319101125</v>
      </c>
      <c r="O42">
        <v>0.18502354141480981</v>
      </c>
      <c r="P42">
        <v>0.11127700887517861</v>
      </c>
      <c r="Q42">
        <v>8.5185097024153729E-3</v>
      </c>
      <c r="R42">
        <v>-3.1820090054484572E-2</v>
      </c>
      <c r="S42">
        <v>6.8206416124285529E-3</v>
      </c>
      <c r="T42">
        <v>-1.9979067468321901E-3</v>
      </c>
      <c r="U42">
        <v>-3.6857795304905433E-2</v>
      </c>
      <c r="V42">
        <v>6.4600595714767256E-2</v>
      </c>
      <c r="W42">
        <v>0.15849993876837509</v>
      </c>
      <c r="X42">
        <v>8.8558199745808544E-2</v>
      </c>
      <c r="Y42">
        <v>0.17518510424459641</v>
      </c>
      <c r="Z42">
        <v>0.24413525048385309</v>
      </c>
      <c r="AA42">
        <v>0.17161621306349231</v>
      </c>
      <c r="AB42">
        <v>0.25672862204384062</v>
      </c>
      <c r="AC42">
        <v>0.31864782292551741</v>
      </c>
      <c r="AD42">
        <v>0.28369409413547542</v>
      </c>
      <c r="AE42">
        <v>0.2115089193682303</v>
      </c>
      <c r="AF42">
        <v>0.16973808337697591</v>
      </c>
      <c r="AG42">
        <v>0.36549228436813902</v>
      </c>
      <c r="AH42">
        <v>0.20374131838837489</v>
      </c>
      <c r="AI42">
        <v>0.30829306799858341</v>
      </c>
      <c r="AJ42">
        <v>0.46720305594980283</v>
      </c>
      <c r="AK42">
        <v>0.36785871722568941</v>
      </c>
      <c r="AL42">
        <v>0.41859789893058302</v>
      </c>
      <c r="AM42">
        <v>0.5442886534365432</v>
      </c>
      <c r="AN42">
        <v>0.50627315340876755</v>
      </c>
      <c r="AO42">
        <v>0.66925542192049869</v>
      </c>
      <c r="AP42">
        <v>1</v>
      </c>
      <c r="AQ42">
        <v>0.56059832916743757</v>
      </c>
      <c r="AR42">
        <v>0.5395056602381948</v>
      </c>
      <c r="AS42">
        <v>0.39939197254453312</v>
      </c>
      <c r="AT42">
        <v>0.32755461804766239</v>
      </c>
      <c r="AU42">
        <v>0.27162510948999458</v>
      </c>
      <c r="AV42">
        <v>0.12726913879867521</v>
      </c>
      <c r="AW42">
        <v>0.35884262237703879</v>
      </c>
      <c r="AX42">
        <v>0.1980985681467673</v>
      </c>
      <c r="AY42">
        <v>0.112118433973382</v>
      </c>
      <c r="AZ42">
        <v>0.1710636192947306</v>
      </c>
      <c r="BA42">
        <v>0.15714985913395729</v>
      </c>
      <c r="BB42">
        <v>0.13002243607272179</v>
      </c>
      <c r="BC42">
        <v>0.17510697573940631</v>
      </c>
    </row>
    <row r="43" spans="1:55" x14ac:dyDescent="0.35">
      <c r="A43" s="1" t="s">
        <v>41</v>
      </c>
      <c r="B43">
        <v>-4.2186816895829201E-4</v>
      </c>
      <c r="C43">
        <v>-0.182331333756411</v>
      </c>
      <c r="D43">
        <v>-0.20002414537678989</v>
      </c>
      <c r="E43">
        <v>-0.15052582566949599</v>
      </c>
      <c r="F43">
        <v>-0.11952813365007769</v>
      </c>
      <c r="G43">
        <v>-9.1410351875558668E-2</v>
      </c>
      <c r="H43">
        <v>-2.072002781129707E-2</v>
      </c>
      <c r="I43">
        <v>3.1206297786328361E-2</v>
      </c>
      <c r="J43">
        <v>0.13449319888922481</v>
      </c>
      <c r="K43">
        <v>-0.11037830510136799</v>
      </c>
      <c r="L43">
        <v>-1.7880335007381572E-2</v>
      </c>
      <c r="M43">
        <v>4.7935016580575897E-2</v>
      </c>
      <c r="N43">
        <v>0.10857512176242851</v>
      </c>
      <c r="O43">
        <v>0.19242547318950551</v>
      </c>
      <c r="P43">
        <v>8.8033498612669223E-2</v>
      </c>
      <c r="Q43">
        <v>-5.8923465504888417E-2</v>
      </c>
      <c r="R43">
        <v>-7.3652143401556597E-2</v>
      </c>
      <c r="S43">
        <v>-8.5129829270483251E-2</v>
      </c>
      <c r="T43">
        <v>-7.4469064465776655E-2</v>
      </c>
      <c r="U43">
        <v>-1.6324474500498679E-2</v>
      </c>
      <c r="V43">
        <v>3.7733847087619787E-2</v>
      </c>
      <c r="W43">
        <v>0.12652119622919619</v>
      </c>
      <c r="X43">
        <v>0.10556633940898071</v>
      </c>
      <c r="Y43">
        <v>9.7903157965636298E-2</v>
      </c>
      <c r="Z43">
        <v>0.16988500881757559</v>
      </c>
      <c r="AA43">
        <v>0.1220821659548583</v>
      </c>
      <c r="AB43">
        <v>0.16466685997497191</v>
      </c>
      <c r="AC43">
        <v>0.32479385548039208</v>
      </c>
      <c r="AD43">
        <v>0.21113179434508861</v>
      </c>
      <c r="AE43">
        <v>9.3982896188904722E-2</v>
      </c>
      <c r="AF43">
        <v>4.835055902283094E-2</v>
      </c>
      <c r="AG43">
        <v>0.30006104033211739</v>
      </c>
      <c r="AH43">
        <v>0.1890912070132123</v>
      </c>
      <c r="AI43">
        <v>0.22699658062169981</v>
      </c>
      <c r="AJ43">
        <v>0.38434304819840542</v>
      </c>
      <c r="AK43">
        <v>0.31043376205777301</v>
      </c>
      <c r="AL43">
        <v>0.33917266048003658</v>
      </c>
      <c r="AM43">
        <v>0.46802625101367379</v>
      </c>
      <c r="AN43">
        <v>0.2800439265085784</v>
      </c>
      <c r="AO43">
        <v>0.44222223804089961</v>
      </c>
      <c r="AP43">
        <v>0.56059832916743757</v>
      </c>
      <c r="AQ43">
        <v>1</v>
      </c>
      <c r="AR43">
        <v>0.74140739632253505</v>
      </c>
      <c r="AS43">
        <v>0.47679440577676058</v>
      </c>
      <c r="AT43">
        <v>0.20794410816261469</v>
      </c>
      <c r="AU43">
        <v>0.15886357339230781</v>
      </c>
      <c r="AV43">
        <v>9.7788761714162176E-2</v>
      </c>
      <c r="AW43">
        <v>0.21069110853392881</v>
      </c>
      <c r="AX43">
        <v>0.1118094718725168</v>
      </c>
      <c r="AY43">
        <v>3.6830495971283558E-2</v>
      </c>
      <c r="AZ43">
        <v>6.0750202431557328E-2</v>
      </c>
      <c r="BA43">
        <v>6.1232399281025918E-2</v>
      </c>
      <c r="BB43">
        <v>0.14316455361157071</v>
      </c>
      <c r="BC43">
        <v>0.15997553931122241</v>
      </c>
    </row>
    <row r="44" spans="1:55" x14ac:dyDescent="0.35">
      <c r="A44" s="1" t="s">
        <v>42</v>
      </c>
      <c r="B44">
        <v>3.7039121417919381E-2</v>
      </c>
      <c r="C44">
        <v>-0.15032473454486389</v>
      </c>
      <c r="D44">
        <v>-0.13251782752043309</v>
      </c>
      <c r="E44">
        <v>-0.1071593728247871</v>
      </c>
      <c r="F44">
        <v>-6.9213904699544596E-2</v>
      </c>
      <c r="G44">
        <v>-4.6688782343754627E-2</v>
      </c>
      <c r="H44">
        <v>-1.591348710979594E-2</v>
      </c>
      <c r="I44">
        <v>1.696454746381713E-2</v>
      </c>
      <c r="J44">
        <v>9.0991252704400657E-2</v>
      </c>
      <c r="K44">
        <v>-5.1556133064358647E-2</v>
      </c>
      <c r="L44">
        <v>-1.172797132665322E-2</v>
      </c>
      <c r="M44">
        <v>3.2859911771945083E-2</v>
      </c>
      <c r="N44">
        <v>0.1006765883708413</v>
      </c>
      <c r="O44">
        <v>9.0475170149750567E-2</v>
      </c>
      <c r="P44">
        <v>7.0638520905628999E-2</v>
      </c>
      <c r="Q44">
        <v>-4.9356039534782938E-2</v>
      </c>
      <c r="R44">
        <v>-1.6985579835380769E-2</v>
      </c>
      <c r="S44">
        <v>-4.3762763181831872E-2</v>
      </c>
      <c r="T44">
        <v>-7.541019933723965E-2</v>
      </c>
      <c r="U44">
        <v>8.5598841620356716E-3</v>
      </c>
      <c r="V44">
        <v>5.0731118726136698E-2</v>
      </c>
      <c r="W44">
        <v>8.2228590091169007E-2</v>
      </c>
      <c r="X44">
        <v>5.0622342425761663E-2</v>
      </c>
      <c r="Y44">
        <v>5.8361731361282691E-2</v>
      </c>
      <c r="Z44">
        <v>0.13228361403135469</v>
      </c>
      <c r="AA44">
        <v>0.1182141103147491</v>
      </c>
      <c r="AB44">
        <v>0.14427021915388449</v>
      </c>
      <c r="AC44">
        <v>0.25049978554980568</v>
      </c>
      <c r="AD44">
        <v>0.14102330856277301</v>
      </c>
      <c r="AE44">
        <v>0.1080507263011793</v>
      </c>
      <c r="AF44">
        <v>8.4868547005758882E-2</v>
      </c>
      <c r="AG44">
        <v>0.25374841463016018</v>
      </c>
      <c r="AH44">
        <v>0.17180974157943929</v>
      </c>
      <c r="AI44">
        <v>0.22578845312069029</v>
      </c>
      <c r="AJ44">
        <v>0.35043930245883759</v>
      </c>
      <c r="AK44">
        <v>0.28014450919035649</v>
      </c>
      <c r="AL44">
        <v>0.29010997841671932</v>
      </c>
      <c r="AM44">
        <v>0.36989749455245852</v>
      </c>
      <c r="AN44">
        <v>0.23409538326733109</v>
      </c>
      <c r="AO44">
        <v>0.40610762152372842</v>
      </c>
      <c r="AP44">
        <v>0.5395056602381948</v>
      </c>
      <c r="AQ44">
        <v>0.74140739632253505</v>
      </c>
      <c r="AR44">
        <v>1</v>
      </c>
      <c r="AS44">
        <v>0.63903051135758837</v>
      </c>
      <c r="AT44">
        <v>0.17342131381727419</v>
      </c>
      <c r="AU44">
        <v>0.12745255571215339</v>
      </c>
      <c r="AV44">
        <v>4.3978197241416557E-2</v>
      </c>
      <c r="AW44">
        <v>0.21200930688214359</v>
      </c>
      <c r="AX44">
        <v>7.4165735532338295E-2</v>
      </c>
      <c r="AY44">
        <v>1.6337285517016759E-2</v>
      </c>
      <c r="AZ44">
        <v>3.3201998037675998E-2</v>
      </c>
      <c r="BA44">
        <v>5.7550221457469533E-2</v>
      </c>
      <c r="BB44">
        <v>9.0265002185860269E-2</v>
      </c>
      <c r="BC44">
        <v>8.8849110666397016E-2</v>
      </c>
    </row>
    <row r="45" spans="1:55" x14ac:dyDescent="0.35">
      <c r="A45" s="1" t="s">
        <v>43</v>
      </c>
      <c r="B45">
        <v>1.5345328650953321E-2</v>
      </c>
      <c r="C45">
        <v>-3.7483680846402551E-2</v>
      </c>
      <c r="D45">
        <v>-3.1319403652008228E-2</v>
      </c>
      <c r="E45">
        <v>-6.791357600282333E-3</v>
      </c>
      <c r="F45">
        <v>-6.3562199355070544E-3</v>
      </c>
      <c r="G45">
        <v>2.0539497390415589E-2</v>
      </c>
      <c r="H45">
        <v>4.4034655852427017E-2</v>
      </c>
      <c r="I45">
        <v>2.1347986273234341E-2</v>
      </c>
      <c r="J45">
        <v>6.7224992772913925E-2</v>
      </c>
      <c r="K45">
        <v>2.3868138573645638E-2</v>
      </c>
      <c r="L45">
        <v>-9.933448053163086E-3</v>
      </c>
      <c r="M45">
        <v>-1.8933752876725059E-2</v>
      </c>
      <c r="N45">
        <v>5.2629497735186548E-2</v>
      </c>
      <c r="O45">
        <v>-6.1744748935165621E-3</v>
      </c>
      <c r="P45">
        <v>7.2071197482579577E-2</v>
      </c>
      <c r="Q45">
        <v>-8.2258988568025659E-2</v>
      </c>
      <c r="R45">
        <v>6.8174831693343868E-3</v>
      </c>
      <c r="S45">
        <v>-2.5167364898567281E-2</v>
      </c>
      <c r="T45">
        <v>-2.9491632315726171E-2</v>
      </c>
      <c r="U45">
        <v>-1.4045026840386171E-2</v>
      </c>
      <c r="V45">
        <v>4.9333936604882819E-2</v>
      </c>
      <c r="W45">
        <v>5.3524431039095842E-2</v>
      </c>
      <c r="X45">
        <v>7.5859760260969744E-2</v>
      </c>
      <c r="Y45">
        <v>1.314719958072781E-2</v>
      </c>
      <c r="Z45">
        <v>0.1051305834591057</v>
      </c>
      <c r="AA45">
        <v>4.8334477875112483E-2</v>
      </c>
      <c r="AB45">
        <v>6.1808236981035103E-2</v>
      </c>
      <c r="AC45">
        <v>0.18005963726038979</v>
      </c>
      <c r="AD45">
        <v>8.786496556437158E-2</v>
      </c>
      <c r="AE45">
        <v>0.1162201498743389</v>
      </c>
      <c r="AF45">
        <v>0.1223640994829613</v>
      </c>
      <c r="AG45">
        <v>0.18019435367023659</v>
      </c>
      <c r="AH45">
        <v>0.14826262770048829</v>
      </c>
      <c r="AI45">
        <v>0.21583512683738551</v>
      </c>
      <c r="AJ45">
        <v>0.2498090922466692</v>
      </c>
      <c r="AK45">
        <v>0.15125801307980991</v>
      </c>
      <c r="AL45">
        <v>0.19061055528596241</v>
      </c>
      <c r="AM45">
        <v>0.17151305044415879</v>
      </c>
      <c r="AN45">
        <v>0.10210076157887719</v>
      </c>
      <c r="AO45">
        <v>0.22811843476225699</v>
      </c>
      <c r="AP45">
        <v>0.39939197254453312</v>
      </c>
      <c r="AQ45">
        <v>0.47679440577676058</v>
      </c>
      <c r="AR45">
        <v>0.63903051135758837</v>
      </c>
      <c r="AS45">
        <v>1</v>
      </c>
      <c r="AT45">
        <v>0.1079510647607748</v>
      </c>
      <c r="AU45">
        <v>0.1112411324100816</v>
      </c>
      <c r="AV45">
        <v>7.564654675718939E-2</v>
      </c>
      <c r="AW45">
        <v>0.2284027203478603</v>
      </c>
      <c r="AX45">
        <v>0.1365115859959562</v>
      </c>
      <c r="AY45">
        <v>9.7429119256394581E-2</v>
      </c>
      <c r="AZ45">
        <v>7.2809373143479475E-2</v>
      </c>
      <c r="BA45">
        <v>0.19933468101077079</v>
      </c>
      <c r="BB45">
        <v>0.1280768346162903</v>
      </c>
      <c r="BC45">
        <v>8.3415716832728928E-2</v>
      </c>
    </row>
    <row r="46" spans="1:55" x14ac:dyDescent="0.35">
      <c r="A46" s="1" t="s">
        <v>44</v>
      </c>
      <c r="B46">
        <v>2.643353284488003E-2</v>
      </c>
      <c r="C46">
        <v>1.342367264869178E-2</v>
      </c>
      <c r="D46">
        <v>-6.6868287470980961E-2</v>
      </c>
      <c r="E46">
        <v>6.0293483725429977E-3</v>
      </c>
      <c r="F46">
        <v>-2.5285912459366681E-2</v>
      </c>
      <c r="G46">
        <v>1.0278007929505249E-2</v>
      </c>
      <c r="H46">
        <v>-3.1385932551060057E-2</v>
      </c>
      <c r="I46">
        <v>2.4542303176739801E-2</v>
      </c>
      <c r="J46">
        <v>7.8358758315478005E-2</v>
      </c>
      <c r="K46">
        <v>-8.1035799566993069E-2</v>
      </c>
      <c r="L46">
        <v>1.085076997640497E-2</v>
      </c>
      <c r="M46">
        <v>0.1527721634437956</v>
      </c>
      <c r="N46">
        <v>9.0034507526556298E-2</v>
      </c>
      <c r="O46">
        <v>0.15289954654374829</v>
      </c>
      <c r="P46">
        <v>0.1014889012834311</v>
      </c>
      <c r="Q46">
        <v>0.14182728058533109</v>
      </c>
      <c r="R46">
        <v>4.3408766983012242E-2</v>
      </c>
      <c r="S46">
        <v>7.1000186484632549E-2</v>
      </c>
      <c r="T46">
        <v>7.7075202440107585E-2</v>
      </c>
      <c r="U46">
        <v>2.0560062812975611E-2</v>
      </c>
      <c r="V46">
        <v>5.7345519187995048E-2</v>
      </c>
      <c r="W46">
        <v>0.216449182488297</v>
      </c>
      <c r="X46">
        <v>4.6362865175376203E-2</v>
      </c>
      <c r="Y46">
        <v>6.0287202064123642E-2</v>
      </c>
      <c r="Z46">
        <v>0.1210871652706603</v>
      </c>
      <c r="AA46">
        <v>0.23906179365253419</v>
      </c>
      <c r="AB46">
        <v>0.27417785926020199</v>
      </c>
      <c r="AC46">
        <v>0.2701128357375836</v>
      </c>
      <c r="AD46">
        <v>0.4050780732295014</v>
      </c>
      <c r="AE46">
        <v>8.4074436681874865E-2</v>
      </c>
      <c r="AF46">
        <v>6.5519439711565625E-2</v>
      </c>
      <c r="AG46">
        <v>0.24227743415275371</v>
      </c>
      <c r="AH46">
        <v>0.17368948172200019</v>
      </c>
      <c r="AI46">
        <v>0.19544549255399271</v>
      </c>
      <c r="AJ46">
        <v>0.27701327794006692</v>
      </c>
      <c r="AK46">
        <v>0.21763657251829521</v>
      </c>
      <c r="AL46">
        <v>0.1865361397101036</v>
      </c>
      <c r="AM46">
        <v>0.3256954792050662</v>
      </c>
      <c r="AN46">
        <v>0.1865496459800163</v>
      </c>
      <c r="AO46">
        <v>0.29305910248091899</v>
      </c>
      <c r="AP46">
        <v>0.32755461804766239</v>
      </c>
      <c r="AQ46">
        <v>0.20794410816261469</v>
      </c>
      <c r="AR46">
        <v>0.17342131381727419</v>
      </c>
      <c r="AS46">
        <v>0.1079510647607748</v>
      </c>
      <c r="AT46">
        <v>1</v>
      </c>
      <c r="AU46">
        <v>0.62826713763278241</v>
      </c>
      <c r="AV46">
        <v>0.40164319609469101</v>
      </c>
      <c r="AW46">
        <v>0.34258922786612561</v>
      </c>
      <c r="AX46">
        <v>0.28956186592162719</v>
      </c>
      <c r="AY46">
        <v>0.2406042592759649</v>
      </c>
      <c r="AZ46">
        <v>0.25624670308570507</v>
      </c>
      <c r="BA46">
        <v>0.12528917349090199</v>
      </c>
      <c r="BB46">
        <v>0.15987040145167711</v>
      </c>
      <c r="BC46">
        <v>0.15859639517031879</v>
      </c>
    </row>
    <row r="47" spans="1:55" x14ac:dyDescent="0.35">
      <c r="A47" s="1" t="s">
        <v>45</v>
      </c>
      <c r="B47">
        <v>4.1510336634821572E-2</v>
      </c>
      <c r="C47">
        <v>-3.2738345753597187E-2</v>
      </c>
      <c r="D47">
        <v>-5.2270902300736798E-2</v>
      </c>
      <c r="E47">
        <v>-1.079146395953307E-3</v>
      </c>
      <c r="F47">
        <v>-3.7504650751287283E-2</v>
      </c>
      <c r="G47">
        <v>-3.3896761640502072E-2</v>
      </c>
      <c r="H47">
        <v>-8.3674856518341029E-2</v>
      </c>
      <c r="I47">
        <v>2.1884713026023201E-2</v>
      </c>
      <c r="J47">
        <v>9.5421647499752085E-2</v>
      </c>
      <c r="K47">
        <v>-7.48902507436877E-2</v>
      </c>
      <c r="L47">
        <v>-7.5326278583238869E-3</v>
      </c>
      <c r="M47">
        <v>8.6874829880501173E-2</v>
      </c>
      <c r="N47">
        <v>3.9314192900634412E-2</v>
      </c>
      <c r="O47">
        <v>7.8668534753734587E-2</v>
      </c>
      <c r="P47">
        <v>6.7210142859903316E-2</v>
      </c>
      <c r="Q47">
        <v>7.6951531767357848E-2</v>
      </c>
      <c r="R47">
        <v>-8.3665991113932355E-3</v>
      </c>
      <c r="S47">
        <v>-2.3860595943396758E-2</v>
      </c>
      <c r="T47">
        <v>1.309120458957023E-2</v>
      </c>
      <c r="U47">
        <v>2.252361191129857E-2</v>
      </c>
      <c r="V47">
        <v>5.6203950581253243E-2</v>
      </c>
      <c r="W47">
        <v>0.1500380621619764</v>
      </c>
      <c r="X47">
        <v>3.5811269128685062E-2</v>
      </c>
      <c r="Y47">
        <v>4.2607149522612763E-2</v>
      </c>
      <c r="Z47">
        <v>0.10359025824188919</v>
      </c>
      <c r="AA47">
        <v>0.15742458645270541</v>
      </c>
      <c r="AB47">
        <v>0.24068899944961181</v>
      </c>
      <c r="AC47">
        <v>0.19436668900910101</v>
      </c>
      <c r="AD47">
        <v>0.30641647665287991</v>
      </c>
      <c r="AE47">
        <v>3.9350251571237782E-2</v>
      </c>
      <c r="AF47">
        <v>4.4390452703516353E-2</v>
      </c>
      <c r="AG47">
        <v>0.17865326778001381</v>
      </c>
      <c r="AH47">
        <v>0.19532756725459779</v>
      </c>
      <c r="AI47">
        <v>0.17461898910769061</v>
      </c>
      <c r="AJ47">
        <v>0.24464695692901731</v>
      </c>
      <c r="AK47">
        <v>0.18023877583568149</v>
      </c>
      <c r="AL47">
        <v>0.16797970426592909</v>
      </c>
      <c r="AM47">
        <v>0.28480371130688648</v>
      </c>
      <c r="AN47">
        <v>0.20375353627612111</v>
      </c>
      <c r="AO47">
        <v>0.25467017218814852</v>
      </c>
      <c r="AP47">
        <v>0.27162510948999458</v>
      </c>
      <c r="AQ47">
        <v>0.15886357339230781</v>
      </c>
      <c r="AR47">
        <v>0.12745255571215339</v>
      </c>
      <c r="AS47">
        <v>0.1112411324100816</v>
      </c>
      <c r="AT47">
        <v>0.62826713763278241</v>
      </c>
      <c r="AU47">
        <v>1</v>
      </c>
      <c r="AV47">
        <v>0.5605230480729062</v>
      </c>
      <c r="AW47">
        <v>0.32712276083674358</v>
      </c>
      <c r="AX47">
        <v>0.33156155061628872</v>
      </c>
      <c r="AY47">
        <v>0.26746533970204389</v>
      </c>
      <c r="AZ47">
        <v>0.21396166859887439</v>
      </c>
      <c r="BA47">
        <v>0.15048267397138401</v>
      </c>
      <c r="BB47">
        <v>0.1701277934989619</v>
      </c>
      <c r="BC47">
        <v>0.16885817343265869</v>
      </c>
    </row>
    <row r="48" spans="1:55" x14ac:dyDescent="0.35">
      <c r="A48" s="1" t="s">
        <v>46</v>
      </c>
      <c r="B48">
        <v>2.0060859873308429E-2</v>
      </c>
      <c r="C48">
        <v>-2.66668668515881E-2</v>
      </c>
      <c r="D48">
        <v>-2.0061459648032941E-3</v>
      </c>
      <c r="E48">
        <v>-5.7429479304512152E-3</v>
      </c>
      <c r="F48">
        <v>-1.9075194306326052E-2</v>
      </c>
      <c r="G48">
        <v>-3.8362870533556082E-2</v>
      </c>
      <c r="H48">
        <v>-2.6837492062482E-2</v>
      </c>
      <c r="I48">
        <v>2.0566519815663511E-2</v>
      </c>
      <c r="J48">
        <v>6.8444587322104428E-2</v>
      </c>
      <c r="K48">
        <v>-2.2920932579071039E-2</v>
      </c>
      <c r="L48">
        <v>-1.2493771114960049E-2</v>
      </c>
      <c r="M48">
        <v>4.5726072991790892E-2</v>
      </c>
      <c r="N48">
        <v>2.1475872123659839E-2</v>
      </c>
      <c r="O48">
        <v>5.5543461639066198E-2</v>
      </c>
      <c r="P48">
        <v>-6.0563249538004458E-3</v>
      </c>
      <c r="Q48">
        <v>2.337192691061914E-2</v>
      </c>
      <c r="R48">
        <v>-1.594360546340455E-2</v>
      </c>
      <c r="S48">
        <v>1.1712917049316741E-3</v>
      </c>
      <c r="T48">
        <v>7.2207532995986669E-3</v>
      </c>
      <c r="U48">
        <v>1.0775517332310681E-2</v>
      </c>
      <c r="V48">
        <v>7.4856042769098019E-2</v>
      </c>
      <c r="W48">
        <v>0.10224073033400929</v>
      </c>
      <c r="X48">
        <v>7.4867255428226379E-2</v>
      </c>
      <c r="Y48">
        <v>3.786627678503305E-2</v>
      </c>
      <c r="Z48">
        <v>9.500781462742719E-2</v>
      </c>
      <c r="AA48">
        <v>7.2172267485732494E-2</v>
      </c>
      <c r="AB48">
        <v>0.15363281286688071</v>
      </c>
      <c r="AC48">
        <v>9.0777700329100736E-2</v>
      </c>
      <c r="AD48">
        <v>0.18918380212282451</v>
      </c>
      <c r="AE48">
        <v>4.9296924634712358E-2</v>
      </c>
      <c r="AF48">
        <v>5.6914317032399471E-2</v>
      </c>
      <c r="AG48">
        <v>0.14433115848978451</v>
      </c>
      <c r="AH48">
        <v>0.17395672849549121</v>
      </c>
      <c r="AI48">
        <v>0.13021217320490061</v>
      </c>
      <c r="AJ48">
        <v>0.16628763952592229</v>
      </c>
      <c r="AK48">
        <v>0.10213678224884259</v>
      </c>
      <c r="AL48">
        <v>0.12334063906542871</v>
      </c>
      <c r="AM48">
        <v>0.18576301476791951</v>
      </c>
      <c r="AN48">
        <v>9.0555688477625837E-2</v>
      </c>
      <c r="AO48">
        <v>0.1279428444578746</v>
      </c>
      <c r="AP48">
        <v>0.12726913879867521</v>
      </c>
      <c r="AQ48">
        <v>9.7788761714162176E-2</v>
      </c>
      <c r="AR48">
        <v>4.3978197241416557E-2</v>
      </c>
      <c r="AS48">
        <v>7.564654675718939E-2</v>
      </c>
      <c r="AT48">
        <v>0.40164319609469101</v>
      </c>
      <c r="AU48">
        <v>0.5605230480729062</v>
      </c>
      <c r="AV48">
        <v>1</v>
      </c>
      <c r="AW48">
        <v>0.26926617436918759</v>
      </c>
      <c r="AX48">
        <v>0.56037547287982514</v>
      </c>
      <c r="AY48">
        <v>0.37961880865399839</v>
      </c>
      <c r="AZ48">
        <v>0.2392517462347783</v>
      </c>
      <c r="BA48">
        <v>0.21239868702237311</v>
      </c>
      <c r="BB48">
        <v>0.1677095799006772</v>
      </c>
      <c r="BC48">
        <v>0.16240057842138439</v>
      </c>
    </row>
    <row r="49" spans="1:55" x14ac:dyDescent="0.35">
      <c r="A49" s="1" t="s">
        <v>47</v>
      </c>
      <c r="B49">
        <v>-1.656230812471483E-2</v>
      </c>
      <c r="C49">
        <v>-0.1205986466451861</v>
      </c>
      <c r="D49">
        <v>-9.5061255316484905E-2</v>
      </c>
      <c r="E49">
        <v>-5.8191853432240759E-2</v>
      </c>
      <c r="F49">
        <v>-1.7997037990089931E-2</v>
      </c>
      <c r="G49">
        <v>-9.6165971368686473E-2</v>
      </c>
      <c r="H49">
        <v>-4.1409221342520557E-2</v>
      </c>
      <c r="I49">
        <v>4.5938398092506522E-2</v>
      </c>
      <c r="J49">
        <v>0.13923380929119791</v>
      </c>
      <c r="K49">
        <v>-0.1328770892435919</v>
      </c>
      <c r="L49">
        <v>-4.9948750980390581E-2</v>
      </c>
      <c r="M49">
        <v>0.19414006660384989</v>
      </c>
      <c r="N49">
        <v>0.1493850010867239</v>
      </c>
      <c r="O49">
        <v>0.2472892629213668</v>
      </c>
      <c r="P49">
        <v>0.22272722979980911</v>
      </c>
      <c r="Q49">
        <v>7.1899658020776483E-2</v>
      </c>
      <c r="R49">
        <v>-1.4437495429935759E-3</v>
      </c>
      <c r="S49">
        <v>4.7446863451703972E-2</v>
      </c>
      <c r="T49">
        <v>0.11131322584241719</v>
      </c>
      <c r="U49">
        <v>8.5550057716385838E-2</v>
      </c>
      <c r="V49">
        <v>0.20514623096841361</v>
      </c>
      <c r="W49">
        <v>0.26431637425830318</v>
      </c>
      <c r="X49">
        <v>0.16675929357920799</v>
      </c>
      <c r="Y49">
        <v>0.22946295886458351</v>
      </c>
      <c r="Z49">
        <v>0.22354676138466451</v>
      </c>
      <c r="AA49">
        <v>0.2095800848010527</v>
      </c>
      <c r="AB49">
        <v>0.26671115724702782</v>
      </c>
      <c r="AC49">
        <v>0.3402173016253196</v>
      </c>
      <c r="AD49">
        <v>0.44561973385491022</v>
      </c>
      <c r="AE49">
        <v>0.1437487284314313</v>
      </c>
      <c r="AF49">
        <v>0.13200996718051181</v>
      </c>
      <c r="AG49">
        <v>0.32147914176333192</v>
      </c>
      <c r="AH49">
        <v>0.25666808583957579</v>
      </c>
      <c r="AI49">
        <v>0.32383837915578267</v>
      </c>
      <c r="AJ49">
        <v>0.34190599516828352</v>
      </c>
      <c r="AK49">
        <v>0.24265122050854401</v>
      </c>
      <c r="AL49">
        <v>0.25786368778430557</v>
      </c>
      <c r="AM49">
        <v>0.36205078157410958</v>
      </c>
      <c r="AN49">
        <v>0.22633246265348861</v>
      </c>
      <c r="AO49">
        <v>0.31024951475856888</v>
      </c>
      <c r="AP49">
        <v>0.35884262237703879</v>
      </c>
      <c r="AQ49">
        <v>0.21069110853392881</v>
      </c>
      <c r="AR49">
        <v>0.21200930688214359</v>
      </c>
      <c r="AS49">
        <v>0.2284027203478603</v>
      </c>
      <c r="AT49">
        <v>0.34258922786612561</v>
      </c>
      <c r="AU49">
        <v>0.32712276083674358</v>
      </c>
      <c r="AV49">
        <v>0.26926617436918759</v>
      </c>
      <c r="AW49">
        <v>1</v>
      </c>
      <c r="AX49">
        <v>0.51716416018598477</v>
      </c>
      <c r="AY49">
        <v>0.51014447404451557</v>
      </c>
      <c r="AZ49">
        <v>0.43717578920174061</v>
      </c>
      <c r="BA49">
        <v>0.40976225328846028</v>
      </c>
      <c r="BB49">
        <v>0.4047564070418585</v>
      </c>
      <c r="BC49">
        <v>0.23755604846746151</v>
      </c>
    </row>
    <row r="50" spans="1:55" x14ac:dyDescent="0.35">
      <c r="A50" s="1" t="s">
        <v>48</v>
      </c>
      <c r="B50">
        <v>3.1729450408982077E-2</v>
      </c>
      <c r="C50">
        <v>-6.0704669385286091E-2</v>
      </c>
      <c r="D50">
        <v>-8.0374501434526836E-3</v>
      </c>
      <c r="E50">
        <v>-1.045387195467146E-3</v>
      </c>
      <c r="F50">
        <v>2.8761756947906138E-2</v>
      </c>
      <c r="G50">
        <v>-7.4472876751855419E-2</v>
      </c>
      <c r="H50">
        <v>-4.6846482481953597E-2</v>
      </c>
      <c r="I50">
        <v>2.4561823973020109E-2</v>
      </c>
      <c r="J50">
        <v>0.13754577022459799</v>
      </c>
      <c r="K50">
        <v>-9.7315018260708624E-2</v>
      </c>
      <c r="L50">
        <v>-5.8167771442723677E-2</v>
      </c>
      <c r="M50">
        <v>0.1140238200809878</v>
      </c>
      <c r="N50">
        <v>0.13860996912533291</v>
      </c>
      <c r="O50">
        <v>0.18298271774242519</v>
      </c>
      <c r="P50">
        <v>0.128071886687949</v>
      </c>
      <c r="Q50">
        <v>3.754971082731301E-2</v>
      </c>
      <c r="R50">
        <v>1.6839179930788161E-2</v>
      </c>
      <c r="S50">
        <v>4.7590675098660128E-2</v>
      </c>
      <c r="T50">
        <v>3.6862069206026441E-3</v>
      </c>
      <c r="U50">
        <v>6.4415530286047559E-2</v>
      </c>
      <c r="V50">
        <v>0.15819307675466401</v>
      </c>
      <c r="W50">
        <v>0.1499256415733215</v>
      </c>
      <c r="X50">
        <v>0.1271726588947201</v>
      </c>
      <c r="Y50">
        <v>0.14585729195001829</v>
      </c>
      <c r="Z50">
        <v>0.11425578568502159</v>
      </c>
      <c r="AA50">
        <v>0.1162800935822625</v>
      </c>
      <c r="AB50">
        <v>0.17050726571813141</v>
      </c>
      <c r="AC50">
        <v>0.1930215943312199</v>
      </c>
      <c r="AD50">
        <v>0.26301883594558462</v>
      </c>
      <c r="AE50">
        <v>0.1056340792389287</v>
      </c>
      <c r="AF50">
        <v>8.8034789844342487E-2</v>
      </c>
      <c r="AG50">
        <v>0.24761008307967569</v>
      </c>
      <c r="AH50">
        <v>0.22105767209944971</v>
      </c>
      <c r="AI50">
        <v>0.2790548042132075</v>
      </c>
      <c r="AJ50">
        <v>0.24609315291784251</v>
      </c>
      <c r="AK50">
        <v>0.17551878802887561</v>
      </c>
      <c r="AL50">
        <v>0.2222665007675805</v>
      </c>
      <c r="AM50">
        <v>0.2492849656262989</v>
      </c>
      <c r="AN50">
        <v>0.15550124390855319</v>
      </c>
      <c r="AO50">
        <v>0.18698733674422069</v>
      </c>
      <c r="AP50">
        <v>0.1980985681467673</v>
      </c>
      <c r="AQ50">
        <v>0.1118094718725168</v>
      </c>
      <c r="AR50">
        <v>7.4165735532338295E-2</v>
      </c>
      <c r="AS50">
        <v>0.1365115859959562</v>
      </c>
      <c r="AT50">
        <v>0.28956186592162719</v>
      </c>
      <c r="AU50">
        <v>0.33156155061628872</v>
      </c>
      <c r="AV50">
        <v>0.56037547287982514</v>
      </c>
      <c r="AW50">
        <v>0.51716416018598477</v>
      </c>
      <c r="AX50">
        <v>1</v>
      </c>
      <c r="AY50">
        <v>0.64177921205175659</v>
      </c>
      <c r="AZ50">
        <v>0.40254813320244831</v>
      </c>
      <c r="BA50">
        <v>0.3610118134033567</v>
      </c>
      <c r="BB50">
        <v>0.31584174385358887</v>
      </c>
      <c r="BC50">
        <v>0.20371099774738191</v>
      </c>
    </row>
    <row r="51" spans="1:55" x14ac:dyDescent="0.35">
      <c r="A51" s="1" t="s">
        <v>49</v>
      </c>
      <c r="B51">
        <v>1.8844404453487971E-2</v>
      </c>
      <c r="C51">
        <v>1.7365221944974859E-2</v>
      </c>
      <c r="D51">
        <v>1.022706385082243E-2</v>
      </c>
      <c r="E51">
        <v>9.3569146101172666E-3</v>
      </c>
      <c r="F51">
        <v>1.75087045111623E-2</v>
      </c>
      <c r="G51">
        <v>4.0565970017848044E-3</v>
      </c>
      <c r="H51">
        <v>-4.7536280877481879E-2</v>
      </c>
      <c r="I51">
        <v>-1.39969995909065E-2</v>
      </c>
      <c r="J51">
        <v>8.4635664883893999E-2</v>
      </c>
      <c r="K51">
        <v>-9.055173242381688E-2</v>
      </c>
      <c r="L51">
        <v>-3.5007590521139727E-2</v>
      </c>
      <c r="M51">
        <v>0.22524245156907749</v>
      </c>
      <c r="N51">
        <v>0.17631505603519951</v>
      </c>
      <c r="O51">
        <v>0.16827034975496741</v>
      </c>
      <c r="P51">
        <v>0.20751966709515701</v>
      </c>
      <c r="Q51">
        <v>0.1169507701428464</v>
      </c>
      <c r="R51">
        <v>-2.3442332710335431E-3</v>
      </c>
      <c r="S51">
        <v>8.5687280241754007E-3</v>
      </c>
      <c r="T51">
        <v>7.3478191559055675E-2</v>
      </c>
      <c r="U51">
        <v>0.16576399119509641</v>
      </c>
      <c r="V51">
        <v>0.20292551398884601</v>
      </c>
      <c r="W51">
        <v>0.15739584199148929</v>
      </c>
      <c r="X51">
        <v>5.1004982585347372E-2</v>
      </c>
      <c r="Y51">
        <v>0.1012801336084856</v>
      </c>
      <c r="Z51">
        <v>9.5405497085389188E-2</v>
      </c>
      <c r="AA51">
        <v>0.1218904420981603</v>
      </c>
      <c r="AB51">
        <v>0.1869037480940163</v>
      </c>
      <c r="AC51">
        <v>0.22857450957613271</v>
      </c>
      <c r="AD51">
        <v>0.31510287440855611</v>
      </c>
      <c r="AE51">
        <v>3.782428690341226E-2</v>
      </c>
      <c r="AF51">
        <v>3.3013530854790397E-2</v>
      </c>
      <c r="AG51">
        <v>0.1643708072918908</v>
      </c>
      <c r="AH51">
        <v>0.2631444238460221</v>
      </c>
      <c r="AI51">
        <v>0.29650939258489772</v>
      </c>
      <c r="AJ51">
        <v>0.2407852385011941</v>
      </c>
      <c r="AK51">
        <v>0.19416091524284251</v>
      </c>
      <c r="AL51">
        <v>0.16791661956942769</v>
      </c>
      <c r="AM51">
        <v>0.15371508682700649</v>
      </c>
      <c r="AN51">
        <v>0.1149703266282783</v>
      </c>
      <c r="AO51">
        <v>0.1088255677759743</v>
      </c>
      <c r="AP51">
        <v>0.112118433973382</v>
      </c>
      <c r="AQ51">
        <v>3.6830495971283558E-2</v>
      </c>
      <c r="AR51">
        <v>1.6337285517016759E-2</v>
      </c>
      <c r="AS51">
        <v>9.7429119256394581E-2</v>
      </c>
      <c r="AT51">
        <v>0.2406042592759649</v>
      </c>
      <c r="AU51">
        <v>0.26746533970204389</v>
      </c>
      <c r="AV51">
        <v>0.37961880865399839</v>
      </c>
      <c r="AW51">
        <v>0.51014447404451557</v>
      </c>
      <c r="AX51">
        <v>0.64177921205175659</v>
      </c>
      <c r="AY51">
        <v>1</v>
      </c>
      <c r="AZ51">
        <v>0.55199065301276928</v>
      </c>
      <c r="BA51">
        <v>0.5080628045627128</v>
      </c>
      <c r="BB51">
        <v>0.43983159637441771</v>
      </c>
      <c r="BC51">
        <v>0.22525944455094549</v>
      </c>
    </row>
    <row r="52" spans="1:55" x14ac:dyDescent="0.35">
      <c r="A52" s="1" t="s">
        <v>50</v>
      </c>
      <c r="B52">
        <v>1.8258884914912111E-2</v>
      </c>
      <c r="C52">
        <v>5.5189766719908613E-2</v>
      </c>
      <c r="D52">
        <v>4.3079740123751938E-2</v>
      </c>
      <c r="E52">
        <v>6.1657872893157203E-2</v>
      </c>
      <c r="F52">
        <v>4.56018272759494E-2</v>
      </c>
      <c r="G52">
        <v>-1.7626056867795711E-2</v>
      </c>
      <c r="H52">
        <v>-0.1041676201429292</v>
      </c>
      <c r="I52">
        <v>-3.2832537806085207E-2</v>
      </c>
      <c r="J52">
        <v>8.0675876608388292E-2</v>
      </c>
      <c r="K52">
        <v>-5.2556571160300623E-2</v>
      </c>
      <c r="L52">
        <v>6.4940020696251092E-6</v>
      </c>
      <c r="M52">
        <v>0.22037530692499491</v>
      </c>
      <c r="N52">
        <v>0.1395321716537026</v>
      </c>
      <c r="O52">
        <v>0.13156895113429889</v>
      </c>
      <c r="P52">
        <v>0.14329858146303351</v>
      </c>
      <c r="Q52">
        <v>0.19259980182555331</v>
      </c>
      <c r="R52">
        <v>2.4861829800886678E-2</v>
      </c>
      <c r="S52">
        <v>5.7555565211329769E-2</v>
      </c>
      <c r="T52">
        <v>0.19960008240088281</v>
      </c>
      <c r="U52">
        <v>0.1035221299685139</v>
      </c>
      <c r="V52">
        <v>0.17670086046852759</v>
      </c>
      <c r="W52">
        <v>0.22360885567114841</v>
      </c>
      <c r="X52">
        <v>0.12088671142893161</v>
      </c>
      <c r="Y52">
        <v>0.1788683459269276</v>
      </c>
      <c r="Z52">
        <v>6.6569529645519862E-2</v>
      </c>
      <c r="AA52">
        <v>0.1348945416790292</v>
      </c>
      <c r="AB52">
        <v>0.164087648418031</v>
      </c>
      <c r="AC52">
        <v>0.16599195699253411</v>
      </c>
      <c r="AD52">
        <v>0.34063723604586421</v>
      </c>
      <c r="AE52">
        <v>5.3598676705910123E-3</v>
      </c>
      <c r="AF52">
        <v>3.6742409567689219E-2</v>
      </c>
      <c r="AG52">
        <v>0.1249892275949776</v>
      </c>
      <c r="AH52">
        <v>0.19924896871814921</v>
      </c>
      <c r="AI52">
        <v>0.19630734493914301</v>
      </c>
      <c r="AJ52">
        <v>0.17239114367976829</v>
      </c>
      <c r="AK52">
        <v>0.15310666218285959</v>
      </c>
      <c r="AL52">
        <v>0.10197995578007971</v>
      </c>
      <c r="AM52">
        <v>0.12753366066022029</v>
      </c>
      <c r="AN52">
        <v>0.14556810932114919</v>
      </c>
      <c r="AO52">
        <v>0.1442337111455782</v>
      </c>
      <c r="AP52">
        <v>0.1710636192947306</v>
      </c>
      <c r="AQ52">
        <v>6.0750202431557328E-2</v>
      </c>
      <c r="AR52">
        <v>3.3201998037675998E-2</v>
      </c>
      <c r="AS52">
        <v>7.2809373143479475E-2</v>
      </c>
      <c r="AT52">
        <v>0.25624670308570507</v>
      </c>
      <c r="AU52">
        <v>0.21396166859887439</v>
      </c>
      <c r="AV52">
        <v>0.2392517462347783</v>
      </c>
      <c r="AW52">
        <v>0.43717578920174061</v>
      </c>
      <c r="AX52">
        <v>0.40254813320244831</v>
      </c>
      <c r="AY52">
        <v>0.55199065301276928</v>
      </c>
      <c r="AZ52">
        <v>1</v>
      </c>
      <c r="BA52">
        <v>0.55867246706196783</v>
      </c>
      <c r="BB52">
        <v>0.35592336042434258</v>
      </c>
      <c r="BC52">
        <v>0.17846821579833819</v>
      </c>
    </row>
    <row r="53" spans="1:55" x14ac:dyDescent="0.35">
      <c r="A53" s="1" t="s">
        <v>51</v>
      </c>
      <c r="B53">
        <v>2.3751064351141441E-2</v>
      </c>
      <c r="C53">
        <v>4.2225822770006173E-2</v>
      </c>
      <c r="D53">
        <v>7.0377555628558311E-2</v>
      </c>
      <c r="E53">
        <v>3.8405410469597868E-2</v>
      </c>
      <c r="F53">
        <v>6.8314324069473145E-2</v>
      </c>
      <c r="G53">
        <v>-1.096044115881635E-3</v>
      </c>
      <c r="H53">
        <v>-4.6750730677841253E-2</v>
      </c>
      <c r="I53">
        <v>4.6988969600264023E-3</v>
      </c>
      <c r="J53">
        <v>0.13825511796585099</v>
      </c>
      <c r="K53">
        <v>-4.3320199299360963E-2</v>
      </c>
      <c r="L53">
        <v>2.5837196614285879E-2</v>
      </c>
      <c r="M53">
        <v>0.1813237633346452</v>
      </c>
      <c r="N53">
        <v>0.15178364441863121</v>
      </c>
      <c r="O53">
        <v>7.9179348919661427E-2</v>
      </c>
      <c r="P53">
        <v>0.14748264027224611</v>
      </c>
      <c r="Q53">
        <v>8.1388110626457455E-2</v>
      </c>
      <c r="R53">
        <v>4.0103193071771313E-2</v>
      </c>
      <c r="S53">
        <v>1.8000798545571749E-2</v>
      </c>
      <c r="T53">
        <v>0.12741740943058599</v>
      </c>
      <c r="U53">
        <v>9.4303427819756175E-2</v>
      </c>
      <c r="V53">
        <v>0.15539725357098419</v>
      </c>
      <c r="W53">
        <v>0.15653763754340999</v>
      </c>
      <c r="X53">
        <v>8.9571483111768893E-2</v>
      </c>
      <c r="Y53">
        <v>0.14937133031712629</v>
      </c>
      <c r="Z53">
        <v>6.7155226811108831E-2</v>
      </c>
      <c r="AA53">
        <v>2.7592269667428761E-2</v>
      </c>
      <c r="AB53">
        <v>7.3638886431450973E-2</v>
      </c>
      <c r="AC53">
        <v>0.162572878361396</v>
      </c>
      <c r="AD53">
        <v>0.23890872900546739</v>
      </c>
      <c r="AE53">
        <v>4.0947533196160492E-2</v>
      </c>
      <c r="AF53">
        <v>8.5972404366128741E-2</v>
      </c>
      <c r="AG53">
        <v>0.1251742782742592</v>
      </c>
      <c r="AH53">
        <v>0.2075520243263892</v>
      </c>
      <c r="AI53">
        <v>0.19907827199242009</v>
      </c>
      <c r="AJ53">
        <v>0.19799292045655131</v>
      </c>
      <c r="AK53">
        <v>8.876392122987195E-2</v>
      </c>
      <c r="AL53">
        <v>9.7026732179014114E-2</v>
      </c>
      <c r="AM53">
        <v>4.0507621096448412E-2</v>
      </c>
      <c r="AN53">
        <v>8.0346892568625039E-2</v>
      </c>
      <c r="AO53">
        <v>2.9348182080704069E-2</v>
      </c>
      <c r="AP53">
        <v>0.15714985913395729</v>
      </c>
      <c r="AQ53">
        <v>6.1232399281025918E-2</v>
      </c>
      <c r="AR53">
        <v>5.7550221457469533E-2</v>
      </c>
      <c r="AS53">
        <v>0.19933468101077079</v>
      </c>
      <c r="AT53">
        <v>0.12528917349090199</v>
      </c>
      <c r="AU53">
        <v>0.15048267397138401</v>
      </c>
      <c r="AV53">
        <v>0.21239868702237311</v>
      </c>
      <c r="AW53">
        <v>0.40976225328846028</v>
      </c>
      <c r="AX53">
        <v>0.3610118134033567</v>
      </c>
      <c r="AY53">
        <v>0.5080628045627128</v>
      </c>
      <c r="AZ53">
        <v>0.55867246706196783</v>
      </c>
      <c r="BA53">
        <v>1</v>
      </c>
      <c r="BB53">
        <v>0.62120511583742766</v>
      </c>
      <c r="BC53">
        <v>0.27265719348865142</v>
      </c>
    </row>
    <row r="54" spans="1:55" x14ac:dyDescent="0.35">
      <c r="A54" s="1" t="s">
        <v>52</v>
      </c>
      <c r="B54">
        <v>4.4399664909318348E-2</v>
      </c>
      <c r="C54">
        <v>-5.0423237574258588E-2</v>
      </c>
      <c r="D54">
        <v>-2.2880369827308421E-2</v>
      </c>
      <c r="E54">
        <v>1.5081726845109609E-2</v>
      </c>
      <c r="F54">
        <v>9.3814720244787247E-3</v>
      </c>
      <c r="G54">
        <v>-4.4461653684000388E-2</v>
      </c>
      <c r="H54">
        <v>-1.9468355920075179E-3</v>
      </c>
      <c r="I54">
        <v>4.7514109405156713E-2</v>
      </c>
      <c r="J54">
        <v>0.15661388028719081</v>
      </c>
      <c r="K54">
        <v>-5.5363921713257588E-2</v>
      </c>
      <c r="L54">
        <v>-6.0509221830033218E-2</v>
      </c>
      <c r="M54">
        <v>0.16741397208154271</v>
      </c>
      <c r="N54">
        <v>0.1467329449189031</v>
      </c>
      <c r="O54">
        <v>0.1061492931504127</v>
      </c>
      <c r="P54">
        <v>0.13958338777633569</v>
      </c>
      <c r="Q54">
        <v>1.089978497672886E-2</v>
      </c>
      <c r="R54">
        <v>3.6607844219677499E-2</v>
      </c>
      <c r="S54">
        <v>-1.1458673927812109E-2</v>
      </c>
      <c r="T54">
        <v>7.4217505251515936E-2</v>
      </c>
      <c r="U54">
        <v>3.6168149494788943E-2</v>
      </c>
      <c r="V54">
        <v>6.5134534062581878E-2</v>
      </c>
      <c r="W54">
        <v>0.18003422252631221</v>
      </c>
      <c r="X54">
        <v>9.675054473658587E-2</v>
      </c>
      <c r="Y54">
        <v>6.0933664149915807E-2</v>
      </c>
      <c r="Z54">
        <v>4.3565273031384619E-2</v>
      </c>
      <c r="AA54">
        <v>-1.091498815866605E-2</v>
      </c>
      <c r="AB54">
        <v>7.7351712474072493E-2</v>
      </c>
      <c r="AC54">
        <v>0.1670471481504647</v>
      </c>
      <c r="AD54">
        <v>0.25064683119343178</v>
      </c>
      <c r="AE54">
        <v>1.363339876894182E-2</v>
      </c>
      <c r="AF54">
        <v>6.4740114579743286E-3</v>
      </c>
      <c r="AG54">
        <v>0.1296568781146773</v>
      </c>
      <c r="AH54">
        <v>0.1356023296328614</v>
      </c>
      <c r="AI54">
        <v>0.17296197109343939</v>
      </c>
      <c r="AJ54">
        <v>0.20038540065139271</v>
      </c>
      <c r="AK54">
        <v>0.14923148016067231</v>
      </c>
      <c r="AL54">
        <v>0.100142622349097</v>
      </c>
      <c r="AM54">
        <v>0.1186388804985362</v>
      </c>
      <c r="AN54">
        <v>5.8694036412325047E-2</v>
      </c>
      <c r="AO54">
        <v>0.10336972285535299</v>
      </c>
      <c r="AP54">
        <v>0.13002243607272179</v>
      </c>
      <c r="AQ54">
        <v>0.14316455361157071</v>
      </c>
      <c r="AR54">
        <v>9.0265002185860269E-2</v>
      </c>
      <c r="AS54">
        <v>0.1280768346162903</v>
      </c>
      <c r="AT54">
        <v>0.15987040145167711</v>
      </c>
      <c r="AU54">
        <v>0.1701277934989619</v>
      </c>
      <c r="AV54">
        <v>0.1677095799006772</v>
      </c>
      <c r="AW54">
        <v>0.4047564070418585</v>
      </c>
      <c r="AX54">
        <v>0.31584174385358887</v>
      </c>
      <c r="AY54">
        <v>0.43983159637441771</v>
      </c>
      <c r="AZ54">
        <v>0.35592336042434258</v>
      </c>
      <c r="BA54">
        <v>0.62120511583742766</v>
      </c>
      <c r="BB54">
        <v>1</v>
      </c>
      <c r="BC54">
        <v>0.46501711782900529</v>
      </c>
    </row>
    <row r="55" spans="1:55" x14ac:dyDescent="0.35">
      <c r="A55" s="1" t="s">
        <v>53</v>
      </c>
      <c r="B55">
        <v>-3.9205289864607543E-2</v>
      </c>
      <c r="C55">
        <v>-0.20959560481224809</v>
      </c>
      <c r="D55">
        <v>-0.1673342218938704</v>
      </c>
      <c r="E55">
        <v>-9.8309841373890164E-2</v>
      </c>
      <c r="F55">
        <v>-6.052918724082515E-2</v>
      </c>
      <c r="G55">
        <v>-0.15163553369947641</v>
      </c>
      <c r="H55">
        <v>-1.2772903830628891E-2</v>
      </c>
      <c r="I55">
        <v>0.10498254722503279</v>
      </c>
      <c r="J55">
        <v>8.6574543561016765E-2</v>
      </c>
      <c r="K55">
        <v>-7.533378168605627E-2</v>
      </c>
      <c r="L55">
        <v>-0.10181265361790599</v>
      </c>
      <c r="M55">
        <v>5.8940101498602647E-2</v>
      </c>
      <c r="N55">
        <v>0.12537859299552909</v>
      </c>
      <c r="O55">
        <v>0.15540151441137201</v>
      </c>
      <c r="P55">
        <v>7.5032321922522016E-2</v>
      </c>
      <c r="Q55">
        <v>-0.10357434500119531</v>
      </c>
      <c r="R55">
        <v>-3.045821529356375E-2</v>
      </c>
      <c r="S55">
        <v>-2.830569098078789E-2</v>
      </c>
      <c r="T55">
        <v>3.9943603255472172E-2</v>
      </c>
      <c r="U55">
        <v>1.4919963856912461E-2</v>
      </c>
      <c r="V55">
        <v>-1.7361048567772371E-2</v>
      </c>
      <c r="W55">
        <v>0.1348923116212096</v>
      </c>
      <c r="X55">
        <v>9.3868001856713554E-2</v>
      </c>
      <c r="Y55">
        <v>1.8907885139653659E-2</v>
      </c>
      <c r="Z55">
        <v>5.8519158052760152E-2</v>
      </c>
      <c r="AA55">
        <v>-7.7467091417019587E-2</v>
      </c>
      <c r="AB55">
        <v>0.1114093859505364</v>
      </c>
      <c r="AC55">
        <v>0.12646169411383251</v>
      </c>
      <c r="AD55">
        <v>0.13027680619091631</v>
      </c>
      <c r="AE55">
        <v>0.1021002901160966</v>
      </c>
      <c r="AF55">
        <v>-5.4600960981041639E-3</v>
      </c>
      <c r="AG55">
        <v>8.8007125545544462E-2</v>
      </c>
      <c r="AH55">
        <v>7.8506709526683982E-2</v>
      </c>
      <c r="AI55">
        <v>0.1262984093901853</v>
      </c>
      <c r="AJ55">
        <v>0.19013831717683</v>
      </c>
      <c r="AK55">
        <v>9.1968497330287197E-2</v>
      </c>
      <c r="AL55">
        <v>4.6970050037940213E-2</v>
      </c>
      <c r="AM55">
        <v>0.13171131723969101</v>
      </c>
      <c r="AN55">
        <v>2.8635916211361839E-2</v>
      </c>
      <c r="AO55">
        <v>0.1554139787457629</v>
      </c>
      <c r="AP55">
        <v>0.17510697573940631</v>
      </c>
      <c r="AQ55">
        <v>0.15997553931122241</v>
      </c>
      <c r="AR55">
        <v>8.8849110666397016E-2</v>
      </c>
      <c r="AS55">
        <v>8.3415716832728928E-2</v>
      </c>
      <c r="AT55">
        <v>0.15859639517031879</v>
      </c>
      <c r="AU55">
        <v>0.16885817343265869</v>
      </c>
      <c r="AV55">
        <v>0.16240057842138439</v>
      </c>
      <c r="AW55">
        <v>0.23755604846746151</v>
      </c>
      <c r="AX55">
        <v>0.20371099774738191</v>
      </c>
      <c r="AY55">
        <v>0.22525944455094549</v>
      </c>
      <c r="AZ55">
        <v>0.17846821579833819</v>
      </c>
      <c r="BA55">
        <v>0.27265719348865142</v>
      </c>
      <c r="BB55">
        <v>0.46501711782900529</v>
      </c>
      <c r="BC55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55"/>
  <sheetViews>
    <sheetView workbookViewId="0"/>
  </sheetViews>
  <sheetFormatPr defaultRowHeight="14.5" x14ac:dyDescent="0.35"/>
  <sheetData>
    <row r="1" spans="1:5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35">
      <c r="A2" s="1" t="s">
        <v>0</v>
      </c>
      <c r="B2">
        <v>1</v>
      </c>
      <c r="C2">
        <v>7.3941258895071957E-2</v>
      </c>
      <c r="D2">
        <v>9.3531138555332273E-3</v>
      </c>
      <c r="E2">
        <v>8.8187595216508888E-2</v>
      </c>
      <c r="F2">
        <v>5.3547716113792908E-2</v>
      </c>
      <c r="G2">
        <v>0.14697728969119619</v>
      </c>
      <c r="H2">
        <v>6.8902121279526302E-2</v>
      </c>
      <c r="I2">
        <v>0.1046527267833977</v>
      </c>
      <c r="J2">
        <v>8.1138978447492655E-2</v>
      </c>
      <c r="K2">
        <v>5.6971583515823709E-2</v>
      </c>
      <c r="L2">
        <v>4.0525573941299999E-2</v>
      </c>
      <c r="M2">
        <v>-2.1074430725181139E-2</v>
      </c>
      <c r="N2">
        <v>3.2716871152780568E-2</v>
      </c>
      <c r="O2">
        <v>6.7092207413678467E-2</v>
      </c>
      <c r="P2">
        <v>2.6391387838536121E-2</v>
      </c>
      <c r="Q2">
        <v>5.9436536382618081E-2</v>
      </c>
      <c r="R2">
        <v>3.4454690038069988E-2</v>
      </c>
      <c r="S2">
        <v>6.6480977239699382E-2</v>
      </c>
      <c r="T2">
        <v>6.8185976058640643E-2</v>
      </c>
      <c r="U2">
        <v>5.743037928574711E-2</v>
      </c>
      <c r="V2">
        <v>3.1073290144123501E-2</v>
      </c>
      <c r="W2">
        <v>-1.059252430199885E-2</v>
      </c>
      <c r="X2">
        <v>4.1122528476511801E-2</v>
      </c>
      <c r="Y2">
        <v>4.5667958166695832E-2</v>
      </c>
      <c r="Z2">
        <v>1.757911094812575E-2</v>
      </c>
      <c r="AA2">
        <v>3.2564492077384731E-2</v>
      </c>
      <c r="AB2">
        <v>1.60481828893047E-2</v>
      </c>
      <c r="AC2">
        <v>2.2914360950295129E-2</v>
      </c>
      <c r="AD2">
        <v>5.4864654987353871E-2</v>
      </c>
      <c r="AE2">
        <v>2.1689640234486551E-2</v>
      </c>
      <c r="AF2">
        <v>6.4508881734297646E-3</v>
      </c>
      <c r="AG2">
        <v>4.4436317791953048E-2</v>
      </c>
      <c r="AH2">
        <v>4.0861922062916754E-3</v>
      </c>
      <c r="AI2">
        <v>-1.4405376376137519E-3</v>
      </c>
      <c r="AJ2">
        <v>3.2792487902547643E-2</v>
      </c>
      <c r="AK2">
        <v>4.0736951400210088E-2</v>
      </c>
      <c r="AL2">
        <v>1.5982313375477279E-2</v>
      </c>
      <c r="AM2">
        <v>2.3403994539266261E-2</v>
      </c>
      <c r="AN2">
        <v>6.9624167683240874E-3</v>
      </c>
      <c r="AO2">
        <v>1.7966204423041851E-2</v>
      </c>
      <c r="AP2">
        <v>2.738203403461965E-2</v>
      </c>
      <c r="AQ2">
        <v>4.0739072879103902E-2</v>
      </c>
      <c r="AR2">
        <v>4.9879564221778888E-2</v>
      </c>
      <c r="AS2">
        <v>2.2684948843269812E-2</v>
      </c>
      <c r="AT2">
        <v>3.155879276330352E-2</v>
      </c>
      <c r="AU2">
        <v>2.0145445983230131E-2</v>
      </c>
      <c r="AV2">
        <v>1.274050866662114E-2</v>
      </c>
      <c r="AW2">
        <v>5.2375277264783138E-2</v>
      </c>
      <c r="AX2">
        <v>3.7226067686724651E-2</v>
      </c>
      <c r="AY2">
        <v>1.9651881772013172E-2</v>
      </c>
      <c r="AZ2">
        <v>2.665392393741187E-2</v>
      </c>
      <c r="BA2">
        <v>5.8693076340858637E-2</v>
      </c>
      <c r="BB2">
        <v>5.3682309046593508E-3</v>
      </c>
      <c r="BC2">
        <v>-2.875620169138554E-3</v>
      </c>
    </row>
    <row r="3" spans="1:55" x14ac:dyDescent="0.35">
      <c r="A3" s="1" t="s">
        <v>1</v>
      </c>
      <c r="B3">
        <v>7.3941258895071957E-2</v>
      </c>
      <c r="C3">
        <v>1</v>
      </c>
      <c r="D3">
        <v>0.78810515142846216</v>
      </c>
      <c r="E3">
        <v>0.40484343579501358</v>
      </c>
      <c r="F3">
        <v>0.57019105786840507</v>
      </c>
      <c r="G3">
        <v>0.79142400463009632</v>
      </c>
      <c r="H3">
        <v>0.42769944297527818</v>
      </c>
      <c r="I3">
        <v>0.22094304390974759</v>
      </c>
      <c r="J3">
        <v>5.3730537019060602E-2</v>
      </c>
      <c r="K3">
        <v>0.1171812950573741</v>
      </c>
      <c r="L3">
        <v>7.069644968571287E-2</v>
      </c>
      <c r="M3">
        <v>-7.8995494591781637E-2</v>
      </c>
      <c r="N3">
        <v>6.4012537349851253E-2</v>
      </c>
      <c r="O3">
        <v>2.189939574382917E-2</v>
      </c>
      <c r="P3">
        <v>-0.1161218213332436</v>
      </c>
      <c r="Q3">
        <v>0.39964445271600901</v>
      </c>
      <c r="R3">
        <v>0.21950275385702761</v>
      </c>
      <c r="S3">
        <v>0.19899956882386699</v>
      </c>
      <c r="T3">
        <v>3.1604265799631909E-2</v>
      </c>
      <c r="U3">
        <v>1.4673725070994161E-2</v>
      </c>
      <c r="V3">
        <v>4.9928375126687838E-2</v>
      </c>
      <c r="W3">
        <v>-4.2686439698845453E-2</v>
      </c>
      <c r="X3">
        <v>-9.446003524196013E-2</v>
      </c>
      <c r="Y3">
        <v>-7.9150919981162776E-2</v>
      </c>
      <c r="Z3">
        <v>2.4426650647018169E-2</v>
      </c>
      <c r="AA3">
        <v>-7.8946272563555964E-2</v>
      </c>
      <c r="AB3">
        <v>-8.8986130933366728E-2</v>
      </c>
      <c r="AC3">
        <v>-4.1087814359274541E-2</v>
      </c>
      <c r="AD3">
        <v>2.7571122921569321E-2</v>
      </c>
      <c r="AE3">
        <v>5.7129279823420424E-3</v>
      </c>
      <c r="AF3">
        <v>-4.0183666000657738E-2</v>
      </c>
      <c r="AG3">
        <v>-5.633412518564726E-2</v>
      </c>
      <c r="AH3">
        <v>-9.5213518732714483E-2</v>
      </c>
      <c r="AI3">
        <v>-9.4436261062778748E-2</v>
      </c>
      <c r="AJ3">
        <v>-7.5330728335708821E-2</v>
      </c>
      <c r="AK3">
        <v>-6.5971674901543778E-2</v>
      </c>
      <c r="AL3">
        <v>-8.0138517052271888E-2</v>
      </c>
      <c r="AM3">
        <v>-0.102400487380605</v>
      </c>
      <c r="AN3">
        <v>-7.6471958353505606E-2</v>
      </c>
      <c r="AO3">
        <v>-0.15314896603441561</v>
      </c>
      <c r="AP3">
        <v>-0.1418874463038487</v>
      </c>
      <c r="AQ3">
        <v>-0.119717254958892</v>
      </c>
      <c r="AR3">
        <v>-0.1323547987010113</v>
      </c>
      <c r="AS3">
        <v>-0.12736509892886419</v>
      </c>
      <c r="AT3">
        <v>7.0669820354196519E-3</v>
      </c>
      <c r="AU3">
        <v>-0.1677042331082047</v>
      </c>
      <c r="AV3">
        <v>-0.100108844763265</v>
      </c>
      <c r="AW3">
        <v>-0.14682043195682459</v>
      </c>
      <c r="AX3">
        <v>-0.20382832118374489</v>
      </c>
      <c r="AY3">
        <v>-8.4997131584373803E-2</v>
      </c>
      <c r="AZ3">
        <v>-2.733017658248231E-2</v>
      </c>
      <c r="BA3">
        <v>-9.5049238032774694E-2</v>
      </c>
      <c r="BB3">
        <v>-8.5919469778620486E-2</v>
      </c>
      <c r="BC3">
        <v>-7.7112841478440025E-2</v>
      </c>
    </row>
    <row r="4" spans="1:55" x14ac:dyDescent="0.35">
      <c r="A4" s="1" t="s">
        <v>2</v>
      </c>
      <c r="B4">
        <v>9.3531138555332273E-3</v>
      </c>
      <c r="C4">
        <v>0.78810515142846216</v>
      </c>
      <c r="D4">
        <v>1</v>
      </c>
      <c r="E4">
        <v>0.47954334785026681</v>
      </c>
      <c r="F4">
        <v>0.66284126980202374</v>
      </c>
      <c r="G4">
        <v>0.64075728662144216</v>
      </c>
      <c r="H4">
        <v>0.42504325969660312</v>
      </c>
      <c r="I4">
        <v>0.20720169653855791</v>
      </c>
      <c r="J4">
        <v>4.3819813757943853E-2</v>
      </c>
      <c r="K4">
        <v>0.10574823637010219</v>
      </c>
      <c r="L4">
        <v>8.6071079087914684E-2</v>
      </c>
      <c r="M4">
        <v>-8.0340739694294117E-2</v>
      </c>
      <c r="N4">
        <v>3.429571350083422E-2</v>
      </c>
      <c r="O4">
        <v>-3.1381362715407583E-2</v>
      </c>
      <c r="P4">
        <v>-0.1429207409432279</v>
      </c>
      <c r="Q4">
        <v>0.33229442561009209</v>
      </c>
      <c r="R4">
        <v>0.1742499210124421</v>
      </c>
      <c r="S4">
        <v>0.11853988315518479</v>
      </c>
      <c r="T4">
        <v>-9.5197410924723044E-2</v>
      </c>
      <c r="U4">
        <v>-4.3442726655695242E-2</v>
      </c>
      <c r="V4">
        <v>-6.0335575607617722E-3</v>
      </c>
      <c r="W4">
        <v>-0.11369493737173821</v>
      </c>
      <c r="X4">
        <v>-0.1052858945377151</v>
      </c>
      <c r="Y4">
        <v>-0.1149704486062592</v>
      </c>
      <c r="Z4">
        <v>-1.8786159737904529E-2</v>
      </c>
      <c r="AA4">
        <v>-0.135775446504002</v>
      </c>
      <c r="AB4">
        <v>-0.14232740283878251</v>
      </c>
      <c r="AC4">
        <v>-9.5026269590502921E-2</v>
      </c>
      <c r="AD4">
        <v>-6.6664930402001554E-2</v>
      </c>
      <c r="AE4">
        <v>-1.1161951840757999E-2</v>
      </c>
      <c r="AF4">
        <v>-6.3753645582149396E-2</v>
      </c>
      <c r="AG4">
        <v>-5.9167405704943062E-2</v>
      </c>
      <c r="AH4">
        <v>-0.1119150555486727</v>
      </c>
      <c r="AI4">
        <v>-0.10527555804800889</v>
      </c>
      <c r="AJ4">
        <v>-9.5772490399651966E-2</v>
      </c>
      <c r="AK4">
        <v>-9.683248083157997E-2</v>
      </c>
      <c r="AL4">
        <v>-0.1167541268230361</v>
      </c>
      <c r="AM4">
        <v>-0.1231870037772511</v>
      </c>
      <c r="AN4">
        <v>-9.9624079553196701E-2</v>
      </c>
      <c r="AO4">
        <v>-0.15317395691154331</v>
      </c>
      <c r="AP4">
        <v>-0.17134620607476789</v>
      </c>
      <c r="AQ4">
        <v>-0.1378091503600257</v>
      </c>
      <c r="AR4">
        <v>-0.152329824011146</v>
      </c>
      <c r="AS4">
        <v>-0.1832630378959981</v>
      </c>
      <c r="AT4">
        <v>-2.2160984611423119E-2</v>
      </c>
      <c r="AU4">
        <v>-0.2046433733096219</v>
      </c>
      <c r="AV4">
        <v>-0.1249787187933396</v>
      </c>
      <c r="AW4">
        <v>-0.23849581822860341</v>
      </c>
      <c r="AX4">
        <v>-0.26974247907938081</v>
      </c>
      <c r="AY4">
        <v>-0.13970245715113211</v>
      </c>
      <c r="AZ4">
        <v>-4.4374024583045998E-2</v>
      </c>
      <c r="BA4">
        <v>-0.15662156830171509</v>
      </c>
      <c r="BB4">
        <v>-0.15918423914755561</v>
      </c>
      <c r="BC4">
        <v>-0.1345796973032079</v>
      </c>
    </row>
    <row r="5" spans="1:55" x14ac:dyDescent="0.35">
      <c r="A5" s="1" t="s">
        <v>3</v>
      </c>
      <c r="B5">
        <v>8.8187595216508888E-2</v>
      </c>
      <c r="C5">
        <v>0.40484343579501358</v>
      </c>
      <c r="D5">
        <v>0.47954334785026681</v>
      </c>
      <c r="E5">
        <v>1</v>
      </c>
      <c r="F5">
        <v>0.65513459650323047</v>
      </c>
      <c r="G5">
        <v>0.36122763632492921</v>
      </c>
      <c r="H5">
        <v>0.29287637964983387</v>
      </c>
      <c r="I5">
        <v>0.32464895887139422</v>
      </c>
      <c r="J5">
        <v>0.29003280346721538</v>
      </c>
      <c r="K5">
        <v>0.1075761814395553</v>
      </c>
      <c r="L5">
        <v>6.4498131753970234E-2</v>
      </c>
      <c r="M5">
        <v>4.0986485407800741E-2</v>
      </c>
      <c r="N5">
        <v>0.15723898891301399</v>
      </c>
      <c r="O5">
        <v>4.4690332432518763E-2</v>
      </c>
      <c r="P5">
        <v>-1.072975228740382E-2</v>
      </c>
      <c r="Q5">
        <v>0.25009722092620462</v>
      </c>
      <c r="R5">
        <v>7.1159796332620817E-2</v>
      </c>
      <c r="S5">
        <v>0.1177267320907711</v>
      </c>
      <c r="T5">
        <v>-2.2194801469004301E-2</v>
      </c>
      <c r="U5">
        <v>3.9274405901407718E-2</v>
      </c>
      <c r="V5">
        <v>1.0372959657562721E-2</v>
      </c>
      <c r="W5">
        <v>1.8970404923029139E-3</v>
      </c>
      <c r="X5">
        <v>2.3222779806211222E-2</v>
      </c>
      <c r="Y5">
        <v>2.9646359069176599E-2</v>
      </c>
      <c r="Z5">
        <v>-2.3908878801697799E-3</v>
      </c>
      <c r="AA5">
        <v>4.0722660627582723E-2</v>
      </c>
      <c r="AB5">
        <v>-2.3898912135392092E-3</v>
      </c>
      <c r="AC5">
        <v>-1.7420931806766911E-2</v>
      </c>
      <c r="AD5">
        <v>1.2928246662157181E-2</v>
      </c>
      <c r="AE5">
        <v>2.857051145209866E-2</v>
      </c>
      <c r="AF5">
        <v>-2.657666894071644E-2</v>
      </c>
      <c r="AG5">
        <v>-6.2364200931349107E-3</v>
      </c>
      <c r="AH5">
        <v>-2.4121687840369339E-2</v>
      </c>
      <c r="AI5">
        <v>4.4951813590034571E-4</v>
      </c>
      <c r="AJ5">
        <v>-5.0178716933566028E-2</v>
      </c>
      <c r="AK5">
        <v>-8.1180544510610089E-2</v>
      </c>
      <c r="AL5">
        <v>-5.3007128933296448E-2</v>
      </c>
      <c r="AM5">
        <v>-8.2732870173108736E-2</v>
      </c>
      <c r="AN5">
        <v>-5.3548771041978901E-2</v>
      </c>
      <c r="AO5">
        <v>-5.8617940393492017E-2</v>
      </c>
      <c r="AP5">
        <v>-5.3278092670287783E-2</v>
      </c>
      <c r="AQ5">
        <v>-1.1330079387153439E-2</v>
      </c>
      <c r="AR5">
        <v>-4.3008236140127852E-2</v>
      </c>
      <c r="AS5">
        <v>-7.0990346334379034E-2</v>
      </c>
      <c r="AT5">
        <v>-1.6274031682352381E-2</v>
      </c>
      <c r="AU5">
        <v>-9.7821822884664553E-2</v>
      </c>
      <c r="AV5">
        <v>-7.7116515208306965E-2</v>
      </c>
      <c r="AW5">
        <v>-0.112750250765426</v>
      </c>
      <c r="AX5">
        <v>-0.1411235020074933</v>
      </c>
      <c r="AY5">
        <v>-7.7674822305040456E-2</v>
      </c>
      <c r="AZ5">
        <v>-3.1129467930851799E-2</v>
      </c>
      <c r="BA5">
        <v>-0.1312316066273474</v>
      </c>
      <c r="BB5">
        <v>-6.9281303886177759E-2</v>
      </c>
      <c r="BC5">
        <v>-5.9678946667919279E-2</v>
      </c>
    </row>
    <row r="6" spans="1:55" x14ac:dyDescent="0.35">
      <c r="A6" s="1" t="s">
        <v>4</v>
      </c>
      <c r="B6">
        <v>5.3547716113792908E-2</v>
      </c>
      <c r="C6">
        <v>0.57019105786840507</v>
      </c>
      <c r="D6">
        <v>0.66284126980202374</v>
      </c>
      <c r="E6">
        <v>0.65513459650323047</v>
      </c>
      <c r="F6">
        <v>1</v>
      </c>
      <c r="G6">
        <v>0.46309982111457032</v>
      </c>
      <c r="H6">
        <v>0.29757921603879778</v>
      </c>
      <c r="I6">
        <v>0.29945842723610211</v>
      </c>
      <c r="J6">
        <v>0.19741975531423051</v>
      </c>
      <c r="K6">
        <v>0.13931553465159671</v>
      </c>
      <c r="L6">
        <v>0.12053437071244009</v>
      </c>
      <c r="M6">
        <v>-3.0940560381345201E-2</v>
      </c>
      <c r="N6">
        <v>0.15554560199575879</v>
      </c>
      <c r="O6">
        <v>-3.4219842551558052E-3</v>
      </c>
      <c r="P6">
        <v>-3.9924149169246928E-2</v>
      </c>
      <c r="Q6">
        <v>0.35344500758875169</v>
      </c>
      <c r="R6">
        <v>0.15603841178680949</v>
      </c>
      <c r="S6">
        <v>3.9560424548208073E-2</v>
      </c>
      <c r="T6">
        <v>-0.13922164218577229</v>
      </c>
      <c r="U6">
        <v>-1.7316402153862369E-2</v>
      </c>
      <c r="V6">
        <v>-2.415763806520501E-2</v>
      </c>
      <c r="W6">
        <v>-9.0669684628815944E-2</v>
      </c>
      <c r="X6">
        <v>-6.6633253432089978E-2</v>
      </c>
      <c r="Y6">
        <v>-8.3594501451340245E-2</v>
      </c>
      <c r="Z6">
        <v>-3.2482295900854823E-2</v>
      </c>
      <c r="AA6">
        <v>-7.2517305011487454E-3</v>
      </c>
      <c r="AB6">
        <v>-2.4083552391233078E-2</v>
      </c>
      <c r="AC6">
        <v>-3.4547674971476788E-2</v>
      </c>
      <c r="AD6">
        <v>-7.8591927194439585E-3</v>
      </c>
      <c r="AE6">
        <v>-3.4126047805410628E-3</v>
      </c>
      <c r="AF6">
        <v>-6.7566653058982448E-2</v>
      </c>
      <c r="AG6">
        <v>-7.0807101238028206E-2</v>
      </c>
      <c r="AH6">
        <v>-6.7917154714973116E-2</v>
      </c>
      <c r="AI6">
        <v>-4.8430235523201658E-2</v>
      </c>
      <c r="AJ6">
        <v>-5.1842054532378397E-2</v>
      </c>
      <c r="AK6">
        <v>-0.13255260641956759</v>
      </c>
      <c r="AL6">
        <v>-0.1159250642761236</v>
      </c>
      <c r="AM6">
        <v>-9.1596088728571043E-2</v>
      </c>
      <c r="AN6">
        <v>-0.10052090139471161</v>
      </c>
      <c r="AO6">
        <v>-0.13169890812128909</v>
      </c>
      <c r="AP6">
        <v>-0.1225559571519384</v>
      </c>
      <c r="AQ6">
        <v>-6.6147689957131245E-2</v>
      </c>
      <c r="AR6">
        <v>-8.0987023931350433E-2</v>
      </c>
      <c r="AS6">
        <v>-0.14097092374089171</v>
      </c>
      <c r="AT6">
        <v>-1.5036550733343821E-2</v>
      </c>
      <c r="AU6">
        <v>-0.16171275609501179</v>
      </c>
      <c r="AV6">
        <v>-0.16864219958655999</v>
      </c>
      <c r="AW6">
        <v>-0.19892203994325761</v>
      </c>
      <c r="AX6">
        <v>-0.23522164732414569</v>
      </c>
      <c r="AY6">
        <v>-0.22775141727704151</v>
      </c>
      <c r="AZ6">
        <v>-0.1051999092558161</v>
      </c>
      <c r="BA6">
        <v>-0.19312932177823661</v>
      </c>
      <c r="BB6">
        <v>-8.2988037606435236E-2</v>
      </c>
      <c r="BC6">
        <v>-0.16027267316236959</v>
      </c>
    </row>
    <row r="7" spans="1:55" x14ac:dyDescent="0.35">
      <c r="A7" s="1" t="s">
        <v>5</v>
      </c>
      <c r="B7">
        <v>0.14697728969119619</v>
      </c>
      <c r="C7">
        <v>0.79142400463009632</v>
      </c>
      <c r="D7">
        <v>0.64075728662144216</v>
      </c>
      <c r="E7">
        <v>0.36122763632492921</v>
      </c>
      <c r="F7">
        <v>0.46309982111457032</v>
      </c>
      <c r="G7">
        <v>1</v>
      </c>
      <c r="H7">
        <v>0.41954713340596889</v>
      </c>
      <c r="I7">
        <v>0.23627131390038841</v>
      </c>
      <c r="J7">
        <v>0.1194564848555428</v>
      </c>
      <c r="K7">
        <v>0.114818504044815</v>
      </c>
      <c r="L7">
        <v>5.5882324881889607E-2</v>
      </c>
      <c r="M7">
        <v>-7.6349977083453438E-2</v>
      </c>
      <c r="N7">
        <v>5.5367701786582062E-2</v>
      </c>
      <c r="O7">
        <v>5.8585572021409099E-2</v>
      </c>
      <c r="P7">
        <v>-0.1058925984479341</v>
      </c>
      <c r="Q7">
        <v>0.35687145603749931</v>
      </c>
      <c r="R7">
        <v>0.1699072094097808</v>
      </c>
      <c r="S7">
        <v>0.1936877935350575</v>
      </c>
      <c r="T7">
        <v>5.8402036065758237E-2</v>
      </c>
      <c r="U7">
        <v>7.1890704379287365E-2</v>
      </c>
      <c r="V7">
        <v>0.1029764744233712</v>
      </c>
      <c r="W7">
        <v>-4.6651013602180824E-3</v>
      </c>
      <c r="X7">
        <v>-3.2229494703050261E-2</v>
      </c>
      <c r="Y7">
        <v>2.3692452171520479E-3</v>
      </c>
      <c r="Z7">
        <v>6.2522441592422512E-2</v>
      </c>
      <c r="AA7">
        <v>-4.6946957860681149E-2</v>
      </c>
      <c r="AB7">
        <v>-7.0021244535442798E-2</v>
      </c>
      <c r="AC7">
        <v>-4.0372196287264898E-2</v>
      </c>
      <c r="AD7">
        <v>4.2312433234138302E-2</v>
      </c>
      <c r="AE7">
        <v>9.5002291649540077E-3</v>
      </c>
      <c r="AF7">
        <v>-1.8223588589261479E-2</v>
      </c>
      <c r="AG7">
        <v>-3.3178658408585707E-2</v>
      </c>
      <c r="AH7">
        <v>-8.7991973410095112E-2</v>
      </c>
      <c r="AI7">
        <v>-6.9830053417623855E-2</v>
      </c>
      <c r="AJ7">
        <v>-7.7560453829392639E-2</v>
      </c>
      <c r="AK7">
        <v>-3.3867746003134178E-2</v>
      </c>
      <c r="AL7">
        <v>-5.4008194177891537E-2</v>
      </c>
      <c r="AM7">
        <v>-0.1051055925318984</v>
      </c>
      <c r="AN7">
        <v>-8.8190328322105382E-2</v>
      </c>
      <c r="AO7">
        <v>-0.13955575003246559</v>
      </c>
      <c r="AP7">
        <v>-0.1033715926514359</v>
      </c>
      <c r="AQ7">
        <v>-9.0039302863112208E-2</v>
      </c>
      <c r="AR7">
        <v>-8.9256564077256906E-2</v>
      </c>
      <c r="AS7">
        <v>-0.11659067828557559</v>
      </c>
      <c r="AT7">
        <v>2.0679984987807369E-2</v>
      </c>
      <c r="AU7">
        <v>-0.1171470687530734</v>
      </c>
      <c r="AV7">
        <v>-4.9319044390300742E-2</v>
      </c>
      <c r="AW7">
        <v>-0.12588523100305299</v>
      </c>
      <c r="AX7">
        <v>-0.16376420668609759</v>
      </c>
      <c r="AY7">
        <v>-3.963733300090376E-2</v>
      </c>
      <c r="AZ7">
        <v>2.7650661884723308E-2</v>
      </c>
      <c r="BA7">
        <v>-7.8955972939011521E-2</v>
      </c>
      <c r="BB7">
        <v>-7.8023123219532475E-2</v>
      </c>
      <c r="BC7">
        <v>-4.306052812430556E-2</v>
      </c>
    </row>
    <row r="8" spans="1:55" x14ac:dyDescent="0.35">
      <c r="A8" s="1" t="s">
        <v>6</v>
      </c>
      <c r="B8">
        <v>6.8902121279526302E-2</v>
      </c>
      <c r="C8">
        <v>0.42769944297527818</v>
      </c>
      <c r="D8">
        <v>0.42504325969660312</v>
      </c>
      <c r="E8">
        <v>0.29287637964983387</v>
      </c>
      <c r="F8">
        <v>0.29757921603879778</v>
      </c>
      <c r="G8">
        <v>0.41954713340596889</v>
      </c>
      <c r="H8">
        <v>1</v>
      </c>
      <c r="I8">
        <v>0.44750599057467538</v>
      </c>
      <c r="J8">
        <v>0.29696737296073178</v>
      </c>
      <c r="K8">
        <v>0.2004914827726029</v>
      </c>
      <c r="L8">
        <v>0.12873290751588651</v>
      </c>
      <c r="M8">
        <v>-8.8960114214656077E-2</v>
      </c>
      <c r="N8">
        <v>-8.7087853278892732E-3</v>
      </c>
      <c r="O8">
        <v>3.9345002399150042E-3</v>
      </c>
      <c r="P8">
        <v>-9.5628302029461723E-2</v>
      </c>
      <c r="Q8">
        <v>7.0221111048970455E-2</v>
      </c>
      <c r="R8">
        <v>6.4939748214669843E-3</v>
      </c>
      <c r="S8">
        <v>7.3284523210094266E-2</v>
      </c>
      <c r="T8">
        <v>5.2715806112251492E-3</v>
      </c>
      <c r="U8">
        <v>4.4794402192712912E-2</v>
      </c>
      <c r="V8">
        <v>8.6844520196622352E-2</v>
      </c>
      <c r="W8">
        <v>7.7148857080309871E-2</v>
      </c>
      <c r="X8">
        <v>4.1114756650829122E-2</v>
      </c>
      <c r="Y8">
        <v>4.1352713607704823E-2</v>
      </c>
      <c r="Z8">
        <v>7.5521055785528687E-2</v>
      </c>
      <c r="AA8">
        <v>-4.0960414643904132E-2</v>
      </c>
      <c r="AB8">
        <v>-2.1470536072204369E-2</v>
      </c>
      <c r="AC8">
        <v>-3.9368585275850021E-2</v>
      </c>
      <c r="AD8">
        <v>-3.7521029801979411E-2</v>
      </c>
      <c r="AE8">
        <v>1.9856379106531269E-3</v>
      </c>
      <c r="AF8">
        <v>-3.8513152750994248E-2</v>
      </c>
      <c r="AG8">
        <v>1.353098429506213E-2</v>
      </c>
      <c r="AH8">
        <v>-1.278695889275787E-2</v>
      </c>
      <c r="AI8">
        <v>-3.9629892597845121E-2</v>
      </c>
      <c r="AJ8">
        <v>-6.6568786199863991E-2</v>
      </c>
      <c r="AK8">
        <v>-4.3732586665226919E-2</v>
      </c>
      <c r="AL8">
        <v>-1.9982205297195729E-2</v>
      </c>
      <c r="AM8">
        <v>-0.1138837785666551</v>
      </c>
      <c r="AN8">
        <v>-1.3002806690886831E-2</v>
      </c>
      <c r="AO8">
        <v>-4.4792784355962588E-2</v>
      </c>
      <c r="AP8">
        <v>-4.5942045445248228E-2</v>
      </c>
      <c r="AQ8">
        <v>-5.518766137582818E-2</v>
      </c>
      <c r="AR8">
        <v>-9.0572704194078243E-2</v>
      </c>
      <c r="AS8">
        <v>-6.6714962241787926E-2</v>
      </c>
      <c r="AT8">
        <v>8.5627896372200349E-3</v>
      </c>
      <c r="AU8">
        <v>-7.1662244678937503E-2</v>
      </c>
      <c r="AV8">
        <v>-1.84795972083561E-2</v>
      </c>
      <c r="AW8">
        <v>-6.533149988609116E-2</v>
      </c>
      <c r="AX8">
        <v>-0.10850676616208341</v>
      </c>
      <c r="AY8">
        <v>-5.8355106250900296E-3</v>
      </c>
      <c r="AZ8">
        <v>-2.227232504016749E-2</v>
      </c>
      <c r="BA8">
        <v>-1.50212601371185E-2</v>
      </c>
      <c r="BB8">
        <v>-2.5867025821492439E-4</v>
      </c>
      <c r="BC8">
        <v>1.8656805232473109E-2</v>
      </c>
    </row>
    <row r="9" spans="1:55" x14ac:dyDescent="0.35">
      <c r="A9" s="1" t="s">
        <v>7</v>
      </c>
      <c r="B9">
        <v>0.1046527267833977</v>
      </c>
      <c r="C9">
        <v>0.22094304390974759</v>
      </c>
      <c r="D9">
        <v>0.20720169653855791</v>
      </c>
      <c r="E9">
        <v>0.32464895887139422</v>
      </c>
      <c r="F9">
        <v>0.29945842723610211</v>
      </c>
      <c r="G9">
        <v>0.23627131390038841</v>
      </c>
      <c r="H9">
        <v>0.44750599057467538</v>
      </c>
      <c r="I9">
        <v>1</v>
      </c>
      <c r="J9">
        <v>0.40064587959617171</v>
      </c>
      <c r="K9">
        <v>0.13526684334278699</v>
      </c>
      <c r="L9">
        <v>0.11900151396101349</v>
      </c>
      <c r="M9">
        <v>-4.3421465815943208E-2</v>
      </c>
      <c r="N9">
        <v>7.5068562427272736E-2</v>
      </c>
      <c r="O9">
        <v>9.4915654246643694E-2</v>
      </c>
      <c r="P9">
        <v>8.3746150570444433E-2</v>
      </c>
      <c r="Q9">
        <v>6.710984027932769E-2</v>
      </c>
      <c r="R9">
        <v>-3.9631875872843444E-3</v>
      </c>
      <c r="S9">
        <v>-2.9833315059579871E-2</v>
      </c>
      <c r="T9">
        <v>-3.123493659696774E-2</v>
      </c>
      <c r="U9">
        <v>7.0450431960475221E-2</v>
      </c>
      <c r="V9">
        <v>5.0076271524061321E-2</v>
      </c>
      <c r="W9">
        <v>5.8521598789929553E-2</v>
      </c>
      <c r="X9">
        <v>3.8326504390810302E-3</v>
      </c>
      <c r="Y9">
        <v>-5.3563736177550314E-3</v>
      </c>
      <c r="Z9">
        <v>3.2912015880481232E-2</v>
      </c>
      <c r="AA9">
        <v>6.7936768868428241E-2</v>
      </c>
      <c r="AB9">
        <v>6.4756029465416268E-2</v>
      </c>
      <c r="AC9">
        <v>4.6232789346293518E-2</v>
      </c>
      <c r="AD9">
        <v>-4.1337468906089978E-3</v>
      </c>
      <c r="AE9">
        <v>-1.8084331335939018E-2</v>
      </c>
      <c r="AF9">
        <v>-6.019731912474309E-2</v>
      </c>
      <c r="AG9">
        <v>6.7927211489403859E-3</v>
      </c>
      <c r="AH9">
        <v>3.6754884816974608E-2</v>
      </c>
      <c r="AI9">
        <v>3.7859575497229812E-2</v>
      </c>
      <c r="AJ9">
        <v>2.5246740675065299E-2</v>
      </c>
      <c r="AK9">
        <v>5.874338183299025E-2</v>
      </c>
      <c r="AL9">
        <v>9.9180303322387708E-3</v>
      </c>
      <c r="AM9">
        <v>1.208775685804409E-2</v>
      </c>
      <c r="AN9">
        <v>8.5343449550235352E-3</v>
      </c>
      <c r="AO9">
        <v>3.8104443454776857E-2</v>
      </c>
      <c r="AP9">
        <v>7.1203312610716912E-2</v>
      </c>
      <c r="AQ9">
        <v>8.9407137341561249E-2</v>
      </c>
      <c r="AR9">
        <v>2.6982265099566749E-2</v>
      </c>
      <c r="AS9">
        <v>4.5528225291373493E-2</v>
      </c>
      <c r="AT9">
        <v>2.3726830061815481E-4</v>
      </c>
      <c r="AU9">
        <v>-6.3443728002064964E-2</v>
      </c>
      <c r="AV9">
        <v>-2.7211254039166782E-2</v>
      </c>
      <c r="AW9">
        <v>8.795429467907883E-3</v>
      </c>
      <c r="AX9">
        <v>-1.4589186332964261E-2</v>
      </c>
      <c r="AY9">
        <v>2.2763488236853431E-3</v>
      </c>
      <c r="AZ9">
        <v>-2.1423112424957041E-3</v>
      </c>
      <c r="BA9">
        <v>-4.4197592072042033E-2</v>
      </c>
      <c r="BB9">
        <v>-4.2112217225692153E-2</v>
      </c>
      <c r="BC9">
        <v>3.5208800998951642E-2</v>
      </c>
    </row>
    <row r="10" spans="1:55" x14ac:dyDescent="0.35">
      <c r="A10" s="1" t="s">
        <v>8</v>
      </c>
      <c r="B10">
        <v>8.1138978447492655E-2</v>
      </c>
      <c r="C10">
        <v>5.3730537019060602E-2</v>
      </c>
      <c r="D10">
        <v>4.3819813757943853E-2</v>
      </c>
      <c r="E10">
        <v>0.29003280346721538</v>
      </c>
      <c r="F10">
        <v>0.19741975531423051</v>
      </c>
      <c r="G10">
        <v>0.1194564848555428</v>
      </c>
      <c r="H10">
        <v>0.29696737296073178</v>
      </c>
      <c r="I10">
        <v>0.40064587959617171</v>
      </c>
      <c r="J10">
        <v>1</v>
      </c>
      <c r="K10">
        <v>0.12766379241827661</v>
      </c>
      <c r="L10">
        <v>0.16622373065973611</v>
      </c>
      <c r="M10">
        <v>1.9567724685261152E-2</v>
      </c>
      <c r="N10">
        <v>0.1140150787801474</v>
      </c>
      <c r="O10">
        <v>0.17722731575760381</v>
      </c>
      <c r="P10">
        <v>0.136377734691084</v>
      </c>
      <c r="Q10">
        <v>7.097654373909236E-2</v>
      </c>
      <c r="R10">
        <v>-2.8148227652675471E-2</v>
      </c>
      <c r="S10">
        <v>9.8418367086709237E-3</v>
      </c>
      <c r="T10">
        <v>2.1212194573243848E-2</v>
      </c>
      <c r="U10">
        <v>0.10232919772314469</v>
      </c>
      <c r="V10">
        <v>0.11430924503234149</v>
      </c>
      <c r="W10">
        <v>0.13731663631035551</v>
      </c>
      <c r="X10">
        <v>0.14004022367884381</v>
      </c>
      <c r="Y10">
        <v>0.12356768641661919</v>
      </c>
      <c r="Z10">
        <v>4.4865187715350703E-2</v>
      </c>
      <c r="AA10">
        <v>5.7715626175167671E-2</v>
      </c>
      <c r="AB10">
        <v>8.3378013021606384E-2</v>
      </c>
      <c r="AC10">
        <v>3.2404888364063057E-2</v>
      </c>
      <c r="AD10">
        <v>6.5691369833642252E-2</v>
      </c>
      <c r="AE10">
        <v>5.2089431888602912E-2</v>
      </c>
      <c r="AF10">
        <v>2.8627269747611629E-2</v>
      </c>
      <c r="AG10">
        <v>0.10185208546971029</v>
      </c>
      <c r="AH10">
        <v>5.1628487325701099E-2</v>
      </c>
      <c r="AI10">
        <v>2.2923797662011889E-2</v>
      </c>
      <c r="AJ10">
        <v>2.0706356555930339E-2</v>
      </c>
      <c r="AK10">
        <v>1.175662757811554E-2</v>
      </c>
      <c r="AL10">
        <v>9.4317766892462324E-3</v>
      </c>
      <c r="AM10">
        <v>1.3885146429565381E-2</v>
      </c>
      <c r="AN10">
        <v>3.6006967699795348E-2</v>
      </c>
      <c r="AO10">
        <v>1.4868642430726879E-2</v>
      </c>
      <c r="AP10">
        <v>7.8165713920658117E-2</v>
      </c>
      <c r="AQ10">
        <v>5.0688797905591353E-2</v>
      </c>
      <c r="AR10">
        <v>5.2292930055957337E-2</v>
      </c>
      <c r="AS10">
        <v>7.0944880203299546E-2</v>
      </c>
      <c r="AT10">
        <v>-1.2253543461122739E-2</v>
      </c>
      <c r="AU10">
        <v>1.363367502028533E-3</v>
      </c>
      <c r="AV10">
        <v>-1.1501513413234641E-2</v>
      </c>
      <c r="AW10">
        <v>7.9217303260111005E-2</v>
      </c>
      <c r="AX10">
        <v>7.0342139135180004E-2</v>
      </c>
      <c r="AY10">
        <v>3.9014266023176321E-2</v>
      </c>
      <c r="AZ10">
        <v>4.1806212636462531E-2</v>
      </c>
      <c r="BA10">
        <v>1.044247810490773E-2</v>
      </c>
      <c r="BB10">
        <v>2.4127860042630331E-2</v>
      </c>
      <c r="BC10">
        <v>3.7408355533243093E-2</v>
      </c>
    </row>
    <row r="11" spans="1:55" x14ac:dyDescent="0.35">
      <c r="A11" s="1" t="s">
        <v>9</v>
      </c>
      <c r="B11">
        <v>5.6971583515823709E-2</v>
      </c>
      <c r="C11">
        <v>0.1171812950573741</v>
      </c>
      <c r="D11">
        <v>0.10574823637010219</v>
      </c>
      <c r="E11">
        <v>0.1075761814395553</v>
      </c>
      <c r="F11">
        <v>0.13931553465159671</v>
      </c>
      <c r="G11">
        <v>0.114818504044815</v>
      </c>
      <c r="H11">
        <v>0.2004914827726029</v>
      </c>
      <c r="I11">
        <v>0.13526684334278699</v>
      </c>
      <c r="J11">
        <v>0.12766379241827661</v>
      </c>
      <c r="K11">
        <v>1</v>
      </c>
      <c r="L11">
        <v>0.39125178075335459</v>
      </c>
      <c r="M11">
        <v>-0.1250273620084868</v>
      </c>
      <c r="N11">
        <v>-0.1026384229526084</v>
      </c>
      <c r="O11">
        <v>-0.17942974578308449</v>
      </c>
      <c r="P11">
        <v>-0.32924577424142482</v>
      </c>
      <c r="Q11">
        <v>-2.5470553996586019E-2</v>
      </c>
      <c r="R11">
        <v>2.2424925463690161E-2</v>
      </c>
      <c r="S11">
        <v>3.2437511046794217E-2</v>
      </c>
      <c r="T11">
        <v>1.6988261311582861E-2</v>
      </c>
      <c r="U11">
        <v>-0.12031130663362161</v>
      </c>
      <c r="V11">
        <v>-3.9937334445509308E-2</v>
      </c>
      <c r="W11">
        <v>-7.5559926504601305E-2</v>
      </c>
      <c r="X11">
        <v>-0.1013534738565853</v>
      </c>
      <c r="Y11">
        <v>-2.6438002374374381E-2</v>
      </c>
      <c r="Z11">
        <v>-0.1094454096292273</v>
      </c>
      <c r="AA11">
        <v>-0.1544318285340241</v>
      </c>
      <c r="AB11">
        <v>-0.1212614910680542</v>
      </c>
      <c r="AC11">
        <v>-0.1224676571032132</v>
      </c>
      <c r="AD11">
        <v>-0.14171550116161949</v>
      </c>
      <c r="AE11">
        <v>-9.2500888887496469E-2</v>
      </c>
      <c r="AF11">
        <v>-7.8677385111930564E-2</v>
      </c>
      <c r="AG11">
        <v>-5.5915395844330952E-2</v>
      </c>
      <c r="AH11">
        <v>-9.0364718103576908E-2</v>
      </c>
      <c r="AI11">
        <v>-8.7935919443877394E-2</v>
      </c>
      <c r="AJ11">
        <v>-8.2865308776541746E-2</v>
      </c>
      <c r="AK11">
        <v>-0.1018431532963977</v>
      </c>
      <c r="AL11">
        <v>-6.0477813728890918E-2</v>
      </c>
      <c r="AM11">
        <v>-0.12532729347269761</v>
      </c>
      <c r="AN11">
        <v>-8.2431244725858333E-2</v>
      </c>
      <c r="AO11">
        <v>-8.474747506014163E-2</v>
      </c>
      <c r="AP11">
        <v>-0.1162502653501747</v>
      </c>
      <c r="AQ11">
        <v>-5.9611768452175397E-2</v>
      </c>
      <c r="AR11">
        <v>-0.1009220284271795</v>
      </c>
      <c r="AS11">
        <v>-0.11111818577602189</v>
      </c>
      <c r="AT11">
        <v>-4.5242634825266637E-2</v>
      </c>
      <c r="AU11">
        <v>-2.952168544855048E-2</v>
      </c>
      <c r="AV11">
        <v>-3.8361085853767678E-2</v>
      </c>
      <c r="AW11">
        <v>-7.0838009574706137E-2</v>
      </c>
      <c r="AX11">
        <v>-9.4535131545705975E-2</v>
      </c>
      <c r="AY11">
        <v>-3.8572591239767709E-2</v>
      </c>
      <c r="AZ11">
        <v>-1.6074488536694249E-2</v>
      </c>
      <c r="BA11">
        <v>-3.8038372897855742E-2</v>
      </c>
      <c r="BB11">
        <v>5.0519054569933081E-2</v>
      </c>
      <c r="BC11">
        <v>-3.807488203827742E-2</v>
      </c>
    </row>
    <row r="12" spans="1:55" x14ac:dyDescent="0.35">
      <c r="A12" s="1" t="s">
        <v>10</v>
      </c>
      <c r="B12">
        <v>4.0525573941299999E-2</v>
      </c>
      <c r="C12">
        <v>7.069644968571287E-2</v>
      </c>
      <c r="D12">
        <v>8.6071079087914684E-2</v>
      </c>
      <c r="E12">
        <v>6.4498131753970234E-2</v>
      </c>
      <c r="F12">
        <v>0.12053437071244009</v>
      </c>
      <c r="G12">
        <v>5.5882324881889607E-2</v>
      </c>
      <c r="H12">
        <v>0.12873290751588651</v>
      </c>
      <c r="I12">
        <v>0.11900151396101349</v>
      </c>
      <c r="J12">
        <v>0.16622373065973611</v>
      </c>
      <c r="K12">
        <v>0.39125178075335459</v>
      </c>
      <c r="L12">
        <v>1</v>
      </c>
      <c r="M12">
        <v>1.373945176588365E-2</v>
      </c>
      <c r="N12">
        <v>4.6092920009945762E-2</v>
      </c>
      <c r="O12">
        <v>-0.12673699964185101</v>
      </c>
      <c r="P12">
        <v>-0.16225972303886541</v>
      </c>
      <c r="Q12">
        <v>4.6024207105821113E-2</v>
      </c>
      <c r="R12">
        <v>1.5128159389925599E-2</v>
      </c>
      <c r="S12">
        <v>2.8925577375900471E-2</v>
      </c>
      <c r="T12">
        <v>3.4310119042827693E-2</v>
      </c>
      <c r="U12">
        <v>-5.2520720978463158E-2</v>
      </c>
      <c r="V12">
        <v>-2.2118081648937391E-4</v>
      </c>
      <c r="W12">
        <v>-2.4236704141698939E-2</v>
      </c>
      <c r="X12">
        <v>-1.9046292325877949E-2</v>
      </c>
      <c r="Y12">
        <v>-1.505470128047692E-2</v>
      </c>
      <c r="Z12">
        <v>-7.1448627528447703E-2</v>
      </c>
      <c r="AA12">
        <v>-0.10495084916717209</v>
      </c>
      <c r="AB12">
        <v>-4.1997592889650583E-2</v>
      </c>
      <c r="AC12">
        <v>-3.6139733649896998E-2</v>
      </c>
      <c r="AD12">
        <v>-0.14267373529471911</v>
      </c>
      <c r="AE12">
        <v>-8.5844886139981799E-2</v>
      </c>
      <c r="AF12">
        <v>-5.5869438612606577E-2</v>
      </c>
      <c r="AG12">
        <v>-5.1100041347073688E-2</v>
      </c>
      <c r="AH12">
        <v>-9.7229104370528341E-2</v>
      </c>
      <c r="AI12">
        <v>-8.2094614062539789E-2</v>
      </c>
      <c r="AJ12">
        <v>-6.9517439151272523E-2</v>
      </c>
      <c r="AK12">
        <v>-0.1348972286461381</v>
      </c>
      <c r="AL12">
        <v>-0.14385504201161811</v>
      </c>
      <c r="AM12">
        <v>-0.12579584721592099</v>
      </c>
      <c r="AN12">
        <v>-0.16188310150188159</v>
      </c>
      <c r="AO12">
        <v>-0.18047547628879679</v>
      </c>
      <c r="AP12">
        <v>-0.14708166450208929</v>
      </c>
      <c r="AQ12">
        <v>-0.1244532423951762</v>
      </c>
      <c r="AR12">
        <v>-0.1279373532749403</v>
      </c>
      <c r="AS12">
        <v>-0.15705073619794041</v>
      </c>
      <c r="AT12">
        <v>-7.4697408260745377E-2</v>
      </c>
      <c r="AU12">
        <v>-2.260575584306623E-2</v>
      </c>
      <c r="AV12">
        <v>-1.796175420010299E-2</v>
      </c>
      <c r="AW12">
        <v>-9.4096431695115182E-2</v>
      </c>
      <c r="AX12">
        <v>-9.2088929464821945E-2</v>
      </c>
      <c r="AY12">
        <v>-9.7959670995203044E-2</v>
      </c>
      <c r="AZ12">
        <v>-0.1016612783571786</v>
      </c>
      <c r="BA12">
        <v>-0.10713341637259589</v>
      </c>
      <c r="BB12">
        <v>-6.7381281897533993E-2</v>
      </c>
      <c r="BC12">
        <v>-5.8606914566430732E-2</v>
      </c>
    </row>
    <row r="13" spans="1:55" x14ac:dyDescent="0.35">
      <c r="A13" s="1" t="s">
        <v>11</v>
      </c>
      <c r="B13">
        <v>-2.1074430725181139E-2</v>
      </c>
      <c r="C13">
        <v>-7.8995494591781637E-2</v>
      </c>
      <c r="D13">
        <v>-8.0340739694294117E-2</v>
      </c>
      <c r="E13">
        <v>4.0986485407800741E-2</v>
      </c>
      <c r="F13">
        <v>-3.0940560381345201E-2</v>
      </c>
      <c r="G13">
        <v>-7.6349977083453438E-2</v>
      </c>
      <c r="H13">
        <v>-8.8960114214656077E-2</v>
      </c>
      <c r="I13">
        <v>-4.3421465815943208E-2</v>
      </c>
      <c r="J13">
        <v>1.9567724685261152E-2</v>
      </c>
      <c r="K13">
        <v>-0.1250273620084868</v>
      </c>
      <c r="L13">
        <v>1.373945176588365E-2</v>
      </c>
      <c r="M13">
        <v>1</v>
      </c>
      <c r="N13">
        <v>0.37672133903163879</v>
      </c>
      <c r="O13">
        <v>0.30029462874231011</v>
      </c>
      <c r="P13">
        <v>0.28262868113466011</v>
      </c>
      <c r="Q13">
        <v>-2.0685081239749631E-2</v>
      </c>
      <c r="R13">
        <v>1.8870264875704219E-2</v>
      </c>
      <c r="S13">
        <v>-3.785777115780662E-2</v>
      </c>
      <c r="T13">
        <v>6.6691266345507302E-2</v>
      </c>
      <c r="U13">
        <v>2.2098107621955701E-3</v>
      </c>
      <c r="V13">
        <v>-6.171456097745151E-3</v>
      </c>
      <c r="W13">
        <v>7.3600883560826103E-3</v>
      </c>
      <c r="X13">
        <v>1.22842116176332E-2</v>
      </c>
      <c r="Y13">
        <v>-3.7565583915038551E-2</v>
      </c>
      <c r="Z13">
        <v>2.561963639529739E-2</v>
      </c>
      <c r="AA13">
        <v>0.1461766846293896</v>
      </c>
      <c r="AB13">
        <v>0.15185649046967059</v>
      </c>
      <c r="AC13">
        <v>8.3760908026129066E-2</v>
      </c>
      <c r="AD13">
        <v>0.15263070537019191</v>
      </c>
      <c r="AE13">
        <v>-3.223194066447032E-2</v>
      </c>
      <c r="AF13">
        <v>-2.3332959505424751E-2</v>
      </c>
      <c r="AG13">
        <v>4.5906557633307643E-2</v>
      </c>
      <c r="AH13">
        <v>-5.4090611929860422E-2</v>
      </c>
      <c r="AI13">
        <v>-3.2695169003762688E-2</v>
      </c>
      <c r="AJ13">
        <v>-2.540346003813517E-3</v>
      </c>
      <c r="AK13">
        <v>-2.5905425830160139E-3</v>
      </c>
      <c r="AL13">
        <v>1.575491274996452E-2</v>
      </c>
      <c r="AM13">
        <v>4.0990977640472791E-2</v>
      </c>
      <c r="AN13">
        <v>1.3151117862001011E-2</v>
      </c>
      <c r="AO13">
        <v>1.625813255228218E-2</v>
      </c>
      <c r="AP13">
        <v>2.708617606506462E-2</v>
      </c>
      <c r="AQ13">
        <v>-2.846296338980964E-2</v>
      </c>
      <c r="AR13">
        <v>-2.7437055805046701E-2</v>
      </c>
      <c r="AS13">
        <v>-5.9714460644630978E-2</v>
      </c>
      <c r="AT13">
        <v>-1.966685847435316E-2</v>
      </c>
      <c r="AU13">
        <v>-6.1462129287476082E-2</v>
      </c>
      <c r="AV13">
        <v>-5.8271168631160879E-2</v>
      </c>
      <c r="AW13">
        <v>-0.10594559891306631</v>
      </c>
      <c r="AX13">
        <v>-4.4704569959724473E-2</v>
      </c>
      <c r="AY13">
        <v>-4.6272912635045613E-2</v>
      </c>
      <c r="AZ13">
        <v>-3.1918180865955117E-2</v>
      </c>
      <c r="BA13">
        <v>-0.1122675378746658</v>
      </c>
      <c r="BB13">
        <v>-0.1101954263542257</v>
      </c>
      <c r="BC13">
        <v>-8.7285287743320603E-2</v>
      </c>
    </row>
    <row r="14" spans="1:55" x14ac:dyDescent="0.35">
      <c r="A14" s="1" t="s">
        <v>12</v>
      </c>
      <c r="B14">
        <v>3.2716871152780568E-2</v>
      </c>
      <c r="C14">
        <v>6.4012537349851253E-2</v>
      </c>
      <c r="D14">
        <v>3.429571350083422E-2</v>
      </c>
      <c r="E14">
        <v>0.15723898891301399</v>
      </c>
      <c r="F14">
        <v>0.15554560199575879</v>
      </c>
      <c r="G14">
        <v>5.5367701786582062E-2</v>
      </c>
      <c r="H14">
        <v>-8.7087853278892732E-3</v>
      </c>
      <c r="I14">
        <v>7.5068562427272736E-2</v>
      </c>
      <c r="J14">
        <v>0.1140150787801474</v>
      </c>
      <c r="K14">
        <v>-0.1026384229526084</v>
      </c>
      <c r="L14">
        <v>4.6092920009945762E-2</v>
      </c>
      <c r="M14">
        <v>0.37672133903163879</v>
      </c>
      <c r="N14">
        <v>1</v>
      </c>
      <c r="O14">
        <v>0.27810540833234743</v>
      </c>
      <c r="P14">
        <v>0.2230318055417938</v>
      </c>
      <c r="Q14">
        <v>0.1200552447071029</v>
      </c>
      <c r="R14">
        <v>-1.359661099093765E-2</v>
      </c>
      <c r="S14">
        <v>-7.8883664621809124E-2</v>
      </c>
      <c r="T14">
        <v>-1.971541567463676E-2</v>
      </c>
      <c r="U14">
        <v>8.4809660118450092E-2</v>
      </c>
      <c r="V14">
        <v>-7.5513834903530213E-3</v>
      </c>
      <c r="W14">
        <v>6.611539359510174E-2</v>
      </c>
      <c r="X14">
        <v>5.9069669475717602E-2</v>
      </c>
      <c r="Y14">
        <v>3.0647585049270749E-2</v>
      </c>
      <c r="Z14">
        <v>-1.741985345345635E-3</v>
      </c>
      <c r="AA14">
        <v>0.19054261872226819</v>
      </c>
      <c r="AB14">
        <v>0.1119858883852366</v>
      </c>
      <c r="AC14">
        <v>0.12718312033970761</v>
      </c>
      <c r="AD14">
        <v>8.8265002183711957E-2</v>
      </c>
      <c r="AE14">
        <v>1.6358700357798919E-2</v>
      </c>
      <c r="AF14">
        <v>1.377128456798511E-2</v>
      </c>
      <c r="AG14">
        <v>5.0387867711447071E-2</v>
      </c>
      <c r="AH14">
        <v>-4.9610131034329728E-2</v>
      </c>
      <c r="AI14">
        <v>-1.10907342447414E-3</v>
      </c>
      <c r="AJ14">
        <v>2.7602712630189302E-2</v>
      </c>
      <c r="AK14">
        <v>4.2320485466879103E-2</v>
      </c>
      <c r="AL14">
        <v>3.8693911428255463E-2</v>
      </c>
      <c r="AM14">
        <v>2.6523500608742308E-2</v>
      </c>
      <c r="AN14">
        <v>1.8256025211435122E-2</v>
      </c>
      <c r="AO14">
        <v>-1.3936168401890649E-4</v>
      </c>
      <c r="AP14">
        <v>5.1569281668704017E-2</v>
      </c>
      <c r="AQ14">
        <v>3.8743481381128923E-2</v>
      </c>
      <c r="AR14">
        <v>6.7988542783613673E-2</v>
      </c>
      <c r="AS14">
        <v>2.4745367577979752E-2</v>
      </c>
      <c r="AT14">
        <v>2.3636235177093751E-2</v>
      </c>
      <c r="AU14">
        <v>1.3051729944896159E-2</v>
      </c>
      <c r="AV14">
        <v>-7.2871547285276658E-3</v>
      </c>
      <c r="AW14">
        <v>-4.0085109761916878E-2</v>
      </c>
      <c r="AX14">
        <v>-4.5295679676550522E-2</v>
      </c>
      <c r="AY14">
        <v>-6.4667087618931765E-2</v>
      </c>
      <c r="AZ14">
        <v>-3.5758120193221839E-2</v>
      </c>
      <c r="BA14">
        <v>-6.6395652230834948E-2</v>
      </c>
      <c r="BB14">
        <v>-9.6145136033537276E-2</v>
      </c>
      <c r="BC14">
        <v>-4.486516237915144E-2</v>
      </c>
    </row>
    <row r="15" spans="1:55" x14ac:dyDescent="0.35">
      <c r="A15" s="1" t="s">
        <v>13</v>
      </c>
      <c r="B15">
        <v>6.7092207413678467E-2</v>
      </c>
      <c r="C15">
        <v>2.189939574382917E-2</v>
      </c>
      <c r="D15">
        <v>-3.1381362715407583E-2</v>
      </c>
      <c r="E15">
        <v>4.4690332432518763E-2</v>
      </c>
      <c r="F15">
        <v>-3.4219842551558052E-3</v>
      </c>
      <c r="G15">
        <v>5.8585572021409099E-2</v>
      </c>
      <c r="H15">
        <v>3.9345002399150042E-3</v>
      </c>
      <c r="I15">
        <v>9.4915654246643694E-2</v>
      </c>
      <c r="J15">
        <v>0.17722731575760381</v>
      </c>
      <c r="K15">
        <v>-0.17942974578308449</v>
      </c>
      <c r="L15">
        <v>-0.12673699964185101</v>
      </c>
      <c r="M15">
        <v>0.30029462874231011</v>
      </c>
      <c r="N15">
        <v>0.27810540833234743</v>
      </c>
      <c r="O15">
        <v>1</v>
      </c>
      <c r="P15">
        <v>0.34800281405403333</v>
      </c>
      <c r="Q15">
        <v>3.0939642736847489E-2</v>
      </c>
      <c r="R15">
        <v>-9.109992491618496E-2</v>
      </c>
      <c r="S15">
        <v>-1.223647060065664E-2</v>
      </c>
      <c r="T15">
        <v>5.3286175707680357E-2</v>
      </c>
      <c r="U15">
        <v>0.13166654257944249</v>
      </c>
      <c r="V15">
        <v>0.15575266417950809</v>
      </c>
      <c r="W15">
        <v>0.20587826162729761</v>
      </c>
      <c r="X15">
        <v>0.1430916351039058</v>
      </c>
      <c r="Y15">
        <v>0.14734202757702911</v>
      </c>
      <c r="Z15">
        <v>0.13537620525102551</v>
      </c>
      <c r="AA15">
        <v>0.2331066528710935</v>
      </c>
      <c r="AB15">
        <v>0.18720549788020499</v>
      </c>
      <c r="AC15">
        <v>7.8663737510741932E-2</v>
      </c>
      <c r="AD15">
        <v>0.21107367631013091</v>
      </c>
      <c r="AE15">
        <v>5.6497768924708577E-2</v>
      </c>
      <c r="AF15">
        <v>4.5009789526964307E-2</v>
      </c>
      <c r="AG15">
        <v>9.6706173483493391E-2</v>
      </c>
      <c r="AH15">
        <v>6.0214257412286497E-2</v>
      </c>
      <c r="AI15">
        <v>4.4427905472651782E-2</v>
      </c>
      <c r="AJ15">
        <v>1.3953292699327401E-2</v>
      </c>
      <c r="AK15">
        <v>0.1042463802019904</v>
      </c>
      <c r="AL15">
        <v>3.259926404433542E-2</v>
      </c>
      <c r="AM15">
        <v>6.4812615373529531E-2</v>
      </c>
      <c r="AN15">
        <v>0.11238441969551589</v>
      </c>
      <c r="AO15">
        <v>9.0083511156593812E-2</v>
      </c>
      <c r="AP15">
        <v>9.9216143459239348E-2</v>
      </c>
      <c r="AQ15">
        <v>9.7148184534574578E-2</v>
      </c>
      <c r="AR15">
        <v>0.1265899380599104</v>
      </c>
      <c r="AS15">
        <v>0.1154082009363509</v>
      </c>
      <c r="AT15">
        <v>4.1627360190283923E-2</v>
      </c>
      <c r="AU15">
        <v>-5.0203324968138299E-2</v>
      </c>
      <c r="AV15">
        <v>8.8060675140589472E-3</v>
      </c>
      <c r="AW15">
        <v>7.5495967911458822E-2</v>
      </c>
      <c r="AX15">
        <v>4.7639768148119883E-2</v>
      </c>
      <c r="AY15">
        <v>6.9661936731744575E-2</v>
      </c>
      <c r="AZ15">
        <v>6.0200447439902667E-2</v>
      </c>
      <c r="BA15">
        <v>3.1106322785908431E-2</v>
      </c>
      <c r="BB15">
        <v>-2.1453490146705591E-2</v>
      </c>
      <c r="BC15">
        <v>3.2097520601861869E-3</v>
      </c>
    </row>
    <row r="16" spans="1:55" x14ac:dyDescent="0.35">
      <c r="A16" s="1" t="s">
        <v>14</v>
      </c>
      <c r="B16">
        <v>2.6391387838536121E-2</v>
      </c>
      <c r="C16">
        <v>-0.1161218213332436</v>
      </c>
      <c r="D16">
        <v>-0.1429207409432279</v>
      </c>
      <c r="E16">
        <v>-1.072975228740382E-2</v>
      </c>
      <c r="F16">
        <v>-3.9924149169246928E-2</v>
      </c>
      <c r="G16">
        <v>-0.1058925984479341</v>
      </c>
      <c r="H16">
        <v>-9.5628302029461723E-2</v>
      </c>
      <c r="I16">
        <v>8.3746150570444433E-2</v>
      </c>
      <c r="J16">
        <v>0.136377734691084</v>
      </c>
      <c r="K16">
        <v>-0.32924577424142482</v>
      </c>
      <c r="L16">
        <v>-0.16225972303886541</v>
      </c>
      <c r="M16">
        <v>0.28262868113466011</v>
      </c>
      <c r="N16">
        <v>0.2230318055417938</v>
      </c>
      <c r="O16">
        <v>0.34800281405403333</v>
      </c>
      <c r="P16">
        <v>1</v>
      </c>
      <c r="Q16">
        <v>-1.4823253979610731E-2</v>
      </c>
      <c r="R16">
        <v>-0.1136712369467674</v>
      </c>
      <c r="S16">
        <v>-8.7407318811675211E-2</v>
      </c>
      <c r="T16">
        <v>2.6893537890610658E-3</v>
      </c>
      <c r="U16">
        <v>0.1316134651807532</v>
      </c>
      <c r="V16">
        <v>5.4852713998645497E-2</v>
      </c>
      <c r="W16">
        <v>4.1424304327715343E-2</v>
      </c>
      <c r="X16">
        <v>5.7077885185621173E-2</v>
      </c>
      <c r="Y16">
        <v>1.591646561074106E-2</v>
      </c>
      <c r="Z16">
        <v>0.1691163342331943</v>
      </c>
      <c r="AA16">
        <v>0.33618323953682078</v>
      </c>
      <c r="AB16">
        <v>0.26468359355554588</v>
      </c>
      <c r="AC16">
        <v>0.32183379008680368</v>
      </c>
      <c r="AD16">
        <v>0.24770554329496289</v>
      </c>
      <c r="AE16">
        <v>0.10397578326569661</v>
      </c>
      <c r="AF16">
        <v>0.1121800500301547</v>
      </c>
      <c r="AG16">
        <v>8.8513600877945839E-2</v>
      </c>
      <c r="AH16">
        <v>0.106086661932444</v>
      </c>
      <c r="AI16">
        <v>0.1181488940134665</v>
      </c>
      <c r="AJ16">
        <v>0.13431275174483789</v>
      </c>
      <c r="AK16">
        <v>0.1349694544271586</v>
      </c>
      <c r="AL16">
        <v>3.5663947523179182E-2</v>
      </c>
      <c r="AM16">
        <v>0.12990939020355399</v>
      </c>
      <c r="AN16">
        <v>9.9636484073417936E-2</v>
      </c>
      <c r="AO16">
        <v>8.5992891962684809E-2</v>
      </c>
      <c r="AP16">
        <v>9.3152519836692455E-2</v>
      </c>
      <c r="AQ16">
        <v>8.2724578727257955E-2</v>
      </c>
      <c r="AR16">
        <v>5.2763307653351417E-2</v>
      </c>
      <c r="AS16">
        <v>3.9332493092570073E-2</v>
      </c>
      <c r="AT16">
        <v>-1.6516958913015412E-2</v>
      </c>
      <c r="AU16">
        <v>-8.0477904185770749E-2</v>
      </c>
      <c r="AV16">
        <v>-0.13103642144717351</v>
      </c>
      <c r="AW16">
        <v>6.3557834533729179E-2</v>
      </c>
      <c r="AX16">
        <v>2.100732070801398E-2</v>
      </c>
      <c r="AY16">
        <v>-8.015867181885844E-2</v>
      </c>
      <c r="AZ16">
        <v>-3.4786954208942428E-2</v>
      </c>
      <c r="BA16">
        <v>-3.5253481887342182E-2</v>
      </c>
      <c r="BB16">
        <v>-3.7097898859877618E-2</v>
      </c>
      <c r="BC16">
        <v>-5.376066942243958E-2</v>
      </c>
    </row>
    <row r="17" spans="1:55" x14ac:dyDescent="0.35">
      <c r="A17" s="1" t="s">
        <v>15</v>
      </c>
      <c r="B17">
        <v>5.9436536382618081E-2</v>
      </c>
      <c r="C17">
        <v>0.39964445271600901</v>
      </c>
      <c r="D17">
        <v>0.33229442561009209</v>
      </c>
      <c r="E17">
        <v>0.25009722092620462</v>
      </c>
      <c r="F17">
        <v>0.35344500758875169</v>
      </c>
      <c r="G17">
        <v>0.35687145603749931</v>
      </c>
      <c r="H17">
        <v>7.0221111048970455E-2</v>
      </c>
      <c r="I17">
        <v>6.710984027932769E-2</v>
      </c>
      <c r="J17">
        <v>7.097654373909236E-2</v>
      </c>
      <c r="K17">
        <v>-2.5470553996586019E-2</v>
      </c>
      <c r="L17">
        <v>4.6024207105821113E-2</v>
      </c>
      <c r="M17">
        <v>-2.0685081239749631E-2</v>
      </c>
      <c r="N17">
        <v>0.1200552447071029</v>
      </c>
      <c r="O17">
        <v>3.0939642736847489E-2</v>
      </c>
      <c r="P17">
        <v>-1.4823253979610731E-2</v>
      </c>
      <c r="Q17">
        <v>1</v>
      </c>
      <c r="R17">
        <v>0.270158639164778</v>
      </c>
      <c r="S17">
        <v>0.28367550978947048</v>
      </c>
      <c r="T17">
        <v>3.5252680831569641E-2</v>
      </c>
      <c r="U17">
        <v>4.6635954534105392E-2</v>
      </c>
      <c r="V17">
        <v>5.046712315840713E-2</v>
      </c>
      <c r="W17">
        <v>-4.1451424335921618E-2</v>
      </c>
      <c r="X17">
        <v>-3.3018605866006079E-2</v>
      </c>
      <c r="Y17">
        <v>-2.64860855871859E-2</v>
      </c>
      <c r="Z17">
        <v>-6.2509735847889242E-2</v>
      </c>
      <c r="AA17">
        <v>0.13541959502532169</v>
      </c>
      <c r="AB17">
        <v>0.13015866091422909</v>
      </c>
      <c r="AC17">
        <v>0.1035024666773129</v>
      </c>
      <c r="AD17">
        <v>0.2639848643595149</v>
      </c>
      <c r="AE17">
        <v>0.1338856956916705</v>
      </c>
      <c r="AF17">
        <v>9.9736532247133441E-2</v>
      </c>
      <c r="AG17">
        <v>-8.0633148621884979E-3</v>
      </c>
      <c r="AH17">
        <v>-1.9674389695628378E-2</v>
      </c>
      <c r="AI17">
        <v>-2.6391228721820881E-3</v>
      </c>
      <c r="AJ17">
        <v>-3.4672576885094272E-2</v>
      </c>
      <c r="AK17">
        <v>9.5663329894739337E-3</v>
      </c>
      <c r="AL17">
        <v>-2.1472156782358871E-2</v>
      </c>
      <c r="AM17">
        <v>6.6002988469449353E-3</v>
      </c>
      <c r="AN17">
        <v>-5.3372369994649893E-2</v>
      </c>
      <c r="AO17">
        <v>-8.9720128452240366E-2</v>
      </c>
      <c r="AP17">
        <v>-5.1821950971134498E-2</v>
      </c>
      <c r="AQ17">
        <v>-3.939322665605479E-2</v>
      </c>
      <c r="AR17">
        <v>-9.9674076781017251E-3</v>
      </c>
      <c r="AS17">
        <v>-2.6822474237888978E-2</v>
      </c>
      <c r="AT17">
        <v>5.6532318213079649E-2</v>
      </c>
      <c r="AU17">
        <v>-7.146789423647025E-2</v>
      </c>
      <c r="AV17">
        <v>-3.4164222843954942E-2</v>
      </c>
      <c r="AW17">
        <v>-1.76971290405907E-2</v>
      </c>
      <c r="AX17">
        <v>-9.3531951265691138E-2</v>
      </c>
      <c r="AY17">
        <v>8.2257564405829528E-2</v>
      </c>
      <c r="AZ17">
        <v>0.11704878977226379</v>
      </c>
      <c r="BA17">
        <v>-5.804467763693083E-2</v>
      </c>
      <c r="BB17">
        <v>-0.15856518828783089</v>
      </c>
      <c r="BC17">
        <v>5.8536857231530973E-2</v>
      </c>
    </row>
    <row r="18" spans="1:55" x14ac:dyDescent="0.35">
      <c r="A18" s="1" t="s">
        <v>16</v>
      </c>
      <c r="B18">
        <v>3.4454690038069988E-2</v>
      </c>
      <c r="C18">
        <v>0.21950275385702761</v>
      </c>
      <c r="D18">
        <v>0.1742499210124421</v>
      </c>
      <c r="E18">
        <v>7.1159796332620817E-2</v>
      </c>
      <c r="F18">
        <v>0.15603841178680949</v>
      </c>
      <c r="G18">
        <v>0.1699072094097808</v>
      </c>
      <c r="H18">
        <v>6.4939748214669843E-3</v>
      </c>
      <c r="I18">
        <v>-3.9631875872843444E-3</v>
      </c>
      <c r="J18">
        <v>-2.8148227652675471E-2</v>
      </c>
      <c r="K18">
        <v>2.2424925463690161E-2</v>
      </c>
      <c r="L18">
        <v>1.5128159389925599E-2</v>
      </c>
      <c r="M18">
        <v>1.8870264875704219E-2</v>
      </c>
      <c r="N18">
        <v>-1.359661099093765E-2</v>
      </c>
      <c r="O18">
        <v>-9.109992491618496E-2</v>
      </c>
      <c r="P18">
        <v>-0.1136712369467674</v>
      </c>
      <c r="Q18">
        <v>0.270158639164778</v>
      </c>
      <c r="R18">
        <v>1</v>
      </c>
      <c r="S18">
        <v>0.40619453985024939</v>
      </c>
      <c r="T18">
        <v>0.18901515321346249</v>
      </c>
      <c r="U18">
        <v>2.2336316164058212E-3</v>
      </c>
      <c r="V18">
        <v>1.175971739761422E-2</v>
      </c>
      <c r="W18">
        <v>-2.170566889655098E-2</v>
      </c>
      <c r="X18">
        <v>-8.3998684621011802E-2</v>
      </c>
      <c r="Y18">
        <v>-8.8192136939670457E-2</v>
      </c>
      <c r="Z18">
        <v>-6.1693670804505857E-2</v>
      </c>
      <c r="AA18">
        <v>-3.4802483366341612E-2</v>
      </c>
      <c r="AB18">
        <v>-3.6106780609143838E-2</v>
      </c>
      <c r="AC18">
        <v>-3.6302862707756768E-2</v>
      </c>
      <c r="AD18">
        <v>-4.5924301594416732E-3</v>
      </c>
      <c r="AE18">
        <v>-1.9591879255337341E-3</v>
      </c>
      <c r="AF18">
        <v>-1.453309824155132E-2</v>
      </c>
      <c r="AG18">
        <v>-5.7039974921095901E-2</v>
      </c>
      <c r="AH18">
        <v>-9.6024407160711853E-2</v>
      </c>
      <c r="AI18">
        <v>-8.7616099245814719E-2</v>
      </c>
      <c r="AJ18">
        <v>-6.4570119882713217E-2</v>
      </c>
      <c r="AK18">
        <v>-0.10265759241038119</v>
      </c>
      <c r="AL18">
        <v>-7.3312669703037348E-2</v>
      </c>
      <c r="AM18">
        <v>-7.3128911245274722E-2</v>
      </c>
      <c r="AN18">
        <v>-0.1048925646414591</v>
      </c>
      <c r="AO18">
        <v>-0.12665439185585789</v>
      </c>
      <c r="AP18">
        <v>-0.13785075962694371</v>
      </c>
      <c r="AQ18">
        <v>-7.2305974389240302E-2</v>
      </c>
      <c r="AR18">
        <v>-7.1792736252196898E-2</v>
      </c>
      <c r="AS18">
        <v>-0.10270122816213249</v>
      </c>
      <c r="AT18">
        <v>-3.5751594351536109E-4</v>
      </c>
      <c r="AU18">
        <v>-4.1656570478248202E-2</v>
      </c>
      <c r="AV18">
        <v>-7.5902084796835995E-2</v>
      </c>
      <c r="AW18">
        <v>-7.7266575147725128E-2</v>
      </c>
      <c r="AX18">
        <v>-5.8907544689779351E-2</v>
      </c>
      <c r="AY18">
        <v>-0.1221840578273167</v>
      </c>
      <c r="AZ18">
        <v>-4.9315302641919287E-2</v>
      </c>
      <c r="BA18">
        <v>-4.9439166286067947E-2</v>
      </c>
      <c r="BB18">
        <v>4.4363550086530638E-3</v>
      </c>
      <c r="BC18">
        <v>-7.0813725264993951E-2</v>
      </c>
    </row>
    <row r="19" spans="1:55" x14ac:dyDescent="0.35">
      <c r="A19" s="1" t="s">
        <v>17</v>
      </c>
      <c r="B19">
        <v>6.6480977239699382E-2</v>
      </c>
      <c r="C19">
        <v>0.19899956882386699</v>
      </c>
      <c r="D19">
        <v>0.11853988315518479</v>
      </c>
      <c r="E19">
        <v>0.1177267320907711</v>
      </c>
      <c r="F19">
        <v>3.9560424548208073E-2</v>
      </c>
      <c r="G19">
        <v>0.1936877935350575</v>
      </c>
      <c r="H19">
        <v>7.3284523210094266E-2</v>
      </c>
      <c r="I19">
        <v>-2.9833315059579871E-2</v>
      </c>
      <c r="J19">
        <v>9.8418367086709237E-3</v>
      </c>
      <c r="K19">
        <v>3.2437511046794217E-2</v>
      </c>
      <c r="L19">
        <v>2.8925577375900471E-2</v>
      </c>
      <c r="M19">
        <v>-3.785777115780662E-2</v>
      </c>
      <c r="N19">
        <v>-7.8883664621809124E-2</v>
      </c>
      <c r="O19">
        <v>-1.223647060065664E-2</v>
      </c>
      <c r="P19">
        <v>-8.7407318811675211E-2</v>
      </c>
      <c r="Q19">
        <v>0.28367550978947048</v>
      </c>
      <c r="R19">
        <v>0.40619453985024939</v>
      </c>
      <c r="S19">
        <v>1</v>
      </c>
      <c r="T19">
        <v>0.35426401842928762</v>
      </c>
      <c r="U19">
        <v>7.1401310070916171E-2</v>
      </c>
      <c r="V19">
        <v>0.16281165728690841</v>
      </c>
      <c r="W19">
        <v>7.6220294058687285E-2</v>
      </c>
      <c r="X19">
        <v>-6.6926925135615814E-3</v>
      </c>
      <c r="Y19">
        <v>5.83473499057416E-2</v>
      </c>
      <c r="Z19">
        <v>-3.3788339451436979E-2</v>
      </c>
      <c r="AA19">
        <v>2.826131101380143E-2</v>
      </c>
      <c r="AB19">
        <v>-4.0359343928885127E-2</v>
      </c>
      <c r="AC19">
        <v>-2.2364987515535489E-2</v>
      </c>
      <c r="AD19">
        <v>3.5946411402811462E-2</v>
      </c>
      <c r="AE19">
        <v>2.7675283671830971E-2</v>
      </c>
      <c r="AF19">
        <v>1.46176271564409E-2</v>
      </c>
      <c r="AG19">
        <v>2.36572056738775E-2</v>
      </c>
      <c r="AH19">
        <v>-3.681513951219597E-2</v>
      </c>
      <c r="AI19">
        <v>-2.0800317362946231E-2</v>
      </c>
      <c r="AJ19">
        <v>-3.1624458284962541E-3</v>
      </c>
      <c r="AK19">
        <v>-3.3567882345402707E-2</v>
      </c>
      <c r="AL19">
        <v>-1.496634819911912E-2</v>
      </c>
      <c r="AM19">
        <v>-4.1448998652596068E-2</v>
      </c>
      <c r="AN19">
        <v>-1.7609024808289759E-2</v>
      </c>
      <c r="AO19">
        <v>-3.7738346134143952E-2</v>
      </c>
      <c r="AP19">
        <v>-3.4938286870659981E-2</v>
      </c>
      <c r="AQ19">
        <v>-4.4072427295355758E-2</v>
      </c>
      <c r="AR19">
        <v>-2.9501718354756672E-2</v>
      </c>
      <c r="AS19">
        <v>-2.335042613704004E-2</v>
      </c>
      <c r="AT19">
        <v>3.164858922612401E-3</v>
      </c>
      <c r="AU19">
        <v>-4.0751714638452889E-2</v>
      </c>
      <c r="AV19">
        <v>-2.336829971748252E-2</v>
      </c>
      <c r="AW19">
        <v>2.7513961111308872E-3</v>
      </c>
      <c r="AX19">
        <v>-3.4816029085092487E-2</v>
      </c>
      <c r="AY19">
        <v>3.8214793951642047E-2</v>
      </c>
      <c r="AZ19">
        <v>3.941625903898209E-2</v>
      </c>
      <c r="BA19">
        <v>4.5316625924677237E-2</v>
      </c>
      <c r="BB19">
        <v>1.366772706422761E-2</v>
      </c>
      <c r="BC19">
        <v>3.565715476482343E-2</v>
      </c>
    </row>
    <row r="20" spans="1:55" x14ac:dyDescent="0.35">
      <c r="A20" s="1" t="s">
        <v>18</v>
      </c>
      <c r="B20">
        <v>6.8185976058640643E-2</v>
      </c>
      <c r="C20">
        <v>3.1604265799631909E-2</v>
      </c>
      <c r="D20">
        <v>-9.5197410924723044E-2</v>
      </c>
      <c r="E20">
        <v>-2.2194801469004301E-2</v>
      </c>
      <c r="F20">
        <v>-0.13922164218577229</v>
      </c>
      <c r="G20">
        <v>5.8402036065758237E-2</v>
      </c>
      <c r="H20">
        <v>5.2715806112251492E-3</v>
      </c>
      <c r="I20">
        <v>-3.123493659696774E-2</v>
      </c>
      <c r="J20">
        <v>2.1212194573243848E-2</v>
      </c>
      <c r="K20">
        <v>1.6988261311582861E-2</v>
      </c>
      <c r="L20">
        <v>3.4310119042827693E-2</v>
      </c>
      <c r="M20">
        <v>6.6691266345507302E-2</v>
      </c>
      <c r="N20">
        <v>-1.971541567463676E-2</v>
      </c>
      <c r="O20">
        <v>5.3286175707680357E-2</v>
      </c>
      <c r="P20">
        <v>2.6893537890610658E-3</v>
      </c>
      <c r="Q20">
        <v>3.5252680831569641E-2</v>
      </c>
      <c r="R20">
        <v>0.18901515321346249</v>
      </c>
      <c r="S20">
        <v>0.35426401842928762</v>
      </c>
      <c r="T20">
        <v>1</v>
      </c>
      <c r="U20">
        <v>0.16327596439852829</v>
      </c>
      <c r="V20">
        <v>0.23566094520458</v>
      </c>
      <c r="W20">
        <v>0.20556938828442639</v>
      </c>
      <c r="X20">
        <v>2.799205701640296E-2</v>
      </c>
      <c r="Y20">
        <v>9.7871028559382886E-2</v>
      </c>
      <c r="Z20">
        <v>3.8131867102924863E-2</v>
      </c>
      <c r="AA20">
        <v>7.9552516809733157E-4</v>
      </c>
      <c r="AB20">
        <v>-2.1558975115832539E-2</v>
      </c>
      <c r="AC20">
        <v>4.0307580922614702E-2</v>
      </c>
      <c r="AD20">
        <v>9.3646507012200494E-2</v>
      </c>
      <c r="AE20">
        <v>0.1031340249125256</v>
      </c>
      <c r="AF20">
        <v>6.5449377546346513E-2</v>
      </c>
      <c r="AG20">
        <v>0.13258150688031231</v>
      </c>
      <c r="AH20">
        <v>3.7287078974685327E-2</v>
      </c>
      <c r="AI20">
        <v>7.6509401555397663E-2</v>
      </c>
      <c r="AJ20">
        <v>6.0214962568213438E-2</v>
      </c>
      <c r="AK20">
        <v>-2.653418020839522E-4</v>
      </c>
      <c r="AL20">
        <v>5.957422917269771E-2</v>
      </c>
      <c r="AM20">
        <v>5.822356086842554E-2</v>
      </c>
      <c r="AN20">
        <v>2.5122461471816751E-2</v>
      </c>
      <c r="AO20">
        <v>2.1541308752743741E-2</v>
      </c>
      <c r="AP20">
        <v>5.8882029585825918E-2</v>
      </c>
      <c r="AQ20">
        <v>6.4742892262439775E-2</v>
      </c>
      <c r="AR20">
        <v>6.907101629475218E-2</v>
      </c>
      <c r="AS20">
        <v>8.1993113571680876E-2</v>
      </c>
      <c r="AT20">
        <v>3.2045687814039811E-2</v>
      </c>
      <c r="AU20">
        <v>0.10947676231255821</v>
      </c>
      <c r="AV20">
        <v>9.2548188797747136E-2</v>
      </c>
      <c r="AW20">
        <v>9.9270124682831667E-2</v>
      </c>
      <c r="AX20">
        <v>6.7109076996576172E-2</v>
      </c>
      <c r="AY20">
        <v>7.3346854719057442E-2</v>
      </c>
      <c r="AZ20">
        <v>7.2281168165694909E-2</v>
      </c>
      <c r="BA20">
        <v>0.1289834565273765</v>
      </c>
      <c r="BB20">
        <v>8.7348024108299976E-2</v>
      </c>
      <c r="BC20">
        <v>8.4387876509146184E-2</v>
      </c>
    </row>
    <row r="21" spans="1:55" x14ac:dyDescent="0.35">
      <c r="A21" s="1" t="s">
        <v>19</v>
      </c>
      <c r="B21">
        <v>5.743037928574711E-2</v>
      </c>
      <c r="C21">
        <v>1.4673725070994161E-2</v>
      </c>
      <c r="D21">
        <v>-4.3442726655695242E-2</v>
      </c>
      <c r="E21">
        <v>3.9274405901407718E-2</v>
      </c>
      <c r="F21">
        <v>-1.7316402153862369E-2</v>
      </c>
      <c r="G21">
        <v>7.1890704379287365E-2</v>
      </c>
      <c r="H21">
        <v>4.4794402192712912E-2</v>
      </c>
      <c r="I21">
        <v>7.0450431960475221E-2</v>
      </c>
      <c r="J21">
        <v>0.10232919772314469</v>
      </c>
      <c r="K21">
        <v>-0.12031130663362161</v>
      </c>
      <c r="L21">
        <v>-5.2520720978463158E-2</v>
      </c>
      <c r="M21">
        <v>2.2098107621955701E-3</v>
      </c>
      <c r="N21">
        <v>8.4809660118450092E-2</v>
      </c>
      <c r="O21">
        <v>0.13166654257944249</v>
      </c>
      <c r="P21">
        <v>0.1316134651807532</v>
      </c>
      <c r="Q21">
        <v>4.6635954534105392E-2</v>
      </c>
      <c r="R21">
        <v>2.2336316164058212E-3</v>
      </c>
      <c r="S21">
        <v>7.1401310070916171E-2</v>
      </c>
      <c r="T21">
        <v>0.16327596439852829</v>
      </c>
      <c r="U21">
        <v>1</v>
      </c>
      <c r="V21">
        <v>0.47052339227447909</v>
      </c>
      <c r="W21">
        <v>0.31590363282348599</v>
      </c>
      <c r="X21">
        <v>6.235193219535462E-2</v>
      </c>
      <c r="Y21">
        <v>9.0249327299846305E-2</v>
      </c>
      <c r="Z21">
        <v>-2.2465781665641671E-2</v>
      </c>
      <c r="AA21">
        <v>-3.3925469460902073E-2</v>
      </c>
      <c r="AB21">
        <v>-5.6096978985483319E-2</v>
      </c>
      <c r="AC21">
        <v>-2.3316231906110301E-2</v>
      </c>
      <c r="AD21">
        <v>3.3874235133460898E-2</v>
      </c>
      <c r="AE21">
        <v>3.3649967889422441E-2</v>
      </c>
      <c r="AF21">
        <v>6.2123424318414368E-2</v>
      </c>
      <c r="AG21">
        <v>0.1094206466247982</v>
      </c>
      <c r="AH21">
        <v>2.073937134411653E-2</v>
      </c>
      <c r="AI21">
        <v>8.4773898395031522E-2</v>
      </c>
      <c r="AJ21">
        <v>5.5602587194023403E-2</v>
      </c>
      <c r="AK21">
        <v>3.9156925044279742E-2</v>
      </c>
      <c r="AL21">
        <v>4.6395813320343267E-2</v>
      </c>
      <c r="AM21">
        <v>5.3168965664102168E-2</v>
      </c>
      <c r="AN21">
        <v>3.578999627094627E-2</v>
      </c>
      <c r="AO21">
        <v>8.625540982239369E-3</v>
      </c>
      <c r="AP21">
        <v>3.7582108897328777E-2</v>
      </c>
      <c r="AQ21">
        <v>1.6051539536935191E-2</v>
      </c>
      <c r="AR21">
        <v>3.5609373580432417E-2</v>
      </c>
      <c r="AS21">
        <v>7.1404471298506772E-2</v>
      </c>
      <c r="AT21">
        <v>8.571856099792061E-3</v>
      </c>
      <c r="AU21">
        <v>5.1879271356936117E-2</v>
      </c>
      <c r="AV21">
        <v>5.6679287736838849E-2</v>
      </c>
      <c r="AW21">
        <v>7.4852722869860736E-2</v>
      </c>
      <c r="AX21">
        <v>5.4167647977868057E-2</v>
      </c>
      <c r="AY21">
        <v>9.3853065221211313E-2</v>
      </c>
      <c r="AZ21">
        <v>2.849923237477674E-2</v>
      </c>
      <c r="BA21">
        <v>9.7373150207665501E-2</v>
      </c>
      <c r="BB21">
        <v>-9.0890172037286492E-4</v>
      </c>
      <c r="BC21">
        <v>0.1139633216907899</v>
      </c>
    </row>
    <row r="22" spans="1:55" x14ac:dyDescent="0.35">
      <c r="A22" s="1" t="s">
        <v>20</v>
      </c>
      <c r="B22">
        <v>3.1073290144123501E-2</v>
      </c>
      <c r="C22">
        <v>4.9928375126687838E-2</v>
      </c>
      <c r="D22">
        <v>-6.0335575607617722E-3</v>
      </c>
      <c r="E22">
        <v>1.0372959657562721E-2</v>
      </c>
      <c r="F22">
        <v>-2.415763806520501E-2</v>
      </c>
      <c r="G22">
        <v>0.1029764744233712</v>
      </c>
      <c r="H22">
        <v>8.6844520196622352E-2</v>
      </c>
      <c r="I22">
        <v>5.0076271524061321E-2</v>
      </c>
      <c r="J22">
        <v>0.11430924503234149</v>
      </c>
      <c r="K22">
        <v>-3.9937334445509308E-2</v>
      </c>
      <c r="L22">
        <v>-2.2118081648937391E-4</v>
      </c>
      <c r="M22">
        <v>-6.171456097745151E-3</v>
      </c>
      <c r="N22">
        <v>-7.5513834903530213E-3</v>
      </c>
      <c r="O22">
        <v>0.15575266417950809</v>
      </c>
      <c r="P22">
        <v>5.4852713998645497E-2</v>
      </c>
      <c r="Q22">
        <v>5.046712315840713E-2</v>
      </c>
      <c r="R22">
        <v>1.175971739761422E-2</v>
      </c>
      <c r="S22">
        <v>0.16281165728690841</v>
      </c>
      <c r="T22">
        <v>0.23566094520458</v>
      </c>
      <c r="U22">
        <v>0.47052339227447909</v>
      </c>
      <c r="V22">
        <v>1</v>
      </c>
      <c r="W22">
        <v>0.43843450634190312</v>
      </c>
      <c r="X22">
        <v>0.1229175519453463</v>
      </c>
      <c r="Y22">
        <v>0.12675369103005829</v>
      </c>
      <c r="Z22">
        <v>1.537926437651376E-2</v>
      </c>
      <c r="AA22">
        <v>-0.13993119736581749</v>
      </c>
      <c r="AB22">
        <v>-7.8297333046971548E-2</v>
      </c>
      <c r="AC22">
        <v>-4.1164825119212198E-2</v>
      </c>
      <c r="AD22">
        <v>5.0049933159152599E-2</v>
      </c>
      <c r="AE22">
        <v>0.11457337396132231</v>
      </c>
      <c r="AF22">
        <v>0.14985600046420339</v>
      </c>
      <c r="AG22">
        <v>0.1837480593176217</v>
      </c>
      <c r="AH22">
        <v>4.3630354354986862E-2</v>
      </c>
      <c r="AI22">
        <v>7.7569808212222299E-2</v>
      </c>
      <c r="AJ22">
        <v>6.695478923810215E-2</v>
      </c>
      <c r="AK22">
        <v>2.1206981526525712E-2</v>
      </c>
      <c r="AL22">
        <v>2.420800035734549E-2</v>
      </c>
      <c r="AM22">
        <v>1.8126936109965939E-2</v>
      </c>
      <c r="AN22">
        <v>1.0062191905702161E-2</v>
      </c>
      <c r="AO22">
        <v>-1.314950954193787E-2</v>
      </c>
      <c r="AP22">
        <v>-5.303061155101753E-3</v>
      </c>
      <c r="AQ22">
        <v>2.7732980627238101E-3</v>
      </c>
      <c r="AR22">
        <v>2.6800808025763529E-2</v>
      </c>
      <c r="AS22">
        <v>7.1209823162843106E-2</v>
      </c>
      <c r="AT22">
        <v>5.207627851903085E-2</v>
      </c>
      <c r="AU22">
        <v>5.8851426005436427E-2</v>
      </c>
      <c r="AV22">
        <v>9.773565571594027E-2</v>
      </c>
      <c r="AW22">
        <v>8.0353343002316252E-2</v>
      </c>
      <c r="AX22">
        <v>3.4926576302795533E-2</v>
      </c>
      <c r="AY22">
        <v>0.1680388967308831</v>
      </c>
      <c r="AZ22">
        <v>0.10552826471251971</v>
      </c>
      <c r="BA22">
        <v>0.15099953020395451</v>
      </c>
      <c r="BB22">
        <v>5.0039834871620677E-2</v>
      </c>
      <c r="BC22">
        <v>0.2142117986936167</v>
      </c>
    </row>
    <row r="23" spans="1:55" x14ac:dyDescent="0.35">
      <c r="A23" s="1" t="s">
        <v>21</v>
      </c>
      <c r="B23">
        <v>-1.059252430199885E-2</v>
      </c>
      <c r="C23">
        <v>-4.2686439698845453E-2</v>
      </c>
      <c r="D23">
        <v>-0.11369493737173821</v>
      </c>
      <c r="E23">
        <v>1.8970404923029139E-3</v>
      </c>
      <c r="F23">
        <v>-9.0669684628815944E-2</v>
      </c>
      <c r="G23">
        <v>-4.6651013602180824E-3</v>
      </c>
      <c r="H23">
        <v>7.7148857080309871E-2</v>
      </c>
      <c r="I23">
        <v>5.8521598789929553E-2</v>
      </c>
      <c r="J23">
        <v>0.13731663631035551</v>
      </c>
      <c r="K23">
        <v>-7.5559926504601305E-2</v>
      </c>
      <c r="L23">
        <v>-2.4236704141698939E-2</v>
      </c>
      <c r="M23">
        <v>7.3600883560826103E-3</v>
      </c>
      <c r="N23">
        <v>6.611539359510174E-2</v>
      </c>
      <c r="O23">
        <v>0.20587826162729761</v>
      </c>
      <c r="P23">
        <v>4.1424304327715343E-2</v>
      </c>
      <c r="Q23">
        <v>-4.1451424335921618E-2</v>
      </c>
      <c r="R23">
        <v>-2.170566889655098E-2</v>
      </c>
      <c r="S23">
        <v>7.6220294058687285E-2</v>
      </c>
      <c r="T23">
        <v>0.20556938828442639</v>
      </c>
      <c r="U23">
        <v>0.31590363282348599</v>
      </c>
      <c r="V23">
        <v>0.43843450634190312</v>
      </c>
      <c r="W23">
        <v>1</v>
      </c>
      <c r="X23">
        <v>0.24306385449439949</v>
      </c>
      <c r="Y23">
        <v>0.2224045483604965</v>
      </c>
      <c r="Z23">
        <v>9.9489808593280646E-2</v>
      </c>
      <c r="AA23">
        <v>5.9642389595245648E-2</v>
      </c>
      <c r="AB23">
        <v>7.5677072823176511E-2</v>
      </c>
      <c r="AC23">
        <v>5.8173961476925461E-2</v>
      </c>
      <c r="AD23">
        <v>0.12634806543406421</v>
      </c>
      <c r="AE23">
        <v>0.15400139386384529</v>
      </c>
      <c r="AF23">
        <v>0.18522026196581881</v>
      </c>
      <c r="AG23">
        <v>0.1870667225775566</v>
      </c>
      <c r="AH23">
        <v>0.10183024789041641</v>
      </c>
      <c r="AI23">
        <v>0.11020830921010651</v>
      </c>
      <c r="AJ23">
        <v>8.0522023344899843E-2</v>
      </c>
      <c r="AK23">
        <v>8.5155179290493502E-2</v>
      </c>
      <c r="AL23">
        <v>9.8051369586518999E-2</v>
      </c>
      <c r="AM23">
        <v>8.421741972362709E-2</v>
      </c>
      <c r="AN23">
        <v>0.1086368058370403</v>
      </c>
      <c r="AO23">
        <v>9.9729554638370313E-2</v>
      </c>
      <c r="AP23">
        <v>0.1106316549670561</v>
      </c>
      <c r="AQ23">
        <v>0.10703781499730471</v>
      </c>
      <c r="AR23">
        <v>0.138742127772368</v>
      </c>
      <c r="AS23">
        <v>0.17963044062125741</v>
      </c>
      <c r="AT23">
        <v>9.9505339862399456E-2</v>
      </c>
      <c r="AU23">
        <v>0.15037662471164781</v>
      </c>
      <c r="AV23">
        <v>0.16658437069390719</v>
      </c>
      <c r="AW23">
        <v>0.18807586012477279</v>
      </c>
      <c r="AX23">
        <v>0.1757138169668862</v>
      </c>
      <c r="AY23">
        <v>0.17316011753898641</v>
      </c>
      <c r="AZ23">
        <v>0.11791613891625009</v>
      </c>
      <c r="BA23">
        <v>0.2227701031345771</v>
      </c>
      <c r="BB23">
        <v>0.12930687838780369</v>
      </c>
      <c r="BC23">
        <v>0.21123720506781021</v>
      </c>
    </row>
    <row r="24" spans="1:55" x14ac:dyDescent="0.35">
      <c r="A24" s="1" t="s">
        <v>22</v>
      </c>
      <c r="B24">
        <v>4.1122528476511801E-2</v>
      </c>
      <c r="C24">
        <v>-9.446003524196013E-2</v>
      </c>
      <c r="D24">
        <v>-0.1052858945377151</v>
      </c>
      <c r="E24">
        <v>2.3222779806211222E-2</v>
      </c>
      <c r="F24">
        <v>-6.6633253432089978E-2</v>
      </c>
      <c r="G24">
        <v>-3.2229494703050261E-2</v>
      </c>
      <c r="H24">
        <v>4.1114756650829122E-2</v>
      </c>
      <c r="I24">
        <v>3.8326504390810302E-3</v>
      </c>
      <c r="J24">
        <v>0.14004022367884381</v>
      </c>
      <c r="K24">
        <v>-0.1013534738565853</v>
      </c>
      <c r="L24">
        <v>-1.9046292325877949E-2</v>
      </c>
      <c r="M24">
        <v>1.22842116176332E-2</v>
      </c>
      <c r="N24">
        <v>5.9069669475717602E-2</v>
      </c>
      <c r="O24">
        <v>0.1430916351039058</v>
      </c>
      <c r="P24">
        <v>5.7077885185621173E-2</v>
      </c>
      <c r="Q24">
        <v>-3.3018605866006079E-2</v>
      </c>
      <c r="R24">
        <v>-8.3998684621011802E-2</v>
      </c>
      <c r="S24">
        <v>-6.6926925135615814E-3</v>
      </c>
      <c r="T24">
        <v>2.799205701640296E-2</v>
      </c>
      <c r="U24">
        <v>6.235193219535462E-2</v>
      </c>
      <c r="V24">
        <v>0.1229175519453463</v>
      </c>
      <c r="W24">
        <v>0.24306385449439949</v>
      </c>
      <c r="X24">
        <v>1</v>
      </c>
      <c r="Y24">
        <v>0.56525601315478102</v>
      </c>
      <c r="Z24">
        <v>0.12538058997402751</v>
      </c>
      <c r="AA24">
        <v>4.607656946619608E-2</v>
      </c>
      <c r="AB24">
        <v>6.2738610059754812E-2</v>
      </c>
      <c r="AC24">
        <v>5.3617682969524801E-2</v>
      </c>
      <c r="AD24">
        <v>5.0958151942174283E-2</v>
      </c>
      <c r="AE24">
        <v>7.6316231464403056E-2</v>
      </c>
      <c r="AF24">
        <v>0.11176464926230149</v>
      </c>
      <c r="AG24">
        <v>0.122615982606403</v>
      </c>
      <c r="AH24">
        <v>7.5064387289290629E-2</v>
      </c>
      <c r="AI24">
        <v>5.7331839999633372E-2</v>
      </c>
      <c r="AJ24">
        <v>4.5636222027250838E-2</v>
      </c>
      <c r="AK24">
        <v>3.2386975830900051E-3</v>
      </c>
      <c r="AL24">
        <v>6.9099656710786661E-2</v>
      </c>
      <c r="AM24">
        <v>2.3546474475557209E-2</v>
      </c>
      <c r="AN24">
        <v>7.6013490230655206E-2</v>
      </c>
      <c r="AO24">
        <v>8.7939855831248345E-2</v>
      </c>
      <c r="AP24">
        <v>5.1419167570675779E-2</v>
      </c>
      <c r="AQ24">
        <v>0.1056059711466403</v>
      </c>
      <c r="AR24">
        <v>0.1371559793047166</v>
      </c>
      <c r="AS24">
        <v>0.13454190674035099</v>
      </c>
      <c r="AT24">
        <v>4.880647562290711E-2</v>
      </c>
      <c r="AU24">
        <v>0.15142954058508781</v>
      </c>
      <c r="AV24">
        <v>0.15285036788521619</v>
      </c>
      <c r="AW24">
        <v>0.13612097696177131</v>
      </c>
      <c r="AX24">
        <v>0.12783118991326781</v>
      </c>
      <c r="AY24">
        <v>0.20390917718736071</v>
      </c>
      <c r="AZ24">
        <v>0.10421894893669099</v>
      </c>
      <c r="BA24">
        <v>0.161791690815457</v>
      </c>
      <c r="BB24">
        <v>4.0924907034466863E-2</v>
      </c>
      <c r="BC24">
        <v>0.13663370485443829</v>
      </c>
    </row>
    <row r="25" spans="1:55" x14ac:dyDescent="0.35">
      <c r="A25" s="1" t="s">
        <v>23</v>
      </c>
      <c r="B25">
        <v>4.5667958166695832E-2</v>
      </c>
      <c r="C25">
        <v>-7.9150919981162776E-2</v>
      </c>
      <c r="D25">
        <v>-0.1149704486062592</v>
      </c>
      <c r="E25">
        <v>2.9646359069176599E-2</v>
      </c>
      <c r="F25">
        <v>-8.3594501451340245E-2</v>
      </c>
      <c r="G25">
        <v>2.3692452171520479E-3</v>
      </c>
      <c r="H25">
        <v>4.1352713607704823E-2</v>
      </c>
      <c r="I25">
        <v>-5.3563736177550314E-3</v>
      </c>
      <c r="J25">
        <v>0.12356768641661919</v>
      </c>
      <c r="K25">
        <v>-2.6438002374374381E-2</v>
      </c>
      <c r="L25">
        <v>-1.505470128047692E-2</v>
      </c>
      <c r="M25">
        <v>-3.7565583915038551E-2</v>
      </c>
      <c r="N25">
        <v>3.0647585049270749E-2</v>
      </c>
      <c r="O25">
        <v>0.14734202757702911</v>
      </c>
      <c r="P25">
        <v>1.591646561074106E-2</v>
      </c>
      <c r="Q25">
        <v>-2.64860855871859E-2</v>
      </c>
      <c r="R25">
        <v>-8.8192136939670457E-2</v>
      </c>
      <c r="S25">
        <v>5.83473499057416E-2</v>
      </c>
      <c r="T25">
        <v>9.7871028559382886E-2</v>
      </c>
      <c r="U25">
        <v>9.0249327299846305E-2</v>
      </c>
      <c r="V25">
        <v>0.12675369103005829</v>
      </c>
      <c r="W25">
        <v>0.2224045483604965</v>
      </c>
      <c r="X25">
        <v>0.56525601315478102</v>
      </c>
      <c r="Y25">
        <v>1</v>
      </c>
      <c r="Z25">
        <v>0.13345662396447419</v>
      </c>
      <c r="AA25">
        <v>8.3218330736001128E-2</v>
      </c>
      <c r="AB25">
        <v>5.3746917636982729E-2</v>
      </c>
      <c r="AC25">
        <v>0.1141599148879681</v>
      </c>
      <c r="AD25">
        <v>8.3989949885937082E-2</v>
      </c>
      <c r="AE25">
        <v>0.16564501719654481</v>
      </c>
      <c r="AF25">
        <v>0.18452140640227571</v>
      </c>
      <c r="AG25">
        <v>0.16106772785848089</v>
      </c>
      <c r="AH25">
        <v>5.4352353775134747E-2</v>
      </c>
      <c r="AI25">
        <v>9.4655843029332123E-2</v>
      </c>
      <c r="AJ25">
        <v>8.2692744817963015E-2</v>
      </c>
      <c r="AK25">
        <v>1.9814267888372459E-2</v>
      </c>
      <c r="AL25">
        <v>0.123380601792118</v>
      </c>
      <c r="AM25">
        <v>5.981059078846096E-2</v>
      </c>
      <c r="AN25">
        <v>0.12908016677567491</v>
      </c>
      <c r="AO25">
        <v>0.1177212312808176</v>
      </c>
      <c r="AP25">
        <v>8.7976915654780011E-2</v>
      </c>
      <c r="AQ25">
        <v>8.0219289254033904E-2</v>
      </c>
      <c r="AR25">
        <v>0.15740029042649481</v>
      </c>
      <c r="AS25">
        <v>0.17476861465944349</v>
      </c>
      <c r="AT25">
        <v>0.1098739496954968</v>
      </c>
      <c r="AU25">
        <v>0.22397722109520521</v>
      </c>
      <c r="AV25">
        <v>0.19980474863549999</v>
      </c>
      <c r="AW25">
        <v>0.2406024065961673</v>
      </c>
      <c r="AX25">
        <v>0.17956451122799741</v>
      </c>
      <c r="AY25">
        <v>0.24046899803909311</v>
      </c>
      <c r="AZ25">
        <v>0.16452457267909551</v>
      </c>
      <c r="BA25">
        <v>0.193229945098676</v>
      </c>
      <c r="BB25">
        <v>7.8044940186791728E-2</v>
      </c>
      <c r="BC25">
        <v>0.13772878037554301</v>
      </c>
    </row>
    <row r="26" spans="1:55" x14ac:dyDescent="0.35">
      <c r="A26" s="1" t="s">
        <v>24</v>
      </c>
      <c r="B26">
        <v>1.757911094812575E-2</v>
      </c>
      <c r="C26">
        <v>2.4426650647018169E-2</v>
      </c>
      <c r="D26">
        <v>-1.8786159737904529E-2</v>
      </c>
      <c r="E26">
        <v>-2.3908878801697799E-3</v>
      </c>
      <c r="F26">
        <v>-3.2482295900854823E-2</v>
      </c>
      <c r="G26">
        <v>6.2522441592422512E-2</v>
      </c>
      <c r="H26">
        <v>7.5521055785528687E-2</v>
      </c>
      <c r="I26">
        <v>3.2912015880481232E-2</v>
      </c>
      <c r="J26">
        <v>4.4865187715350703E-2</v>
      </c>
      <c r="K26">
        <v>-0.1094454096292273</v>
      </c>
      <c r="L26">
        <v>-7.1448627528447703E-2</v>
      </c>
      <c r="M26">
        <v>2.561963639529739E-2</v>
      </c>
      <c r="N26">
        <v>-1.741985345345635E-3</v>
      </c>
      <c r="O26">
        <v>0.13537620525102551</v>
      </c>
      <c r="P26">
        <v>0.1691163342331943</v>
      </c>
      <c r="Q26">
        <v>-6.2509735847889242E-2</v>
      </c>
      <c r="R26">
        <v>-6.1693670804505857E-2</v>
      </c>
      <c r="S26">
        <v>-3.3788339451436979E-2</v>
      </c>
      <c r="T26">
        <v>3.8131867102924863E-2</v>
      </c>
      <c r="U26">
        <v>-2.2465781665641671E-2</v>
      </c>
      <c r="V26">
        <v>1.537926437651376E-2</v>
      </c>
      <c r="W26">
        <v>9.9489808593280646E-2</v>
      </c>
      <c r="X26">
        <v>0.12538058997402751</v>
      </c>
      <c r="Y26">
        <v>0.13345662396447419</v>
      </c>
      <c r="Z26">
        <v>1</v>
      </c>
      <c r="AA26">
        <v>0.19184634902063419</v>
      </c>
      <c r="AB26">
        <v>0.15400512625179821</v>
      </c>
      <c r="AC26">
        <v>0.18858514913184871</v>
      </c>
      <c r="AD26">
        <v>6.8437235261629065E-2</v>
      </c>
      <c r="AE26">
        <v>4.2200118210283327E-2</v>
      </c>
      <c r="AF26">
        <v>1.9088889293005271E-2</v>
      </c>
      <c r="AG26">
        <v>0.14168722730909389</v>
      </c>
      <c r="AH26">
        <v>0.1044942269366613</v>
      </c>
      <c r="AI26">
        <v>0.11526508058820099</v>
      </c>
      <c r="AJ26">
        <v>9.8431643199320337E-2</v>
      </c>
      <c r="AK26">
        <v>9.7734143065798557E-2</v>
      </c>
      <c r="AL26">
        <v>2.860696661385399E-2</v>
      </c>
      <c r="AM26">
        <v>6.8102342946711358E-2</v>
      </c>
      <c r="AN26">
        <v>6.5286939760307736E-2</v>
      </c>
      <c r="AO26">
        <v>2.0102059868586979E-2</v>
      </c>
      <c r="AP26">
        <v>5.1859253948055968E-2</v>
      </c>
      <c r="AQ26">
        <v>4.9920175340208151E-2</v>
      </c>
      <c r="AR26">
        <v>8.543961693767638E-3</v>
      </c>
      <c r="AS26">
        <v>2.9567680986173701E-2</v>
      </c>
      <c r="AT26">
        <v>1.840950625191001E-3</v>
      </c>
      <c r="AU26">
        <v>1.5972670609378821E-4</v>
      </c>
      <c r="AV26">
        <v>-2.2302446764479181E-2</v>
      </c>
      <c r="AW26">
        <v>7.1725993207183106E-2</v>
      </c>
      <c r="AX26">
        <v>2.7246221765288049E-2</v>
      </c>
      <c r="AY26">
        <v>-4.9986545306990197E-2</v>
      </c>
      <c r="AZ26">
        <v>-0.1006498942814678</v>
      </c>
      <c r="BA26">
        <v>5.8719092714107801E-2</v>
      </c>
      <c r="BB26">
        <v>0.1328938918468599</v>
      </c>
      <c r="BC26">
        <v>-5.7978308235964879E-2</v>
      </c>
    </row>
    <row r="27" spans="1:55" x14ac:dyDescent="0.35">
      <c r="A27" s="1" t="s">
        <v>25</v>
      </c>
      <c r="B27">
        <v>3.2564492077384731E-2</v>
      </c>
      <c r="C27">
        <v>-7.8946272563555964E-2</v>
      </c>
      <c r="D27">
        <v>-0.135775446504002</v>
      </c>
      <c r="E27">
        <v>4.0722660627582723E-2</v>
      </c>
      <c r="F27">
        <v>-7.2517305011487454E-3</v>
      </c>
      <c r="G27">
        <v>-4.6946957860681149E-2</v>
      </c>
      <c r="H27">
        <v>-4.0960414643904132E-2</v>
      </c>
      <c r="I27">
        <v>6.7936768868428241E-2</v>
      </c>
      <c r="J27">
        <v>5.7715626175167671E-2</v>
      </c>
      <c r="K27">
        <v>-0.1544318285340241</v>
      </c>
      <c r="L27">
        <v>-0.10495084916717209</v>
      </c>
      <c r="M27">
        <v>0.1461766846293896</v>
      </c>
      <c r="N27">
        <v>0.19054261872226819</v>
      </c>
      <c r="O27">
        <v>0.2331066528710935</v>
      </c>
      <c r="P27">
        <v>0.33618323953682078</v>
      </c>
      <c r="Q27">
        <v>0.13541959502532169</v>
      </c>
      <c r="R27">
        <v>-3.4802483366341612E-2</v>
      </c>
      <c r="S27">
        <v>2.826131101380143E-2</v>
      </c>
      <c r="T27">
        <v>7.9552516809733157E-4</v>
      </c>
      <c r="U27">
        <v>-3.3925469460902073E-2</v>
      </c>
      <c r="V27">
        <v>-0.13993119736581749</v>
      </c>
      <c r="W27">
        <v>5.9642389595245648E-2</v>
      </c>
      <c r="X27">
        <v>4.607656946619608E-2</v>
      </c>
      <c r="Y27">
        <v>8.3218330736001128E-2</v>
      </c>
      <c r="Z27">
        <v>0.19184634902063419</v>
      </c>
      <c r="AA27">
        <v>1</v>
      </c>
      <c r="AB27">
        <v>0.49507432247210831</v>
      </c>
      <c r="AC27">
        <v>0.43670739467744663</v>
      </c>
      <c r="AD27">
        <v>0.33179928683421711</v>
      </c>
      <c r="AE27">
        <v>0.11494953237394299</v>
      </c>
      <c r="AF27">
        <v>0.12677184121125071</v>
      </c>
      <c r="AG27">
        <v>9.0699932922445506E-2</v>
      </c>
      <c r="AH27">
        <v>0.1590337407710751</v>
      </c>
      <c r="AI27">
        <v>0.1665200229638206</v>
      </c>
      <c r="AJ27">
        <v>0.1043904309532214</v>
      </c>
      <c r="AK27">
        <v>0.1661353931636014</v>
      </c>
      <c r="AL27">
        <v>6.9154200984385253E-2</v>
      </c>
      <c r="AM27">
        <v>0.1226864006101209</v>
      </c>
      <c r="AN27">
        <v>0.12891084168666181</v>
      </c>
      <c r="AO27">
        <v>0.14784458501867151</v>
      </c>
      <c r="AP27">
        <v>0.15869859987605661</v>
      </c>
      <c r="AQ27">
        <v>0.1799937375943578</v>
      </c>
      <c r="AR27">
        <v>0.15396795901758689</v>
      </c>
      <c r="AS27">
        <v>0.13128697291081109</v>
      </c>
      <c r="AT27">
        <v>7.1875416258397842E-2</v>
      </c>
      <c r="AU27">
        <v>4.2242944721954258E-2</v>
      </c>
      <c r="AV27">
        <v>3.2379300709230778E-2</v>
      </c>
      <c r="AW27">
        <v>0.10579888125675881</v>
      </c>
      <c r="AX27">
        <v>6.8844413081249292E-2</v>
      </c>
      <c r="AY27">
        <v>6.3687705676082187E-2</v>
      </c>
      <c r="AZ27">
        <v>3.3139027074698617E-2</v>
      </c>
      <c r="BA27">
        <v>4.5360638122518837E-2</v>
      </c>
      <c r="BB27">
        <v>-2.2854355411254908E-2</v>
      </c>
      <c r="BC27">
        <v>2.8986451125778811E-3</v>
      </c>
    </row>
    <row r="28" spans="1:55" x14ac:dyDescent="0.35">
      <c r="A28" s="1" t="s">
        <v>26</v>
      </c>
      <c r="B28">
        <v>1.60481828893047E-2</v>
      </c>
      <c r="C28">
        <v>-8.8986130933366728E-2</v>
      </c>
      <c r="D28">
        <v>-0.14232740283878251</v>
      </c>
      <c r="E28">
        <v>-2.3898912135392092E-3</v>
      </c>
      <c r="F28">
        <v>-2.4083552391233078E-2</v>
      </c>
      <c r="G28">
        <v>-7.0021244535442798E-2</v>
      </c>
      <c r="H28">
        <v>-2.1470536072204369E-2</v>
      </c>
      <c r="I28">
        <v>6.4756029465416268E-2</v>
      </c>
      <c r="J28">
        <v>8.3378013021606384E-2</v>
      </c>
      <c r="K28">
        <v>-0.1212614910680542</v>
      </c>
      <c r="L28">
        <v>-4.1997592889650583E-2</v>
      </c>
      <c r="M28">
        <v>0.15185649046967059</v>
      </c>
      <c r="N28">
        <v>0.1119858883852366</v>
      </c>
      <c r="O28">
        <v>0.18720549788020499</v>
      </c>
      <c r="P28">
        <v>0.26468359355554588</v>
      </c>
      <c r="Q28">
        <v>0.13015866091422909</v>
      </c>
      <c r="R28">
        <v>-3.6106780609143838E-2</v>
      </c>
      <c r="S28">
        <v>-4.0359343928885127E-2</v>
      </c>
      <c r="T28">
        <v>-2.1558975115832539E-2</v>
      </c>
      <c r="U28">
        <v>-5.6096978985483319E-2</v>
      </c>
      <c r="V28">
        <v>-7.8297333046971548E-2</v>
      </c>
      <c r="W28">
        <v>7.5677072823176511E-2</v>
      </c>
      <c r="X28">
        <v>6.2738610059754812E-2</v>
      </c>
      <c r="Y28">
        <v>5.3746917636982729E-2</v>
      </c>
      <c r="Z28">
        <v>0.15400512625179821</v>
      </c>
      <c r="AA28">
        <v>0.49507432247210831</v>
      </c>
      <c r="AB28">
        <v>1</v>
      </c>
      <c r="AC28">
        <v>0.49580250067943071</v>
      </c>
      <c r="AD28">
        <v>0.32097468957178138</v>
      </c>
      <c r="AE28">
        <v>0.19689658281954089</v>
      </c>
      <c r="AF28">
        <v>0.17857723990909791</v>
      </c>
      <c r="AG28">
        <v>0.1220903726823851</v>
      </c>
      <c r="AH28">
        <v>0.1399755556986168</v>
      </c>
      <c r="AI28">
        <v>0.17138077026522139</v>
      </c>
      <c r="AJ28">
        <v>0.1313207207198307</v>
      </c>
      <c r="AK28">
        <v>0.15267312095263291</v>
      </c>
      <c r="AL28">
        <v>0.12057086775835769</v>
      </c>
      <c r="AM28">
        <v>0.1879197030774799</v>
      </c>
      <c r="AN28">
        <v>0.1951351357296908</v>
      </c>
      <c r="AO28">
        <v>0.1769361629996441</v>
      </c>
      <c r="AP28">
        <v>0.14485260661380731</v>
      </c>
      <c r="AQ28">
        <v>0.22162624141184259</v>
      </c>
      <c r="AR28">
        <v>0.18140539328281591</v>
      </c>
      <c r="AS28">
        <v>0.1488468027691405</v>
      </c>
      <c r="AT28">
        <v>2.3527188639931331E-2</v>
      </c>
      <c r="AU28">
        <v>5.1085361495391383E-2</v>
      </c>
      <c r="AV28">
        <v>3.2010711743778987E-2</v>
      </c>
      <c r="AW28">
        <v>0.1552094570830104</v>
      </c>
      <c r="AX28">
        <v>0.13953408751737079</v>
      </c>
      <c r="AY28">
        <v>0.14471394546178501</v>
      </c>
      <c r="AZ28">
        <v>5.7512840060201312E-2</v>
      </c>
      <c r="BA28">
        <v>2.5427858357875591E-2</v>
      </c>
      <c r="BB28">
        <v>-1.798977789411E-2</v>
      </c>
      <c r="BC28">
        <v>5.9265450245938718E-2</v>
      </c>
    </row>
    <row r="29" spans="1:55" x14ac:dyDescent="0.35">
      <c r="A29" s="1" t="s">
        <v>27</v>
      </c>
      <c r="B29">
        <v>2.2914360950295129E-2</v>
      </c>
      <c r="C29">
        <v>-4.1087814359274541E-2</v>
      </c>
      <c r="D29">
        <v>-9.5026269590502921E-2</v>
      </c>
      <c r="E29">
        <v>-1.7420931806766911E-2</v>
      </c>
      <c r="F29">
        <v>-3.4547674971476788E-2</v>
      </c>
      <c r="G29">
        <v>-4.0372196287264898E-2</v>
      </c>
      <c r="H29">
        <v>-3.9368585275850021E-2</v>
      </c>
      <c r="I29">
        <v>4.6232789346293518E-2</v>
      </c>
      <c r="J29">
        <v>3.2404888364063057E-2</v>
      </c>
      <c r="K29">
        <v>-0.1224676571032132</v>
      </c>
      <c r="L29">
        <v>-3.6139733649896998E-2</v>
      </c>
      <c r="M29">
        <v>8.3760908026129066E-2</v>
      </c>
      <c r="N29">
        <v>0.12718312033970761</v>
      </c>
      <c r="O29">
        <v>7.8663737510741932E-2</v>
      </c>
      <c r="P29">
        <v>0.32183379008680368</v>
      </c>
      <c r="Q29">
        <v>0.1035024666773129</v>
      </c>
      <c r="R29">
        <v>-3.6302862707756768E-2</v>
      </c>
      <c r="S29">
        <v>-2.2364987515535489E-2</v>
      </c>
      <c r="T29">
        <v>4.0307580922614702E-2</v>
      </c>
      <c r="U29">
        <v>-2.3316231906110301E-2</v>
      </c>
      <c r="V29">
        <v>-4.1164825119212198E-2</v>
      </c>
      <c r="W29">
        <v>5.8173961476925461E-2</v>
      </c>
      <c r="X29">
        <v>5.3617682969524801E-2</v>
      </c>
      <c r="Y29">
        <v>0.1141599148879681</v>
      </c>
      <c r="Z29">
        <v>0.18858514913184871</v>
      </c>
      <c r="AA29">
        <v>0.43670739467744663</v>
      </c>
      <c r="AB29">
        <v>0.49580250067943071</v>
      </c>
      <c r="AC29">
        <v>1</v>
      </c>
      <c r="AD29">
        <v>0.27321349737095929</v>
      </c>
      <c r="AE29">
        <v>0.3006927696927762</v>
      </c>
      <c r="AF29">
        <v>0.2305470971692801</v>
      </c>
      <c r="AG29">
        <v>0.16775182137795311</v>
      </c>
      <c r="AH29">
        <v>0.14241183342974931</v>
      </c>
      <c r="AI29">
        <v>0.21806858501093229</v>
      </c>
      <c r="AJ29">
        <v>0.2476286600810817</v>
      </c>
      <c r="AK29">
        <v>0.19910894331650431</v>
      </c>
      <c r="AL29">
        <v>0.20409215612288159</v>
      </c>
      <c r="AM29">
        <v>0.2238453160116701</v>
      </c>
      <c r="AN29">
        <v>0.16714525482901749</v>
      </c>
      <c r="AO29">
        <v>0.14121314019627229</v>
      </c>
      <c r="AP29">
        <v>0.1612881806882342</v>
      </c>
      <c r="AQ29">
        <v>0.18150305124937241</v>
      </c>
      <c r="AR29">
        <v>0.1701217578027506</v>
      </c>
      <c r="AS29">
        <v>0.14471675975643711</v>
      </c>
      <c r="AT29">
        <v>0.14619716363717911</v>
      </c>
      <c r="AU29">
        <v>0.1405992143910976</v>
      </c>
      <c r="AV29">
        <v>6.3807512862641205E-2</v>
      </c>
      <c r="AW29">
        <v>0.16851775069846969</v>
      </c>
      <c r="AX29">
        <v>0.10989535292860669</v>
      </c>
      <c r="AY29">
        <v>4.9916643491094648E-2</v>
      </c>
      <c r="AZ29">
        <v>1.3789511066121911E-2</v>
      </c>
      <c r="BA29">
        <v>6.0463282112579467E-2</v>
      </c>
      <c r="BB29">
        <v>1.5538225543298321E-2</v>
      </c>
      <c r="BC29">
        <v>3.1094673211520759E-2</v>
      </c>
    </row>
    <row r="30" spans="1:55" x14ac:dyDescent="0.35">
      <c r="A30" s="1" t="s">
        <v>28</v>
      </c>
      <c r="B30">
        <v>5.4864654987353871E-2</v>
      </c>
      <c r="C30">
        <v>2.7571122921569321E-2</v>
      </c>
      <c r="D30">
        <v>-6.6664930402001554E-2</v>
      </c>
      <c r="E30">
        <v>1.2928246662157181E-2</v>
      </c>
      <c r="F30">
        <v>-7.8591927194439585E-3</v>
      </c>
      <c r="G30">
        <v>4.2312433234138302E-2</v>
      </c>
      <c r="H30">
        <v>-3.7521029801979411E-2</v>
      </c>
      <c r="I30">
        <v>-4.1337468906089978E-3</v>
      </c>
      <c r="J30">
        <v>6.5691369833642252E-2</v>
      </c>
      <c r="K30">
        <v>-0.14171550116161949</v>
      </c>
      <c r="L30">
        <v>-0.14267373529471911</v>
      </c>
      <c r="M30">
        <v>0.15263070537019191</v>
      </c>
      <c r="N30">
        <v>8.8265002183711957E-2</v>
      </c>
      <c r="O30">
        <v>0.21107367631013091</v>
      </c>
      <c r="P30">
        <v>0.24770554329496289</v>
      </c>
      <c r="Q30">
        <v>0.2639848643595149</v>
      </c>
      <c r="R30">
        <v>-4.5924301594416732E-3</v>
      </c>
      <c r="S30">
        <v>3.5946411402811462E-2</v>
      </c>
      <c r="T30">
        <v>9.3646507012200494E-2</v>
      </c>
      <c r="U30">
        <v>3.3874235133460898E-2</v>
      </c>
      <c r="V30">
        <v>5.0049933159152599E-2</v>
      </c>
      <c r="W30">
        <v>0.12634806543406421</v>
      </c>
      <c r="X30">
        <v>5.0958151942174283E-2</v>
      </c>
      <c r="Y30">
        <v>8.3989949885937082E-2</v>
      </c>
      <c r="Z30">
        <v>6.8437235261629065E-2</v>
      </c>
      <c r="AA30">
        <v>0.33179928683421711</v>
      </c>
      <c r="AB30">
        <v>0.32097468957178138</v>
      </c>
      <c r="AC30">
        <v>0.27321349737095929</v>
      </c>
      <c r="AD30">
        <v>1</v>
      </c>
      <c r="AE30">
        <v>0.32957734980115599</v>
      </c>
      <c r="AF30">
        <v>0.28243054256533801</v>
      </c>
      <c r="AG30">
        <v>0.21746064398654191</v>
      </c>
      <c r="AH30">
        <v>0.21699714307853241</v>
      </c>
      <c r="AI30">
        <v>0.19160624994222461</v>
      </c>
      <c r="AJ30">
        <v>0.17152572587457779</v>
      </c>
      <c r="AK30">
        <v>0.26062121369319058</v>
      </c>
      <c r="AL30">
        <v>0.20098505495083999</v>
      </c>
      <c r="AM30">
        <v>0.21015231641819829</v>
      </c>
      <c r="AN30">
        <v>0.21105338202567661</v>
      </c>
      <c r="AO30">
        <v>0.2292834500285626</v>
      </c>
      <c r="AP30">
        <v>0.2483180798426349</v>
      </c>
      <c r="AQ30">
        <v>0.1941785234782262</v>
      </c>
      <c r="AR30">
        <v>0.20092292810026899</v>
      </c>
      <c r="AS30">
        <v>0.18524363325472559</v>
      </c>
      <c r="AT30">
        <v>0.1961536931132053</v>
      </c>
      <c r="AU30">
        <v>0.1395806273735149</v>
      </c>
      <c r="AV30">
        <v>0.10069176182961211</v>
      </c>
      <c r="AW30">
        <v>0.23993952314239381</v>
      </c>
      <c r="AX30">
        <v>0.14345897235336119</v>
      </c>
      <c r="AY30">
        <v>0.1907726625845452</v>
      </c>
      <c r="AZ30">
        <v>0.1232985659816752</v>
      </c>
      <c r="BA30">
        <v>9.2113362359406384E-2</v>
      </c>
      <c r="BB30">
        <v>8.8884579614377148E-3</v>
      </c>
      <c r="BC30">
        <v>0.1072523003189309</v>
      </c>
    </row>
    <row r="31" spans="1:55" x14ac:dyDescent="0.35">
      <c r="A31" s="1" t="s">
        <v>29</v>
      </c>
      <c r="B31">
        <v>2.1689640234486551E-2</v>
      </c>
      <c r="C31">
        <v>5.7129279823420424E-3</v>
      </c>
      <c r="D31">
        <v>-1.1161951840757999E-2</v>
      </c>
      <c r="E31">
        <v>2.857051145209866E-2</v>
      </c>
      <c r="F31">
        <v>-3.4126047805410628E-3</v>
      </c>
      <c r="G31">
        <v>9.5002291649540077E-3</v>
      </c>
      <c r="H31">
        <v>1.9856379106531269E-3</v>
      </c>
      <c r="I31">
        <v>-1.8084331335939018E-2</v>
      </c>
      <c r="J31">
        <v>5.2089431888602912E-2</v>
      </c>
      <c r="K31">
        <v>-9.2500888887496469E-2</v>
      </c>
      <c r="L31">
        <v>-8.5844886139981799E-2</v>
      </c>
      <c r="M31">
        <v>-3.223194066447032E-2</v>
      </c>
      <c r="N31">
        <v>1.6358700357798919E-2</v>
      </c>
      <c r="O31">
        <v>5.6497768924708577E-2</v>
      </c>
      <c r="P31">
        <v>0.10397578326569661</v>
      </c>
      <c r="Q31">
        <v>0.1338856956916705</v>
      </c>
      <c r="R31">
        <v>-1.9591879255337341E-3</v>
      </c>
      <c r="S31">
        <v>2.7675283671830971E-2</v>
      </c>
      <c r="T31">
        <v>0.1031340249125256</v>
      </c>
      <c r="U31">
        <v>3.3649967889422441E-2</v>
      </c>
      <c r="V31">
        <v>0.11457337396132231</v>
      </c>
      <c r="W31">
        <v>0.15400139386384529</v>
      </c>
      <c r="X31">
        <v>7.6316231464403056E-2</v>
      </c>
      <c r="Y31">
        <v>0.16564501719654481</v>
      </c>
      <c r="Z31">
        <v>4.2200118210283327E-2</v>
      </c>
      <c r="AA31">
        <v>0.11494953237394299</v>
      </c>
      <c r="AB31">
        <v>0.19689658281954089</v>
      </c>
      <c r="AC31">
        <v>0.3006927696927762</v>
      </c>
      <c r="AD31">
        <v>0.32957734980115599</v>
      </c>
      <c r="AE31">
        <v>1</v>
      </c>
      <c r="AF31">
        <v>0.65793719010560503</v>
      </c>
      <c r="AG31">
        <v>0.39845380725346852</v>
      </c>
      <c r="AH31">
        <v>0.23277173397534451</v>
      </c>
      <c r="AI31">
        <v>0.30689648529985702</v>
      </c>
      <c r="AJ31">
        <v>0.24961139801595289</v>
      </c>
      <c r="AK31">
        <v>0.17195770614017361</v>
      </c>
      <c r="AL31">
        <v>0.14685853528215589</v>
      </c>
      <c r="AM31">
        <v>0.25369838509338571</v>
      </c>
      <c r="AN31">
        <v>0.21378890721746449</v>
      </c>
      <c r="AO31">
        <v>0.16013933960486981</v>
      </c>
      <c r="AP31">
        <v>0.21742808254977869</v>
      </c>
      <c r="AQ31">
        <v>0.18660710741502151</v>
      </c>
      <c r="AR31">
        <v>0.1865266104447863</v>
      </c>
      <c r="AS31">
        <v>0.27865603823973878</v>
      </c>
      <c r="AT31">
        <v>0.17207896465574099</v>
      </c>
      <c r="AU31">
        <v>0.21638484239844699</v>
      </c>
      <c r="AV31">
        <v>0.240267425719664</v>
      </c>
      <c r="AW31">
        <v>0.2154152810427708</v>
      </c>
      <c r="AX31">
        <v>0.21442875553330429</v>
      </c>
      <c r="AY31">
        <v>0.27160848961226808</v>
      </c>
      <c r="AZ31">
        <v>0.1594020115521976</v>
      </c>
      <c r="BA31">
        <v>0.1976622284967888</v>
      </c>
      <c r="BB31">
        <v>7.6474887519492898E-2</v>
      </c>
      <c r="BC31">
        <v>0.18632074138621291</v>
      </c>
    </row>
    <row r="32" spans="1:55" x14ac:dyDescent="0.35">
      <c r="A32" s="1" t="s">
        <v>30</v>
      </c>
      <c r="B32">
        <v>6.4508881734297646E-3</v>
      </c>
      <c r="C32">
        <v>-4.0183666000657738E-2</v>
      </c>
      <c r="D32">
        <v>-6.3753645582149396E-2</v>
      </c>
      <c r="E32">
        <v>-2.657666894071644E-2</v>
      </c>
      <c r="F32">
        <v>-6.7566653058982448E-2</v>
      </c>
      <c r="G32">
        <v>-1.8223588589261479E-2</v>
      </c>
      <c r="H32">
        <v>-3.8513152750994248E-2</v>
      </c>
      <c r="I32">
        <v>-6.019731912474309E-2</v>
      </c>
      <c r="J32">
        <v>2.8627269747611629E-2</v>
      </c>
      <c r="K32">
        <v>-7.8677385111930564E-2</v>
      </c>
      <c r="L32">
        <v>-5.5869438612606577E-2</v>
      </c>
      <c r="M32">
        <v>-2.3332959505424751E-2</v>
      </c>
      <c r="N32">
        <v>1.377128456798511E-2</v>
      </c>
      <c r="O32">
        <v>4.5009789526964307E-2</v>
      </c>
      <c r="P32">
        <v>0.1121800500301547</v>
      </c>
      <c r="Q32">
        <v>9.9736532247133441E-2</v>
      </c>
      <c r="R32">
        <v>-1.453309824155132E-2</v>
      </c>
      <c r="S32">
        <v>1.46176271564409E-2</v>
      </c>
      <c r="T32">
        <v>6.5449377546346513E-2</v>
      </c>
      <c r="U32">
        <v>6.2123424318414368E-2</v>
      </c>
      <c r="V32">
        <v>0.14985600046420339</v>
      </c>
      <c r="W32">
        <v>0.18522026196581881</v>
      </c>
      <c r="X32">
        <v>0.11176464926230149</v>
      </c>
      <c r="Y32">
        <v>0.18452140640227571</v>
      </c>
      <c r="Z32">
        <v>1.9088889293005271E-2</v>
      </c>
      <c r="AA32">
        <v>0.12677184121125071</v>
      </c>
      <c r="AB32">
        <v>0.17857723990909791</v>
      </c>
      <c r="AC32">
        <v>0.2305470971692801</v>
      </c>
      <c r="AD32">
        <v>0.28243054256533801</v>
      </c>
      <c r="AE32">
        <v>0.65793719010560503</v>
      </c>
      <c r="AF32">
        <v>1</v>
      </c>
      <c r="AG32">
        <v>0.44933974012199041</v>
      </c>
      <c r="AH32">
        <v>0.16999655162465491</v>
      </c>
      <c r="AI32">
        <v>0.26624222320910279</v>
      </c>
      <c r="AJ32">
        <v>0.1931679279879385</v>
      </c>
      <c r="AK32">
        <v>0.18075817037064931</v>
      </c>
      <c r="AL32">
        <v>0.1417210664644992</v>
      </c>
      <c r="AM32">
        <v>0.2134441402478261</v>
      </c>
      <c r="AN32">
        <v>0.16079790277689451</v>
      </c>
      <c r="AO32">
        <v>0.1225021045388188</v>
      </c>
      <c r="AP32">
        <v>0.1954305186359544</v>
      </c>
      <c r="AQ32">
        <v>0.1674273461166278</v>
      </c>
      <c r="AR32">
        <v>0.16916637023138181</v>
      </c>
      <c r="AS32">
        <v>0.26157121754174611</v>
      </c>
      <c r="AT32">
        <v>0.18139786394242019</v>
      </c>
      <c r="AU32">
        <v>0.25144780843395081</v>
      </c>
      <c r="AV32">
        <v>0.25111342335868819</v>
      </c>
      <c r="AW32">
        <v>0.21323255177891301</v>
      </c>
      <c r="AX32">
        <v>0.2160333122677259</v>
      </c>
      <c r="AY32">
        <v>0.26948190977207431</v>
      </c>
      <c r="AZ32">
        <v>0.16007358899088209</v>
      </c>
      <c r="BA32">
        <v>0.19550559009370869</v>
      </c>
      <c r="BB32">
        <v>3.3391901709525468E-2</v>
      </c>
      <c r="BC32">
        <v>0.19220596082903191</v>
      </c>
    </row>
    <row r="33" spans="1:55" x14ac:dyDescent="0.35">
      <c r="A33" s="1" t="s">
        <v>31</v>
      </c>
      <c r="B33">
        <v>4.4436317791953048E-2</v>
      </c>
      <c r="C33">
        <v>-5.633412518564726E-2</v>
      </c>
      <c r="D33">
        <v>-5.9167405704943062E-2</v>
      </c>
      <c r="E33">
        <v>-6.2364200931349107E-3</v>
      </c>
      <c r="F33">
        <v>-7.0807101238028206E-2</v>
      </c>
      <c r="G33">
        <v>-3.3178658408585707E-2</v>
      </c>
      <c r="H33">
        <v>1.353098429506213E-2</v>
      </c>
      <c r="I33">
        <v>6.7927211489403859E-3</v>
      </c>
      <c r="J33">
        <v>0.10185208546971029</v>
      </c>
      <c r="K33">
        <v>-5.5915395844330952E-2</v>
      </c>
      <c r="L33">
        <v>-5.1100041347073688E-2</v>
      </c>
      <c r="M33">
        <v>4.5906557633307643E-2</v>
      </c>
      <c r="N33">
        <v>5.0387867711447071E-2</v>
      </c>
      <c r="O33">
        <v>9.6706173483493391E-2</v>
      </c>
      <c r="P33">
        <v>8.8513600877945839E-2</v>
      </c>
      <c r="Q33">
        <v>-8.0633148621884979E-3</v>
      </c>
      <c r="R33">
        <v>-5.7039974921095901E-2</v>
      </c>
      <c r="S33">
        <v>2.36572056738775E-2</v>
      </c>
      <c r="T33">
        <v>0.13258150688031231</v>
      </c>
      <c r="U33">
        <v>0.1094206466247982</v>
      </c>
      <c r="V33">
        <v>0.1837480593176217</v>
      </c>
      <c r="W33">
        <v>0.1870667225775566</v>
      </c>
      <c r="X33">
        <v>0.122615982606403</v>
      </c>
      <c r="Y33">
        <v>0.16106772785848089</v>
      </c>
      <c r="Z33">
        <v>0.14168722730909389</v>
      </c>
      <c r="AA33">
        <v>9.0699932922445506E-2</v>
      </c>
      <c r="AB33">
        <v>0.1220903726823851</v>
      </c>
      <c r="AC33">
        <v>0.16775182137795311</v>
      </c>
      <c r="AD33">
        <v>0.21746064398654191</v>
      </c>
      <c r="AE33">
        <v>0.39845380725346852</v>
      </c>
      <c r="AF33">
        <v>0.44933974012199041</v>
      </c>
      <c r="AG33">
        <v>1</v>
      </c>
      <c r="AH33">
        <v>0.33394901670952531</v>
      </c>
      <c r="AI33">
        <v>0.3677008085027279</v>
      </c>
      <c r="AJ33">
        <v>0.32497558914148011</v>
      </c>
      <c r="AK33">
        <v>0.26080785988336369</v>
      </c>
      <c r="AL33">
        <v>0.27886007223926862</v>
      </c>
      <c r="AM33">
        <v>0.31554810676746298</v>
      </c>
      <c r="AN33">
        <v>0.24313831565226141</v>
      </c>
      <c r="AO33">
        <v>0.245972853805317</v>
      </c>
      <c r="AP33">
        <v>0.30755055137247339</v>
      </c>
      <c r="AQ33">
        <v>0.25367858749914829</v>
      </c>
      <c r="AR33">
        <v>0.26962661769932661</v>
      </c>
      <c r="AS33">
        <v>0.35120558158036302</v>
      </c>
      <c r="AT33">
        <v>0.19047691862990379</v>
      </c>
      <c r="AU33">
        <v>0.21676114463426061</v>
      </c>
      <c r="AV33">
        <v>0.26016682435117211</v>
      </c>
      <c r="AW33">
        <v>0.21456354366092911</v>
      </c>
      <c r="AX33">
        <v>0.18885608629368589</v>
      </c>
      <c r="AY33">
        <v>0.25044326394508548</v>
      </c>
      <c r="AZ33">
        <v>0.1178477540181114</v>
      </c>
      <c r="BA33">
        <v>0.18291368705732711</v>
      </c>
      <c r="BB33">
        <v>7.1888804860583133E-2</v>
      </c>
      <c r="BC33">
        <v>0.15982311001231381</v>
      </c>
    </row>
    <row r="34" spans="1:55" x14ac:dyDescent="0.35">
      <c r="A34" s="1" t="s">
        <v>32</v>
      </c>
      <c r="B34">
        <v>4.0861922062916754E-3</v>
      </c>
      <c r="C34">
        <v>-9.5213518732714483E-2</v>
      </c>
      <c r="D34">
        <v>-0.1119150555486727</v>
      </c>
      <c r="E34">
        <v>-2.4121687840369339E-2</v>
      </c>
      <c r="F34">
        <v>-6.7917154714973116E-2</v>
      </c>
      <c r="G34">
        <v>-8.7991973410095112E-2</v>
      </c>
      <c r="H34">
        <v>-1.278695889275787E-2</v>
      </c>
      <c r="I34">
        <v>3.6754884816974608E-2</v>
      </c>
      <c r="J34">
        <v>5.1628487325701099E-2</v>
      </c>
      <c r="K34">
        <v>-9.0364718103576908E-2</v>
      </c>
      <c r="L34">
        <v>-9.7229104370528341E-2</v>
      </c>
      <c r="M34">
        <v>-5.4090611929860422E-2</v>
      </c>
      <c r="N34">
        <v>-4.9610131034329728E-2</v>
      </c>
      <c r="O34">
        <v>6.0214257412286497E-2</v>
      </c>
      <c r="P34">
        <v>0.106086661932444</v>
      </c>
      <c r="Q34">
        <v>-1.9674389695628378E-2</v>
      </c>
      <c r="R34">
        <v>-9.6024407160711853E-2</v>
      </c>
      <c r="S34">
        <v>-3.681513951219597E-2</v>
      </c>
      <c r="T34">
        <v>3.7287078974685327E-2</v>
      </c>
      <c r="U34">
        <v>2.073937134411653E-2</v>
      </c>
      <c r="V34">
        <v>4.3630354354986862E-2</v>
      </c>
      <c r="W34">
        <v>0.10183024789041641</v>
      </c>
      <c r="X34">
        <v>7.5064387289290629E-2</v>
      </c>
      <c r="Y34">
        <v>5.4352353775134747E-2</v>
      </c>
      <c r="Z34">
        <v>0.1044942269366613</v>
      </c>
      <c r="AA34">
        <v>0.1590337407710751</v>
      </c>
      <c r="AB34">
        <v>0.1399755556986168</v>
      </c>
      <c r="AC34">
        <v>0.14241183342974931</v>
      </c>
      <c r="AD34">
        <v>0.21699714307853241</v>
      </c>
      <c r="AE34">
        <v>0.23277173397534451</v>
      </c>
      <c r="AF34">
        <v>0.16999655162465491</v>
      </c>
      <c r="AG34">
        <v>0.33394901670952531</v>
      </c>
      <c r="AH34">
        <v>1</v>
      </c>
      <c r="AI34">
        <v>0.57833118840579201</v>
      </c>
      <c r="AJ34">
        <v>0.47588194969417891</v>
      </c>
      <c r="AK34">
        <v>0.35137001995496597</v>
      </c>
      <c r="AL34">
        <v>0.27006426248897819</v>
      </c>
      <c r="AM34">
        <v>0.34733462883659882</v>
      </c>
      <c r="AN34">
        <v>0.33061127027066378</v>
      </c>
      <c r="AO34">
        <v>0.30409856003629332</v>
      </c>
      <c r="AP34">
        <v>0.33574177920689668</v>
      </c>
      <c r="AQ34">
        <v>0.26647504790208032</v>
      </c>
      <c r="AR34">
        <v>0.24045887820225681</v>
      </c>
      <c r="AS34">
        <v>0.33571342486770012</v>
      </c>
      <c r="AT34">
        <v>7.0974813377873328E-2</v>
      </c>
      <c r="AU34">
        <v>0.11084771898220069</v>
      </c>
      <c r="AV34">
        <v>0.11621417754431421</v>
      </c>
      <c r="AW34">
        <v>0.17208923370748849</v>
      </c>
      <c r="AX34">
        <v>0.20048285028830079</v>
      </c>
      <c r="AY34">
        <v>0.1819757883246704</v>
      </c>
      <c r="AZ34">
        <v>8.5393915002316551E-2</v>
      </c>
      <c r="BA34">
        <v>0.14667653161545999</v>
      </c>
      <c r="BB34">
        <v>7.3439833722078865E-2</v>
      </c>
      <c r="BC34">
        <v>0.141097878912289</v>
      </c>
    </row>
    <row r="35" spans="1:55" x14ac:dyDescent="0.35">
      <c r="A35" s="1" t="s">
        <v>33</v>
      </c>
      <c r="B35">
        <v>-1.4405376376137519E-3</v>
      </c>
      <c r="C35">
        <v>-9.4436261062778748E-2</v>
      </c>
      <c r="D35">
        <v>-0.10527555804800889</v>
      </c>
      <c r="E35">
        <v>4.4951813590034571E-4</v>
      </c>
      <c r="F35">
        <v>-4.8430235523201658E-2</v>
      </c>
      <c r="G35">
        <v>-6.9830053417623855E-2</v>
      </c>
      <c r="H35">
        <v>-3.9629892597845121E-2</v>
      </c>
      <c r="I35">
        <v>3.7859575497229812E-2</v>
      </c>
      <c r="J35">
        <v>2.2923797662011889E-2</v>
      </c>
      <c r="K35">
        <v>-8.7935919443877394E-2</v>
      </c>
      <c r="L35">
        <v>-8.2094614062539789E-2</v>
      </c>
      <c r="M35">
        <v>-3.2695169003762688E-2</v>
      </c>
      <c r="N35">
        <v>-1.10907342447414E-3</v>
      </c>
      <c r="O35">
        <v>4.4427905472651782E-2</v>
      </c>
      <c r="P35">
        <v>0.1181488940134665</v>
      </c>
      <c r="Q35">
        <v>-2.6391228721820881E-3</v>
      </c>
      <c r="R35">
        <v>-8.7616099245814719E-2</v>
      </c>
      <c r="S35">
        <v>-2.0800317362946231E-2</v>
      </c>
      <c r="T35">
        <v>7.6509401555397663E-2</v>
      </c>
      <c r="U35">
        <v>8.4773898395031522E-2</v>
      </c>
      <c r="V35">
        <v>7.7569808212222299E-2</v>
      </c>
      <c r="W35">
        <v>0.11020830921010651</v>
      </c>
      <c r="X35">
        <v>5.7331839999633372E-2</v>
      </c>
      <c r="Y35">
        <v>9.4655843029332123E-2</v>
      </c>
      <c r="Z35">
        <v>0.11526508058820099</v>
      </c>
      <c r="AA35">
        <v>0.1665200229638206</v>
      </c>
      <c r="AB35">
        <v>0.17138077026522139</v>
      </c>
      <c r="AC35">
        <v>0.21806858501093229</v>
      </c>
      <c r="AD35">
        <v>0.19160624994222461</v>
      </c>
      <c r="AE35">
        <v>0.30689648529985702</v>
      </c>
      <c r="AF35">
        <v>0.26624222320910279</v>
      </c>
      <c r="AG35">
        <v>0.3677008085027279</v>
      </c>
      <c r="AH35">
        <v>0.57833118840579201</v>
      </c>
      <c r="AI35">
        <v>1</v>
      </c>
      <c r="AJ35">
        <v>0.53703173065373722</v>
      </c>
      <c r="AK35">
        <v>0.3869295924814814</v>
      </c>
      <c r="AL35">
        <v>0.33611327340080599</v>
      </c>
      <c r="AM35">
        <v>0.39155504530933588</v>
      </c>
      <c r="AN35">
        <v>0.33100991414101338</v>
      </c>
      <c r="AO35">
        <v>0.31952294859662739</v>
      </c>
      <c r="AP35">
        <v>0.36681463624536548</v>
      </c>
      <c r="AQ35">
        <v>0.25333539363188562</v>
      </c>
      <c r="AR35">
        <v>0.2408156654282245</v>
      </c>
      <c r="AS35">
        <v>0.35139530791102203</v>
      </c>
      <c r="AT35">
        <v>0.14866132605881721</v>
      </c>
      <c r="AU35">
        <v>0.2134390296930348</v>
      </c>
      <c r="AV35">
        <v>0.2283918218950538</v>
      </c>
      <c r="AW35">
        <v>0.13588066793042539</v>
      </c>
      <c r="AX35">
        <v>0.21416967502481121</v>
      </c>
      <c r="AY35">
        <v>0.22238721031778691</v>
      </c>
      <c r="AZ35">
        <v>0.12861260830881599</v>
      </c>
      <c r="BA35">
        <v>0.14135256963161061</v>
      </c>
      <c r="BB35">
        <v>5.0490364039159782E-2</v>
      </c>
      <c r="BC35">
        <v>0.1513236997026933</v>
      </c>
    </row>
    <row r="36" spans="1:55" x14ac:dyDescent="0.35">
      <c r="A36" s="1" t="s">
        <v>34</v>
      </c>
      <c r="B36">
        <v>3.2792487902547643E-2</v>
      </c>
      <c r="C36">
        <v>-7.5330728335708821E-2</v>
      </c>
      <c r="D36">
        <v>-9.5772490399651966E-2</v>
      </c>
      <c r="E36">
        <v>-5.0178716933566028E-2</v>
      </c>
      <c r="F36">
        <v>-5.1842054532378397E-2</v>
      </c>
      <c r="G36">
        <v>-7.7560453829392639E-2</v>
      </c>
      <c r="H36">
        <v>-6.6568786199863991E-2</v>
      </c>
      <c r="I36">
        <v>2.5246740675065299E-2</v>
      </c>
      <c r="J36">
        <v>2.0706356555930339E-2</v>
      </c>
      <c r="K36">
        <v>-8.2865308776541746E-2</v>
      </c>
      <c r="L36">
        <v>-6.9517439151272523E-2</v>
      </c>
      <c r="M36">
        <v>-2.540346003813517E-3</v>
      </c>
      <c r="N36">
        <v>2.7602712630189302E-2</v>
      </c>
      <c r="O36">
        <v>1.3953292699327401E-2</v>
      </c>
      <c r="P36">
        <v>0.13431275174483789</v>
      </c>
      <c r="Q36">
        <v>-3.4672576885094272E-2</v>
      </c>
      <c r="R36">
        <v>-6.4570119882713217E-2</v>
      </c>
      <c r="S36">
        <v>-3.1624458284962541E-3</v>
      </c>
      <c r="T36">
        <v>6.0214962568213438E-2</v>
      </c>
      <c r="U36">
        <v>5.5602587194023403E-2</v>
      </c>
      <c r="V36">
        <v>6.695478923810215E-2</v>
      </c>
      <c r="W36">
        <v>8.0522023344899843E-2</v>
      </c>
      <c r="X36">
        <v>4.5636222027250838E-2</v>
      </c>
      <c r="Y36">
        <v>8.2692744817963015E-2</v>
      </c>
      <c r="Z36">
        <v>9.8431643199320337E-2</v>
      </c>
      <c r="AA36">
        <v>0.1043904309532214</v>
      </c>
      <c r="AB36">
        <v>0.1313207207198307</v>
      </c>
      <c r="AC36">
        <v>0.2476286600810817</v>
      </c>
      <c r="AD36">
        <v>0.17152572587457779</v>
      </c>
      <c r="AE36">
        <v>0.24961139801595289</v>
      </c>
      <c r="AF36">
        <v>0.1931679279879385</v>
      </c>
      <c r="AG36">
        <v>0.32497558914148011</v>
      </c>
      <c r="AH36">
        <v>0.47588194969417891</v>
      </c>
      <c r="AI36">
        <v>0.53703173065373722</v>
      </c>
      <c r="AJ36">
        <v>1</v>
      </c>
      <c r="AK36">
        <v>0.49293288249606099</v>
      </c>
      <c r="AL36">
        <v>0.40706210512199648</v>
      </c>
      <c r="AM36">
        <v>0.53275611028077108</v>
      </c>
      <c r="AN36">
        <v>0.46156848238368642</v>
      </c>
      <c r="AO36">
        <v>0.45174024480280739</v>
      </c>
      <c r="AP36">
        <v>0.46120379008146212</v>
      </c>
      <c r="AQ36">
        <v>0.30465840295058078</v>
      </c>
      <c r="AR36">
        <v>0.27687598269179681</v>
      </c>
      <c r="AS36">
        <v>0.37426211789566421</v>
      </c>
      <c r="AT36">
        <v>0.124820030221485</v>
      </c>
      <c r="AU36">
        <v>0.18559197338274139</v>
      </c>
      <c r="AV36">
        <v>0.13222253929885919</v>
      </c>
      <c r="AW36">
        <v>0.2094171489781598</v>
      </c>
      <c r="AX36">
        <v>0.22564919846414291</v>
      </c>
      <c r="AY36">
        <v>0.15791054766368401</v>
      </c>
      <c r="AZ36">
        <v>9.8543220416522123E-2</v>
      </c>
      <c r="BA36">
        <v>0.14262046145054599</v>
      </c>
      <c r="BB36">
        <v>6.1610410154323683E-2</v>
      </c>
      <c r="BC36">
        <v>0.12333612924439361</v>
      </c>
    </row>
    <row r="37" spans="1:55" x14ac:dyDescent="0.35">
      <c r="A37" s="1" t="s">
        <v>35</v>
      </c>
      <c r="B37">
        <v>4.0736951400210088E-2</v>
      </c>
      <c r="C37">
        <v>-6.5971674901543778E-2</v>
      </c>
      <c r="D37">
        <v>-9.683248083157997E-2</v>
      </c>
      <c r="E37">
        <v>-8.1180544510610089E-2</v>
      </c>
      <c r="F37">
        <v>-0.13255260641956759</v>
      </c>
      <c r="G37">
        <v>-3.3867746003134178E-2</v>
      </c>
      <c r="H37">
        <v>-4.3732586665226919E-2</v>
      </c>
      <c r="I37">
        <v>5.874338183299025E-2</v>
      </c>
      <c r="J37">
        <v>1.175662757811554E-2</v>
      </c>
      <c r="K37">
        <v>-0.1018431532963977</v>
      </c>
      <c r="L37">
        <v>-0.1348972286461381</v>
      </c>
      <c r="M37">
        <v>-2.5905425830160139E-3</v>
      </c>
      <c r="N37">
        <v>4.2320485466879103E-2</v>
      </c>
      <c r="O37">
        <v>0.1042463802019904</v>
      </c>
      <c r="P37">
        <v>0.1349694544271586</v>
      </c>
      <c r="Q37">
        <v>9.5663329894739337E-3</v>
      </c>
      <c r="R37">
        <v>-0.10265759241038119</v>
      </c>
      <c r="S37">
        <v>-3.3567882345402707E-2</v>
      </c>
      <c r="T37">
        <v>-2.653418020839522E-4</v>
      </c>
      <c r="U37">
        <v>3.9156925044279742E-2</v>
      </c>
      <c r="V37">
        <v>2.1206981526525712E-2</v>
      </c>
      <c r="W37">
        <v>8.5155179290493502E-2</v>
      </c>
      <c r="X37">
        <v>3.2386975830900051E-3</v>
      </c>
      <c r="Y37">
        <v>1.9814267888372459E-2</v>
      </c>
      <c r="Z37">
        <v>9.7734143065798557E-2</v>
      </c>
      <c r="AA37">
        <v>0.1661353931636014</v>
      </c>
      <c r="AB37">
        <v>0.15267312095263291</v>
      </c>
      <c r="AC37">
        <v>0.19910894331650431</v>
      </c>
      <c r="AD37">
        <v>0.26062121369319058</v>
      </c>
      <c r="AE37">
        <v>0.17195770614017361</v>
      </c>
      <c r="AF37">
        <v>0.18075817037064931</v>
      </c>
      <c r="AG37">
        <v>0.26080785988336369</v>
      </c>
      <c r="AH37">
        <v>0.35137001995496597</v>
      </c>
      <c r="AI37">
        <v>0.3869295924814814</v>
      </c>
      <c r="AJ37">
        <v>0.49293288249606099</v>
      </c>
      <c r="AK37">
        <v>1</v>
      </c>
      <c r="AL37">
        <v>0.44393925467842749</v>
      </c>
      <c r="AM37">
        <v>0.49185434851408011</v>
      </c>
      <c r="AN37">
        <v>0.36585983257910287</v>
      </c>
      <c r="AO37">
        <v>0.42223978644473298</v>
      </c>
      <c r="AP37">
        <v>0.41301504834585517</v>
      </c>
      <c r="AQ37">
        <v>0.22870200241246169</v>
      </c>
      <c r="AR37">
        <v>0.2269110205976318</v>
      </c>
      <c r="AS37">
        <v>0.31271546959704932</v>
      </c>
      <c r="AT37">
        <v>0.152522898425796</v>
      </c>
      <c r="AU37">
        <v>0.13682652638068249</v>
      </c>
      <c r="AV37">
        <v>0.14537757146769861</v>
      </c>
      <c r="AW37">
        <v>0.23465579569904249</v>
      </c>
      <c r="AX37">
        <v>0.18637858434900639</v>
      </c>
      <c r="AY37">
        <v>0.21358664519857559</v>
      </c>
      <c r="AZ37">
        <v>0.13994927077516431</v>
      </c>
      <c r="BA37">
        <v>0.15086872983459571</v>
      </c>
      <c r="BB37">
        <v>1.836254372952038E-2</v>
      </c>
      <c r="BC37">
        <v>0.14753592582026431</v>
      </c>
    </row>
    <row r="38" spans="1:55" x14ac:dyDescent="0.35">
      <c r="A38" s="1" t="s">
        <v>36</v>
      </c>
      <c r="B38">
        <v>1.5982313375477279E-2</v>
      </c>
      <c r="C38">
        <v>-8.0138517052271888E-2</v>
      </c>
      <c r="D38">
        <v>-0.1167541268230361</v>
      </c>
      <c r="E38">
        <v>-5.3007128933296448E-2</v>
      </c>
      <c r="F38">
        <v>-0.1159250642761236</v>
      </c>
      <c r="G38">
        <v>-5.4008194177891537E-2</v>
      </c>
      <c r="H38">
        <v>-1.9982205297195729E-2</v>
      </c>
      <c r="I38">
        <v>9.9180303322387708E-3</v>
      </c>
      <c r="J38">
        <v>9.4317766892462324E-3</v>
      </c>
      <c r="K38">
        <v>-6.0477813728890918E-2</v>
      </c>
      <c r="L38">
        <v>-0.14385504201161811</v>
      </c>
      <c r="M38">
        <v>1.575491274996452E-2</v>
      </c>
      <c r="N38">
        <v>3.8693911428255463E-2</v>
      </c>
      <c r="O38">
        <v>3.259926404433542E-2</v>
      </c>
      <c r="P38">
        <v>3.5663947523179182E-2</v>
      </c>
      <c r="Q38">
        <v>-2.1472156782358871E-2</v>
      </c>
      <c r="R38">
        <v>-7.3312669703037348E-2</v>
      </c>
      <c r="S38">
        <v>-1.496634819911912E-2</v>
      </c>
      <c r="T38">
        <v>5.957422917269771E-2</v>
      </c>
      <c r="U38">
        <v>4.6395813320343267E-2</v>
      </c>
      <c r="V38">
        <v>2.420800035734549E-2</v>
      </c>
      <c r="W38">
        <v>9.8051369586518999E-2</v>
      </c>
      <c r="X38">
        <v>6.9099656710786661E-2</v>
      </c>
      <c r="Y38">
        <v>0.123380601792118</v>
      </c>
      <c r="Z38">
        <v>2.860696661385399E-2</v>
      </c>
      <c r="AA38">
        <v>6.9154200984385253E-2</v>
      </c>
      <c r="AB38">
        <v>0.12057086775835769</v>
      </c>
      <c r="AC38">
        <v>0.20409215612288159</v>
      </c>
      <c r="AD38">
        <v>0.20098505495083999</v>
      </c>
      <c r="AE38">
        <v>0.14685853528215589</v>
      </c>
      <c r="AF38">
        <v>0.1417210664644992</v>
      </c>
      <c r="AG38">
        <v>0.27886007223926862</v>
      </c>
      <c r="AH38">
        <v>0.27006426248897819</v>
      </c>
      <c r="AI38">
        <v>0.33611327340080599</v>
      </c>
      <c r="AJ38">
        <v>0.40706210512199648</v>
      </c>
      <c r="AK38">
        <v>0.44393925467842749</v>
      </c>
      <c r="AL38">
        <v>1</v>
      </c>
      <c r="AM38">
        <v>0.51215861306964661</v>
      </c>
      <c r="AN38">
        <v>0.39143148092539343</v>
      </c>
      <c r="AO38">
        <v>0.41336385100543371</v>
      </c>
      <c r="AP38">
        <v>0.43475270036664931</v>
      </c>
      <c r="AQ38">
        <v>0.29820994251955651</v>
      </c>
      <c r="AR38">
        <v>0.29291317168266823</v>
      </c>
      <c r="AS38">
        <v>0.3416492241297176</v>
      </c>
      <c r="AT38">
        <v>0.1461904491653172</v>
      </c>
      <c r="AU38">
        <v>0.25129926716249901</v>
      </c>
      <c r="AV38">
        <v>0.137813737934154</v>
      </c>
      <c r="AW38">
        <v>0.22366236309685111</v>
      </c>
      <c r="AX38">
        <v>0.17868533624924099</v>
      </c>
      <c r="AY38">
        <v>0.17985829275244331</v>
      </c>
      <c r="AZ38">
        <v>0.1164766400397137</v>
      </c>
      <c r="BA38">
        <v>0.17929141127897691</v>
      </c>
      <c r="BB38">
        <v>0.10175545557850579</v>
      </c>
      <c r="BC38">
        <v>0.17130798069110431</v>
      </c>
    </row>
    <row r="39" spans="1:55" x14ac:dyDescent="0.35">
      <c r="A39" s="1" t="s">
        <v>37</v>
      </c>
      <c r="B39">
        <v>2.3403994539266261E-2</v>
      </c>
      <c r="C39">
        <v>-0.102400487380605</v>
      </c>
      <c r="D39">
        <v>-0.1231870037772511</v>
      </c>
      <c r="E39">
        <v>-8.2732870173108736E-2</v>
      </c>
      <c r="F39">
        <v>-9.1596088728571043E-2</v>
      </c>
      <c r="G39">
        <v>-0.1051055925318984</v>
      </c>
      <c r="H39">
        <v>-0.1138837785666551</v>
      </c>
      <c r="I39">
        <v>1.208775685804409E-2</v>
      </c>
      <c r="J39">
        <v>1.3885146429565381E-2</v>
      </c>
      <c r="K39">
        <v>-0.12532729347269761</v>
      </c>
      <c r="L39">
        <v>-0.12579584721592099</v>
      </c>
      <c r="M39">
        <v>4.0990977640472791E-2</v>
      </c>
      <c r="N39">
        <v>2.6523500608742308E-2</v>
      </c>
      <c r="O39">
        <v>6.4812615373529531E-2</v>
      </c>
      <c r="P39">
        <v>0.12990939020355399</v>
      </c>
      <c r="Q39">
        <v>6.6002988469449353E-3</v>
      </c>
      <c r="R39">
        <v>-7.3128911245274722E-2</v>
      </c>
      <c r="S39">
        <v>-4.1448998652596068E-2</v>
      </c>
      <c r="T39">
        <v>5.822356086842554E-2</v>
      </c>
      <c r="U39">
        <v>5.3168965664102168E-2</v>
      </c>
      <c r="V39">
        <v>1.8126936109965939E-2</v>
      </c>
      <c r="W39">
        <v>8.421741972362709E-2</v>
      </c>
      <c r="X39">
        <v>2.3546474475557209E-2</v>
      </c>
      <c r="Y39">
        <v>5.981059078846096E-2</v>
      </c>
      <c r="Z39">
        <v>6.8102342946711358E-2</v>
      </c>
      <c r="AA39">
        <v>0.1226864006101209</v>
      </c>
      <c r="AB39">
        <v>0.1879197030774799</v>
      </c>
      <c r="AC39">
        <v>0.2238453160116701</v>
      </c>
      <c r="AD39">
        <v>0.21015231641819829</v>
      </c>
      <c r="AE39">
        <v>0.25369838509338571</v>
      </c>
      <c r="AF39">
        <v>0.2134441402478261</v>
      </c>
      <c r="AG39">
        <v>0.31554810676746298</v>
      </c>
      <c r="AH39">
        <v>0.34733462883659882</v>
      </c>
      <c r="AI39">
        <v>0.39155504530933588</v>
      </c>
      <c r="AJ39">
        <v>0.53275611028077108</v>
      </c>
      <c r="AK39">
        <v>0.49185434851408011</v>
      </c>
      <c r="AL39">
        <v>0.51215861306964661</v>
      </c>
      <c r="AM39">
        <v>1</v>
      </c>
      <c r="AN39">
        <v>0.53078371239245403</v>
      </c>
      <c r="AO39">
        <v>0.57332835571376994</v>
      </c>
      <c r="AP39">
        <v>0.58676280440902751</v>
      </c>
      <c r="AQ39">
        <v>0.44404723038606558</v>
      </c>
      <c r="AR39">
        <v>0.4140274976723618</v>
      </c>
      <c r="AS39">
        <v>0.43578683806144508</v>
      </c>
      <c r="AT39">
        <v>0.12591397652454009</v>
      </c>
      <c r="AU39">
        <v>0.17036585109108049</v>
      </c>
      <c r="AV39">
        <v>0.1233584705747794</v>
      </c>
      <c r="AW39">
        <v>0.2843972440693352</v>
      </c>
      <c r="AX39">
        <v>0.29320279642078462</v>
      </c>
      <c r="AY39">
        <v>0.1963346163297271</v>
      </c>
      <c r="AZ39">
        <v>0.13605717642763859</v>
      </c>
      <c r="BA39">
        <v>0.1796768334982552</v>
      </c>
      <c r="BB39">
        <v>8.2530212088005886E-2</v>
      </c>
      <c r="BC39">
        <v>0.184556226248832</v>
      </c>
    </row>
    <row r="40" spans="1:55" x14ac:dyDescent="0.35">
      <c r="A40" s="1" t="s">
        <v>38</v>
      </c>
      <c r="B40">
        <v>6.9624167683240874E-3</v>
      </c>
      <c r="C40">
        <v>-7.6471958353505606E-2</v>
      </c>
      <c r="D40">
        <v>-9.9624079553196701E-2</v>
      </c>
      <c r="E40">
        <v>-5.3548771041978901E-2</v>
      </c>
      <c r="F40">
        <v>-0.10052090139471161</v>
      </c>
      <c r="G40">
        <v>-8.8190328322105382E-2</v>
      </c>
      <c r="H40">
        <v>-1.3002806690886831E-2</v>
      </c>
      <c r="I40">
        <v>8.5343449550235352E-3</v>
      </c>
      <c r="J40">
        <v>3.6006967699795348E-2</v>
      </c>
      <c r="K40">
        <v>-8.2431244725858333E-2</v>
      </c>
      <c r="L40">
        <v>-0.16188310150188159</v>
      </c>
      <c r="M40">
        <v>1.3151117862001011E-2</v>
      </c>
      <c r="N40">
        <v>1.8256025211435122E-2</v>
      </c>
      <c r="O40">
        <v>0.11238441969551589</v>
      </c>
      <c r="P40">
        <v>9.9636484073417936E-2</v>
      </c>
      <c r="Q40">
        <v>-5.3372369994649893E-2</v>
      </c>
      <c r="R40">
        <v>-0.1048925646414591</v>
      </c>
      <c r="S40">
        <v>-1.7609024808289759E-2</v>
      </c>
      <c r="T40">
        <v>2.5122461471816751E-2</v>
      </c>
      <c r="U40">
        <v>3.578999627094627E-2</v>
      </c>
      <c r="V40">
        <v>1.0062191905702161E-2</v>
      </c>
      <c r="W40">
        <v>0.1086368058370403</v>
      </c>
      <c r="X40">
        <v>7.6013490230655206E-2</v>
      </c>
      <c r="Y40">
        <v>0.12908016677567491</v>
      </c>
      <c r="Z40">
        <v>6.5286939760307736E-2</v>
      </c>
      <c r="AA40">
        <v>0.12891084168666181</v>
      </c>
      <c r="AB40">
        <v>0.1951351357296908</v>
      </c>
      <c r="AC40">
        <v>0.16714525482901749</v>
      </c>
      <c r="AD40">
        <v>0.21105338202567661</v>
      </c>
      <c r="AE40">
        <v>0.21378890721746449</v>
      </c>
      <c r="AF40">
        <v>0.16079790277689451</v>
      </c>
      <c r="AG40">
        <v>0.24313831565226141</v>
      </c>
      <c r="AH40">
        <v>0.33061127027066378</v>
      </c>
      <c r="AI40">
        <v>0.33100991414101338</v>
      </c>
      <c r="AJ40">
        <v>0.46156848238368642</v>
      </c>
      <c r="AK40">
        <v>0.36585983257910287</v>
      </c>
      <c r="AL40">
        <v>0.39143148092539343</v>
      </c>
      <c r="AM40">
        <v>0.53078371239245403</v>
      </c>
      <c r="AN40">
        <v>1</v>
      </c>
      <c r="AO40">
        <v>0.66392752833167845</v>
      </c>
      <c r="AP40">
        <v>0.58802231725622744</v>
      </c>
      <c r="AQ40">
        <v>0.4195945557529655</v>
      </c>
      <c r="AR40">
        <v>0.33517858742738588</v>
      </c>
      <c r="AS40">
        <v>0.4148824521948683</v>
      </c>
      <c r="AT40">
        <v>5.2462695007870937E-2</v>
      </c>
      <c r="AU40">
        <v>5.9496644204382179E-2</v>
      </c>
      <c r="AV40">
        <v>6.2761623615859172E-2</v>
      </c>
      <c r="AW40">
        <v>0.22494997231928571</v>
      </c>
      <c r="AX40">
        <v>0.21544683405117709</v>
      </c>
      <c r="AY40">
        <v>0.22674802937937691</v>
      </c>
      <c r="AZ40">
        <v>0.1246078058150883</v>
      </c>
      <c r="BA40">
        <v>0.12816356484934099</v>
      </c>
      <c r="BB40">
        <v>9.3516254734270443E-2</v>
      </c>
      <c r="BC40">
        <v>0.12951624364635461</v>
      </c>
    </row>
    <row r="41" spans="1:55" x14ac:dyDescent="0.35">
      <c r="A41" s="1" t="s">
        <v>39</v>
      </c>
      <c r="B41">
        <v>1.7966204423041851E-2</v>
      </c>
      <c r="C41">
        <v>-0.15314896603441561</v>
      </c>
      <c r="D41">
        <v>-0.15317395691154331</v>
      </c>
      <c r="E41">
        <v>-5.8617940393492017E-2</v>
      </c>
      <c r="F41">
        <v>-0.13169890812128909</v>
      </c>
      <c r="G41">
        <v>-0.13955575003246559</v>
      </c>
      <c r="H41">
        <v>-4.4792784355962588E-2</v>
      </c>
      <c r="I41">
        <v>3.8104443454776857E-2</v>
      </c>
      <c r="J41">
        <v>1.4868642430726879E-2</v>
      </c>
      <c r="K41">
        <v>-8.474747506014163E-2</v>
      </c>
      <c r="L41">
        <v>-0.18047547628879679</v>
      </c>
      <c r="M41">
        <v>1.625813255228218E-2</v>
      </c>
      <c r="N41">
        <v>-1.3936168401890649E-4</v>
      </c>
      <c r="O41">
        <v>9.0083511156593812E-2</v>
      </c>
      <c r="P41">
        <v>8.5992891962684809E-2</v>
      </c>
      <c r="Q41">
        <v>-8.9720128452240366E-2</v>
      </c>
      <c r="R41">
        <v>-0.12665439185585789</v>
      </c>
      <c r="S41">
        <v>-3.7738346134143952E-2</v>
      </c>
      <c r="T41">
        <v>2.1541308752743741E-2</v>
      </c>
      <c r="U41">
        <v>8.625540982239369E-3</v>
      </c>
      <c r="V41">
        <v>-1.314950954193787E-2</v>
      </c>
      <c r="W41">
        <v>9.9729554638370313E-2</v>
      </c>
      <c r="X41">
        <v>8.7939855831248345E-2</v>
      </c>
      <c r="Y41">
        <v>0.1177212312808176</v>
      </c>
      <c r="Z41">
        <v>2.0102059868586979E-2</v>
      </c>
      <c r="AA41">
        <v>0.14784458501867151</v>
      </c>
      <c r="AB41">
        <v>0.1769361629996441</v>
      </c>
      <c r="AC41">
        <v>0.14121314019627229</v>
      </c>
      <c r="AD41">
        <v>0.2292834500285626</v>
      </c>
      <c r="AE41">
        <v>0.16013933960486981</v>
      </c>
      <c r="AF41">
        <v>0.1225021045388188</v>
      </c>
      <c r="AG41">
        <v>0.245972853805317</v>
      </c>
      <c r="AH41">
        <v>0.30409856003629332</v>
      </c>
      <c r="AI41">
        <v>0.31952294859662739</v>
      </c>
      <c r="AJ41">
        <v>0.45174024480280739</v>
      </c>
      <c r="AK41">
        <v>0.42223978644473298</v>
      </c>
      <c r="AL41">
        <v>0.41336385100543371</v>
      </c>
      <c r="AM41">
        <v>0.57332835571376994</v>
      </c>
      <c r="AN41">
        <v>0.66392752833167845</v>
      </c>
      <c r="AO41">
        <v>1</v>
      </c>
      <c r="AP41">
        <v>0.7191579445541082</v>
      </c>
      <c r="AQ41">
        <v>0.55647951603737678</v>
      </c>
      <c r="AR41">
        <v>0.46419529357958927</v>
      </c>
      <c r="AS41">
        <v>0.47871854004607878</v>
      </c>
      <c r="AT41">
        <v>0.13691710094039691</v>
      </c>
      <c r="AU41">
        <v>0.16822798636168931</v>
      </c>
      <c r="AV41">
        <v>0.14972205575931319</v>
      </c>
      <c r="AW41">
        <v>0.28448267556456458</v>
      </c>
      <c r="AX41">
        <v>0.29171140729021722</v>
      </c>
      <c r="AY41">
        <v>0.2564026050342143</v>
      </c>
      <c r="AZ41">
        <v>0.16315117630293671</v>
      </c>
      <c r="BA41">
        <v>0.17265099096240061</v>
      </c>
      <c r="BB41">
        <v>0.1079680672515925</v>
      </c>
      <c r="BC41">
        <v>0.18807317909541399</v>
      </c>
    </row>
    <row r="42" spans="1:55" x14ac:dyDescent="0.35">
      <c r="A42" s="1" t="s">
        <v>40</v>
      </c>
      <c r="B42">
        <v>2.738203403461965E-2</v>
      </c>
      <c r="C42">
        <v>-0.1418874463038487</v>
      </c>
      <c r="D42">
        <v>-0.17134620607476789</v>
      </c>
      <c r="E42">
        <v>-5.3278092670287783E-2</v>
      </c>
      <c r="F42">
        <v>-0.1225559571519384</v>
      </c>
      <c r="G42">
        <v>-0.1033715926514359</v>
      </c>
      <c r="H42">
        <v>-4.5942045445248228E-2</v>
      </c>
      <c r="I42">
        <v>7.1203312610716912E-2</v>
      </c>
      <c r="J42">
        <v>7.8165713920658117E-2</v>
      </c>
      <c r="K42">
        <v>-0.1162502653501747</v>
      </c>
      <c r="L42">
        <v>-0.14708166450208929</v>
      </c>
      <c r="M42">
        <v>2.708617606506462E-2</v>
      </c>
      <c r="N42">
        <v>5.1569281668704017E-2</v>
      </c>
      <c r="O42">
        <v>9.9216143459239348E-2</v>
      </c>
      <c r="P42">
        <v>9.3152519836692455E-2</v>
      </c>
      <c r="Q42">
        <v>-5.1821950971134498E-2</v>
      </c>
      <c r="R42">
        <v>-0.13785075962694371</v>
      </c>
      <c r="S42">
        <v>-3.4938286870659981E-2</v>
      </c>
      <c r="T42">
        <v>5.8882029585825918E-2</v>
      </c>
      <c r="U42">
        <v>3.7582108897328777E-2</v>
      </c>
      <c r="V42">
        <v>-5.303061155101753E-3</v>
      </c>
      <c r="W42">
        <v>0.1106316549670561</v>
      </c>
      <c r="X42">
        <v>5.1419167570675779E-2</v>
      </c>
      <c r="Y42">
        <v>8.7976915654780011E-2</v>
      </c>
      <c r="Z42">
        <v>5.1859253948055968E-2</v>
      </c>
      <c r="AA42">
        <v>0.15869859987605661</v>
      </c>
      <c r="AB42">
        <v>0.14485260661380731</v>
      </c>
      <c r="AC42">
        <v>0.1612881806882342</v>
      </c>
      <c r="AD42">
        <v>0.2483180798426349</v>
      </c>
      <c r="AE42">
        <v>0.21742808254977869</v>
      </c>
      <c r="AF42">
        <v>0.1954305186359544</v>
      </c>
      <c r="AG42">
        <v>0.30755055137247339</v>
      </c>
      <c r="AH42">
        <v>0.33574177920689668</v>
      </c>
      <c r="AI42">
        <v>0.36681463624536548</v>
      </c>
      <c r="AJ42">
        <v>0.46120379008146212</v>
      </c>
      <c r="AK42">
        <v>0.41301504834585517</v>
      </c>
      <c r="AL42">
        <v>0.43475270036664931</v>
      </c>
      <c r="AM42">
        <v>0.58676280440902751</v>
      </c>
      <c r="AN42">
        <v>0.58802231725622744</v>
      </c>
      <c r="AO42">
        <v>0.7191579445541082</v>
      </c>
      <c r="AP42">
        <v>1</v>
      </c>
      <c r="AQ42">
        <v>0.60650571812532494</v>
      </c>
      <c r="AR42">
        <v>0.54076395157623225</v>
      </c>
      <c r="AS42">
        <v>0.6187881033265682</v>
      </c>
      <c r="AT42">
        <v>0.18090258425459729</v>
      </c>
      <c r="AU42">
        <v>0.22251308659889629</v>
      </c>
      <c r="AV42">
        <v>0.1535082659096409</v>
      </c>
      <c r="AW42">
        <v>0.36070975494778429</v>
      </c>
      <c r="AX42">
        <v>0.38199061762755282</v>
      </c>
      <c r="AY42">
        <v>0.30647634015390629</v>
      </c>
      <c r="AZ42">
        <v>0.1963919500869992</v>
      </c>
      <c r="BA42">
        <v>0.23391852601091409</v>
      </c>
      <c r="BB42">
        <v>0.10294842600671519</v>
      </c>
      <c r="BC42">
        <v>0.21808080388999551</v>
      </c>
    </row>
    <row r="43" spans="1:55" x14ac:dyDescent="0.35">
      <c r="A43" s="1" t="s">
        <v>41</v>
      </c>
      <c r="B43">
        <v>4.0739072879103902E-2</v>
      </c>
      <c r="C43">
        <v>-0.119717254958892</v>
      </c>
      <c r="D43">
        <v>-0.1378091503600257</v>
      </c>
      <c r="E43">
        <v>-1.1330079387153439E-2</v>
      </c>
      <c r="F43">
        <v>-6.6147689957131245E-2</v>
      </c>
      <c r="G43">
        <v>-9.0039302863112208E-2</v>
      </c>
      <c r="H43">
        <v>-5.518766137582818E-2</v>
      </c>
      <c r="I43">
        <v>8.9407137341561249E-2</v>
      </c>
      <c r="J43">
        <v>5.0688797905591353E-2</v>
      </c>
      <c r="K43">
        <v>-5.9611768452175397E-2</v>
      </c>
      <c r="L43">
        <v>-0.1244532423951762</v>
      </c>
      <c r="M43">
        <v>-2.846296338980964E-2</v>
      </c>
      <c r="N43">
        <v>3.8743481381128923E-2</v>
      </c>
      <c r="O43">
        <v>9.7148184534574578E-2</v>
      </c>
      <c r="P43">
        <v>8.2724578727257955E-2</v>
      </c>
      <c r="Q43">
        <v>-3.939322665605479E-2</v>
      </c>
      <c r="R43">
        <v>-7.2305974389240302E-2</v>
      </c>
      <c r="S43">
        <v>-4.4072427295355758E-2</v>
      </c>
      <c r="T43">
        <v>6.4742892262439775E-2</v>
      </c>
      <c r="U43">
        <v>1.6051539536935191E-2</v>
      </c>
      <c r="V43">
        <v>2.7732980627238101E-3</v>
      </c>
      <c r="W43">
        <v>0.10703781499730471</v>
      </c>
      <c r="X43">
        <v>0.1056059711466403</v>
      </c>
      <c r="Y43">
        <v>8.0219289254033904E-2</v>
      </c>
      <c r="Z43">
        <v>4.9920175340208151E-2</v>
      </c>
      <c r="AA43">
        <v>0.1799937375943578</v>
      </c>
      <c r="AB43">
        <v>0.22162624141184259</v>
      </c>
      <c r="AC43">
        <v>0.18150305124937241</v>
      </c>
      <c r="AD43">
        <v>0.1941785234782262</v>
      </c>
      <c r="AE43">
        <v>0.18660710741502151</v>
      </c>
      <c r="AF43">
        <v>0.1674273461166278</v>
      </c>
      <c r="AG43">
        <v>0.25367858749914829</v>
      </c>
      <c r="AH43">
        <v>0.26647504790208032</v>
      </c>
      <c r="AI43">
        <v>0.25333539363188562</v>
      </c>
      <c r="AJ43">
        <v>0.30465840295058078</v>
      </c>
      <c r="AK43">
        <v>0.22870200241246169</v>
      </c>
      <c r="AL43">
        <v>0.29820994251955651</v>
      </c>
      <c r="AM43">
        <v>0.44404723038606558</v>
      </c>
      <c r="AN43">
        <v>0.4195945557529655</v>
      </c>
      <c r="AO43">
        <v>0.55647951603737678</v>
      </c>
      <c r="AP43">
        <v>0.60650571812532494</v>
      </c>
      <c r="AQ43">
        <v>1</v>
      </c>
      <c r="AR43">
        <v>0.75920664132364979</v>
      </c>
      <c r="AS43">
        <v>0.62927279000035785</v>
      </c>
      <c r="AT43">
        <v>7.6309070613439611E-2</v>
      </c>
      <c r="AU43">
        <v>0.16129514020805499</v>
      </c>
      <c r="AV43">
        <v>0.12021978460864401</v>
      </c>
      <c r="AW43">
        <v>0.30567294227879199</v>
      </c>
      <c r="AX43">
        <v>0.32640231537072989</v>
      </c>
      <c r="AY43">
        <v>0.24073603524994269</v>
      </c>
      <c r="AZ43">
        <v>0.13898212206015331</v>
      </c>
      <c r="BA43">
        <v>0.23710473489213449</v>
      </c>
      <c r="BB43">
        <v>0.1254027014962415</v>
      </c>
      <c r="BC43">
        <v>0.19450433199596401</v>
      </c>
    </row>
    <row r="44" spans="1:55" x14ac:dyDescent="0.35">
      <c r="A44" s="1" t="s">
        <v>42</v>
      </c>
      <c r="B44">
        <v>4.9879564221778888E-2</v>
      </c>
      <c r="C44">
        <v>-0.1323547987010113</v>
      </c>
      <c r="D44">
        <v>-0.152329824011146</v>
      </c>
      <c r="E44">
        <v>-4.3008236140127852E-2</v>
      </c>
      <c r="F44">
        <v>-8.0987023931350433E-2</v>
      </c>
      <c r="G44">
        <v>-8.9256564077256906E-2</v>
      </c>
      <c r="H44">
        <v>-9.0572704194078243E-2</v>
      </c>
      <c r="I44">
        <v>2.6982265099566749E-2</v>
      </c>
      <c r="J44">
        <v>5.2292930055957337E-2</v>
      </c>
      <c r="K44">
        <v>-0.1009220284271795</v>
      </c>
      <c r="L44">
        <v>-0.1279373532749403</v>
      </c>
      <c r="M44">
        <v>-2.7437055805046701E-2</v>
      </c>
      <c r="N44">
        <v>6.7988542783613673E-2</v>
      </c>
      <c r="O44">
        <v>0.1265899380599104</v>
      </c>
      <c r="P44">
        <v>5.2763307653351417E-2</v>
      </c>
      <c r="Q44">
        <v>-9.9674076781017251E-3</v>
      </c>
      <c r="R44">
        <v>-7.1792736252196898E-2</v>
      </c>
      <c r="S44">
        <v>-2.9501718354756672E-2</v>
      </c>
      <c r="T44">
        <v>6.907101629475218E-2</v>
      </c>
      <c r="U44">
        <v>3.5609373580432417E-2</v>
      </c>
      <c r="V44">
        <v>2.6800808025763529E-2</v>
      </c>
      <c r="W44">
        <v>0.138742127772368</v>
      </c>
      <c r="X44">
        <v>0.1371559793047166</v>
      </c>
      <c r="Y44">
        <v>0.15740029042649481</v>
      </c>
      <c r="Z44">
        <v>8.543961693767638E-3</v>
      </c>
      <c r="AA44">
        <v>0.15396795901758689</v>
      </c>
      <c r="AB44">
        <v>0.18140539328281591</v>
      </c>
      <c r="AC44">
        <v>0.1701217578027506</v>
      </c>
      <c r="AD44">
        <v>0.20092292810026899</v>
      </c>
      <c r="AE44">
        <v>0.1865266104447863</v>
      </c>
      <c r="AF44">
        <v>0.16916637023138181</v>
      </c>
      <c r="AG44">
        <v>0.26962661769932661</v>
      </c>
      <c r="AH44">
        <v>0.24045887820225681</v>
      </c>
      <c r="AI44">
        <v>0.2408156654282245</v>
      </c>
      <c r="AJ44">
        <v>0.27687598269179681</v>
      </c>
      <c r="AK44">
        <v>0.2269110205976318</v>
      </c>
      <c r="AL44">
        <v>0.29291317168266823</v>
      </c>
      <c r="AM44">
        <v>0.4140274976723618</v>
      </c>
      <c r="AN44">
        <v>0.33517858742738588</v>
      </c>
      <c r="AO44">
        <v>0.46419529357958927</v>
      </c>
      <c r="AP44">
        <v>0.54076395157623225</v>
      </c>
      <c r="AQ44">
        <v>0.75920664132364979</v>
      </c>
      <c r="AR44">
        <v>1</v>
      </c>
      <c r="AS44">
        <v>0.720929512713121</v>
      </c>
      <c r="AT44">
        <v>0.15624330993117569</v>
      </c>
      <c r="AU44">
        <v>0.22258339075831121</v>
      </c>
      <c r="AV44">
        <v>0.1856529801167065</v>
      </c>
      <c r="AW44">
        <v>0.34551494513455622</v>
      </c>
      <c r="AX44">
        <v>0.38338973063118181</v>
      </c>
      <c r="AY44">
        <v>0.28739475013351778</v>
      </c>
      <c r="AZ44">
        <v>0.18041619795698391</v>
      </c>
      <c r="BA44">
        <v>0.25923301434413037</v>
      </c>
      <c r="BB44">
        <v>0.10230426050315029</v>
      </c>
      <c r="BC44">
        <v>0.26942604400321502</v>
      </c>
    </row>
    <row r="45" spans="1:55" x14ac:dyDescent="0.35">
      <c r="A45" s="1" t="s">
        <v>43</v>
      </c>
      <c r="B45">
        <v>2.2684948843269812E-2</v>
      </c>
      <c r="C45">
        <v>-0.12736509892886419</v>
      </c>
      <c r="D45">
        <v>-0.1832630378959981</v>
      </c>
      <c r="E45">
        <v>-7.0990346334379034E-2</v>
      </c>
      <c r="F45">
        <v>-0.14097092374089171</v>
      </c>
      <c r="G45">
        <v>-0.11659067828557559</v>
      </c>
      <c r="H45">
        <v>-6.6714962241787926E-2</v>
      </c>
      <c r="I45">
        <v>4.5528225291373493E-2</v>
      </c>
      <c r="J45">
        <v>7.0944880203299546E-2</v>
      </c>
      <c r="K45">
        <v>-0.11111818577602189</v>
      </c>
      <c r="L45">
        <v>-0.15705073619794041</v>
      </c>
      <c r="M45">
        <v>-5.9714460644630978E-2</v>
      </c>
      <c r="N45">
        <v>2.4745367577979752E-2</v>
      </c>
      <c r="O45">
        <v>0.1154082009363509</v>
      </c>
      <c r="P45">
        <v>3.9332493092570073E-2</v>
      </c>
      <c r="Q45">
        <v>-2.6822474237888978E-2</v>
      </c>
      <c r="R45">
        <v>-0.10270122816213249</v>
      </c>
      <c r="S45">
        <v>-2.335042613704004E-2</v>
      </c>
      <c r="T45">
        <v>8.1993113571680876E-2</v>
      </c>
      <c r="U45">
        <v>7.1404471298506772E-2</v>
      </c>
      <c r="V45">
        <v>7.1209823162843106E-2</v>
      </c>
      <c r="W45">
        <v>0.17963044062125741</v>
      </c>
      <c r="X45">
        <v>0.13454190674035099</v>
      </c>
      <c r="Y45">
        <v>0.17476861465944349</v>
      </c>
      <c r="Z45">
        <v>2.9567680986173701E-2</v>
      </c>
      <c r="AA45">
        <v>0.13128697291081109</v>
      </c>
      <c r="AB45">
        <v>0.1488468027691405</v>
      </c>
      <c r="AC45">
        <v>0.14471675975643711</v>
      </c>
      <c r="AD45">
        <v>0.18524363325472559</v>
      </c>
      <c r="AE45">
        <v>0.27865603823973878</v>
      </c>
      <c r="AF45">
        <v>0.26157121754174611</v>
      </c>
      <c r="AG45">
        <v>0.35120558158036302</v>
      </c>
      <c r="AH45">
        <v>0.33571342486770012</v>
      </c>
      <c r="AI45">
        <v>0.35139530791102203</v>
      </c>
      <c r="AJ45">
        <v>0.37426211789566421</v>
      </c>
      <c r="AK45">
        <v>0.31271546959704932</v>
      </c>
      <c r="AL45">
        <v>0.3416492241297176</v>
      </c>
      <c r="AM45">
        <v>0.43578683806144508</v>
      </c>
      <c r="AN45">
        <v>0.4148824521948683</v>
      </c>
      <c r="AO45">
        <v>0.47871854004607878</v>
      </c>
      <c r="AP45">
        <v>0.6187881033265682</v>
      </c>
      <c r="AQ45">
        <v>0.62927279000035785</v>
      </c>
      <c r="AR45">
        <v>0.720929512713121</v>
      </c>
      <c r="AS45">
        <v>1</v>
      </c>
      <c r="AT45">
        <v>0.24652471316332389</v>
      </c>
      <c r="AU45">
        <v>0.35416633650537088</v>
      </c>
      <c r="AV45">
        <v>0.33829387368998592</v>
      </c>
      <c r="AW45">
        <v>0.48474501425883038</v>
      </c>
      <c r="AX45">
        <v>0.53862181495115524</v>
      </c>
      <c r="AY45">
        <v>0.47079508225236899</v>
      </c>
      <c r="AZ45">
        <v>0.26519829827312119</v>
      </c>
      <c r="BA45">
        <v>0.39938912986524122</v>
      </c>
      <c r="BB45">
        <v>0.17317481657613429</v>
      </c>
      <c r="BC45">
        <v>0.38385665552037079</v>
      </c>
    </row>
    <row r="46" spans="1:55" x14ac:dyDescent="0.35">
      <c r="A46" s="1" t="s">
        <v>44</v>
      </c>
      <c r="B46">
        <v>3.155879276330352E-2</v>
      </c>
      <c r="C46">
        <v>7.0669820354196519E-3</v>
      </c>
      <c r="D46">
        <v>-2.2160984611423119E-2</v>
      </c>
      <c r="E46">
        <v>-1.6274031682352381E-2</v>
      </c>
      <c r="F46">
        <v>-1.5036550733343821E-2</v>
      </c>
      <c r="G46">
        <v>2.0679984987807369E-2</v>
      </c>
      <c r="H46">
        <v>8.5627896372200349E-3</v>
      </c>
      <c r="I46">
        <v>2.3726830061815481E-4</v>
      </c>
      <c r="J46">
        <v>-1.2253543461122739E-2</v>
      </c>
      <c r="K46">
        <v>-4.5242634825266637E-2</v>
      </c>
      <c r="L46">
        <v>-7.4697408260745377E-2</v>
      </c>
      <c r="M46">
        <v>-1.966685847435316E-2</v>
      </c>
      <c r="N46">
        <v>2.3636235177093751E-2</v>
      </c>
      <c r="O46">
        <v>4.1627360190283923E-2</v>
      </c>
      <c r="P46">
        <v>-1.6516958913015412E-2</v>
      </c>
      <c r="Q46">
        <v>5.6532318213079649E-2</v>
      </c>
      <c r="R46">
        <v>-3.5751594351536109E-4</v>
      </c>
      <c r="S46">
        <v>3.164858922612401E-3</v>
      </c>
      <c r="T46">
        <v>3.2045687814039811E-2</v>
      </c>
      <c r="U46">
        <v>8.571856099792061E-3</v>
      </c>
      <c r="V46">
        <v>5.207627851903085E-2</v>
      </c>
      <c r="W46">
        <v>9.9505339862399456E-2</v>
      </c>
      <c r="X46">
        <v>4.880647562290711E-2</v>
      </c>
      <c r="Y46">
        <v>0.1098739496954968</v>
      </c>
      <c r="Z46">
        <v>1.840950625191001E-3</v>
      </c>
      <c r="AA46">
        <v>7.1875416258397842E-2</v>
      </c>
      <c r="AB46">
        <v>2.3527188639931331E-2</v>
      </c>
      <c r="AC46">
        <v>0.14619716363717911</v>
      </c>
      <c r="AD46">
        <v>0.1961536931132053</v>
      </c>
      <c r="AE46">
        <v>0.17207896465574099</v>
      </c>
      <c r="AF46">
        <v>0.18139786394242019</v>
      </c>
      <c r="AG46">
        <v>0.19047691862990379</v>
      </c>
      <c r="AH46">
        <v>7.0974813377873328E-2</v>
      </c>
      <c r="AI46">
        <v>0.14866132605881721</v>
      </c>
      <c r="AJ46">
        <v>0.124820030221485</v>
      </c>
      <c r="AK46">
        <v>0.152522898425796</v>
      </c>
      <c r="AL46">
        <v>0.1461904491653172</v>
      </c>
      <c r="AM46">
        <v>0.12591397652454009</v>
      </c>
      <c r="AN46">
        <v>5.2462695007870937E-2</v>
      </c>
      <c r="AO46">
        <v>0.13691710094039691</v>
      </c>
      <c r="AP46">
        <v>0.18090258425459729</v>
      </c>
      <c r="AQ46">
        <v>7.6309070613439611E-2</v>
      </c>
      <c r="AR46">
        <v>0.15624330993117569</v>
      </c>
      <c r="AS46">
        <v>0.24652471316332389</v>
      </c>
      <c r="AT46">
        <v>1</v>
      </c>
      <c r="AU46">
        <v>0.51521172279088345</v>
      </c>
      <c r="AV46">
        <v>0.46772581101002092</v>
      </c>
      <c r="AW46">
        <v>0.21095841564711329</v>
      </c>
      <c r="AX46">
        <v>0.17288475170670001</v>
      </c>
      <c r="AY46">
        <v>0.22513021469669139</v>
      </c>
      <c r="AZ46">
        <v>0.1115402694038803</v>
      </c>
      <c r="BA46">
        <v>0.1630802895101699</v>
      </c>
      <c r="BB46">
        <v>6.7095103101574474E-2</v>
      </c>
      <c r="BC46">
        <v>0.13430656450442921</v>
      </c>
    </row>
    <row r="47" spans="1:55" x14ac:dyDescent="0.35">
      <c r="A47" s="1" t="s">
        <v>45</v>
      </c>
      <c r="B47">
        <v>2.0145445983230131E-2</v>
      </c>
      <c r="C47">
        <v>-0.1677042331082047</v>
      </c>
      <c r="D47">
        <v>-0.2046433733096219</v>
      </c>
      <c r="E47">
        <v>-9.7821822884664553E-2</v>
      </c>
      <c r="F47">
        <v>-0.16171275609501179</v>
      </c>
      <c r="G47">
        <v>-0.1171470687530734</v>
      </c>
      <c r="H47">
        <v>-7.1662244678937503E-2</v>
      </c>
      <c r="I47">
        <v>-6.3443728002064964E-2</v>
      </c>
      <c r="J47">
        <v>1.363367502028533E-3</v>
      </c>
      <c r="K47">
        <v>-2.952168544855048E-2</v>
      </c>
      <c r="L47">
        <v>-2.260575584306623E-2</v>
      </c>
      <c r="M47">
        <v>-6.1462129287476082E-2</v>
      </c>
      <c r="N47">
        <v>1.3051729944896159E-2</v>
      </c>
      <c r="O47">
        <v>-5.0203324968138299E-2</v>
      </c>
      <c r="P47">
        <v>-8.0477904185770749E-2</v>
      </c>
      <c r="Q47">
        <v>-7.146789423647025E-2</v>
      </c>
      <c r="R47">
        <v>-4.1656570478248202E-2</v>
      </c>
      <c r="S47">
        <v>-4.0751714638452889E-2</v>
      </c>
      <c r="T47">
        <v>0.10947676231255821</v>
      </c>
      <c r="U47">
        <v>5.1879271356936117E-2</v>
      </c>
      <c r="V47">
        <v>5.8851426005436427E-2</v>
      </c>
      <c r="W47">
        <v>0.15037662471164781</v>
      </c>
      <c r="X47">
        <v>0.15142954058508781</v>
      </c>
      <c r="Y47">
        <v>0.22397722109520521</v>
      </c>
      <c r="Z47">
        <v>1.5972670609378821E-4</v>
      </c>
      <c r="AA47">
        <v>4.2242944721954258E-2</v>
      </c>
      <c r="AB47">
        <v>5.1085361495391383E-2</v>
      </c>
      <c r="AC47">
        <v>0.1405992143910976</v>
      </c>
      <c r="AD47">
        <v>0.1395806273735149</v>
      </c>
      <c r="AE47">
        <v>0.21638484239844699</v>
      </c>
      <c r="AF47">
        <v>0.25144780843395081</v>
      </c>
      <c r="AG47">
        <v>0.21676114463426061</v>
      </c>
      <c r="AH47">
        <v>0.11084771898220069</v>
      </c>
      <c r="AI47">
        <v>0.2134390296930348</v>
      </c>
      <c r="AJ47">
        <v>0.18559197338274139</v>
      </c>
      <c r="AK47">
        <v>0.13682652638068249</v>
      </c>
      <c r="AL47">
        <v>0.25129926716249901</v>
      </c>
      <c r="AM47">
        <v>0.17036585109108049</v>
      </c>
      <c r="AN47">
        <v>5.9496644204382179E-2</v>
      </c>
      <c r="AO47">
        <v>0.16822798636168931</v>
      </c>
      <c r="AP47">
        <v>0.22251308659889629</v>
      </c>
      <c r="AQ47">
        <v>0.16129514020805499</v>
      </c>
      <c r="AR47">
        <v>0.22258339075831121</v>
      </c>
      <c r="AS47">
        <v>0.35416633650537088</v>
      </c>
      <c r="AT47">
        <v>0.51521172279088345</v>
      </c>
      <c r="AU47">
        <v>1</v>
      </c>
      <c r="AV47">
        <v>0.6572139902797226</v>
      </c>
      <c r="AW47">
        <v>0.36020611831936072</v>
      </c>
      <c r="AX47">
        <v>0.40755042688990689</v>
      </c>
      <c r="AY47">
        <v>0.30322426857481871</v>
      </c>
      <c r="AZ47">
        <v>0.11124509893272751</v>
      </c>
      <c r="BA47">
        <v>0.33114338184041492</v>
      </c>
      <c r="BB47">
        <v>0.2173301121267858</v>
      </c>
      <c r="BC47">
        <v>0.23814245541837931</v>
      </c>
    </row>
    <row r="48" spans="1:55" x14ac:dyDescent="0.35">
      <c r="A48" s="1" t="s">
        <v>46</v>
      </c>
      <c r="B48">
        <v>1.274050866662114E-2</v>
      </c>
      <c r="C48">
        <v>-0.100108844763265</v>
      </c>
      <c r="D48">
        <v>-0.1249787187933396</v>
      </c>
      <c r="E48">
        <v>-7.7116515208306965E-2</v>
      </c>
      <c r="F48">
        <v>-0.16864219958655999</v>
      </c>
      <c r="G48">
        <v>-4.9319044390300742E-2</v>
      </c>
      <c r="H48">
        <v>-1.84795972083561E-2</v>
      </c>
      <c r="I48">
        <v>-2.7211254039166782E-2</v>
      </c>
      <c r="J48">
        <v>-1.1501513413234641E-2</v>
      </c>
      <c r="K48">
        <v>-3.8361085853767678E-2</v>
      </c>
      <c r="L48">
        <v>-1.796175420010299E-2</v>
      </c>
      <c r="M48">
        <v>-5.8271168631160879E-2</v>
      </c>
      <c r="N48">
        <v>-7.2871547285276658E-3</v>
      </c>
      <c r="O48">
        <v>8.8060675140589472E-3</v>
      </c>
      <c r="P48">
        <v>-0.13103642144717351</v>
      </c>
      <c r="Q48">
        <v>-3.4164222843954942E-2</v>
      </c>
      <c r="R48">
        <v>-7.5902084796835995E-2</v>
      </c>
      <c r="S48">
        <v>-2.336829971748252E-2</v>
      </c>
      <c r="T48">
        <v>9.2548188797747136E-2</v>
      </c>
      <c r="U48">
        <v>5.6679287736838849E-2</v>
      </c>
      <c r="V48">
        <v>9.773565571594027E-2</v>
      </c>
      <c r="W48">
        <v>0.16658437069390719</v>
      </c>
      <c r="X48">
        <v>0.15285036788521619</v>
      </c>
      <c r="Y48">
        <v>0.19980474863549999</v>
      </c>
      <c r="Z48">
        <v>-2.2302446764479181E-2</v>
      </c>
      <c r="AA48">
        <v>3.2379300709230778E-2</v>
      </c>
      <c r="AB48">
        <v>3.2010711743778987E-2</v>
      </c>
      <c r="AC48">
        <v>6.3807512862641205E-2</v>
      </c>
      <c r="AD48">
        <v>0.10069176182961211</v>
      </c>
      <c r="AE48">
        <v>0.240267425719664</v>
      </c>
      <c r="AF48">
        <v>0.25111342335868819</v>
      </c>
      <c r="AG48">
        <v>0.26016682435117211</v>
      </c>
      <c r="AH48">
        <v>0.11621417754431421</v>
      </c>
      <c r="AI48">
        <v>0.2283918218950538</v>
      </c>
      <c r="AJ48">
        <v>0.13222253929885919</v>
      </c>
      <c r="AK48">
        <v>0.14537757146769861</v>
      </c>
      <c r="AL48">
        <v>0.137813737934154</v>
      </c>
      <c r="AM48">
        <v>0.1233584705747794</v>
      </c>
      <c r="AN48">
        <v>6.2761623615859172E-2</v>
      </c>
      <c r="AO48">
        <v>0.14972205575931319</v>
      </c>
      <c r="AP48">
        <v>0.1535082659096409</v>
      </c>
      <c r="AQ48">
        <v>0.12021978460864401</v>
      </c>
      <c r="AR48">
        <v>0.1856529801167065</v>
      </c>
      <c r="AS48">
        <v>0.33829387368998592</v>
      </c>
      <c r="AT48">
        <v>0.46772581101002092</v>
      </c>
      <c r="AU48">
        <v>0.6572139902797226</v>
      </c>
      <c r="AV48">
        <v>1</v>
      </c>
      <c r="AW48">
        <v>0.28122186737938609</v>
      </c>
      <c r="AX48">
        <v>0.42125425822387291</v>
      </c>
      <c r="AY48">
        <v>0.44001463399200941</v>
      </c>
      <c r="AZ48">
        <v>0.24791513342547231</v>
      </c>
      <c r="BA48">
        <v>0.31385514931531783</v>
      </c>
      <c r="BB48">
        <v>0.12399767577217111</v>
      </c>
      <c r="BC48">
        <v>0.28073406316015942</v>
      </c>
    </row>
    <row r="49" spans="1:55" x14ac:dyDescent="0.35">
      <c r="A49" s="1" t="s">
        <v>47</v>
      </c>
      <c r="B49">
        <v>5.2375277264783138E-2</v>
      </c>
      <c r="C49">
        <v>-0.14682043195682459</v>
      </c>
      <c r="D49">
        <v>-0.23849581822860341</v>
      </c>
      <c r="E49">
        <v>-0.112750250765426</v>
      </c>
      <c r="F49">
        <v>-0.19892203994325761</v>
      </c>
      <c r="G49">
        <v>-0.12588523100305299</v>
      </c>
      <c r="H49">
        <v>-6.533149988609116E-2</v>
      </c>
      <c r="I49">
        <v>8.795429467907883E-3</v>
      </c>
      <c r="J49">
        <v>7.9217303260111005E-2</v>
      </c>
      <c r="K49">
        <v>-7.0838009574706137E-2</v>
      </c>
      <c r="L49">
        <v>-9.4096431695115182E-2</v>
      </c>
      <c r="M49">
        <v>-0.10594559891306631</v>
      </c>
      <c r="N49">
        <v>-4.0085109761916878E-2</v>
      </c>
      <c r="O49">
        <v>7.5495967911458822E-2</v>
      </c>
      <c r="P49">
        <v>6.3557834533729179E-2</v>
      </c>
      <c r="Q49">
        <v>-1.76971290405907E-2</v>
      </c>
      <c r="R49">
        <v>-7.7266575147725128E-2</v>
      </c>
      <c r="S49">
        <v>2.7513961111308872E-3</v>
      </c>
      <c r="T49">
        <v>9.9270124682831667E-2</v>
      </c>
      <c r="U49">
        <v>7.4852722869860736E-2</v>
      </c>
      <c r="V49">
        <v>8.0353343002316252E-2</v>
      </c>
      <c r="W49">
        <v>0.18807586012477279</v>
      </c>
      <c r="X49">
        <v>0.13612097696177131</v>
      </c>
      <c r="Y49">
        <v>0.2406024065961673</v>
      </c>
      <c r="Z49">
        <v>7.1725993207183106E-2</v>
      </c>
      <c r="AA49">
        <v>0.10579888125675881</v>
      </c>
      <c r="AB49">
        <v>0.1552094570830104</v>
      </c>
      <c r="AC49">
        <v>0.16851775069846969</v>
      </c>
      <c r="AD49">
        <v>0.23993952314239381</v>
      </c>
      <c r="AE49">
        <v>0.2154152810427708</v>
      </c>
      <c r="AF49">
        <v>0.21323255177891301</v>
      </c>
      <c r="AG49">
        <v>0.21456354366092911</v>
      </c>
      <c r="AH49">
        <v>0.17208923370748849</v>
      </c>
      <c r="AI49">
        <v>0.13588066793042539</v>
      </c>
      <c r="AJ49">
        <v>0.2094171489781598</v>
      </c>
      <c r="AK49">
        <v>0.23465579569904249</v>
      </c>
      <c r="AL49">
        <v>0.22366236309685111</v>
      </c>
      <c r="AM49">
        <v>0.2843972440693352</v>
      </c>
      <c r="AN49">
        <v>0.22494997231928571</v>
      </c>
      <c r="AO49">
        <v>0.28448267556456458</v>
      </c>
      <c r="AP49">
        <v>0.36070975494778429</v>
      </c>
      <c r="AQ49">
        <v>0.30567294227879199</v>
      </c>
      <c r="AR49">
        <v>0.34551494513455622</v>
      </c>
      <c r="AS49">
        <v>0.48474501425883038</v>
      </c>
      <c r="AT49">
        <v>0.21095841564711329</v>
      </c>
      <c r="AU49">
        <v>0.36020611831936072</v>
      </c>
      <c r="AV49">
        <v>0.28122186737938609</v>
      </c>
      <c r="AW49">
        <v>1</v>
      </c>
      <c r="AX49">
        <v>0.58612981638863226</v>
      </c>
      <c r="AY49">
        <v>0.4293573442811382</v>
      </c>
      <c r="AZ49">
        <v>0.27383835468893081</v>
      </c>
      <c r="BA49">
        <v>0.5598897970291854</v>
      </c>
      <c r="BB49">
        <v>0.26921751262130372</v>
      </c>
      <c r="BC49">
        <v>0.29774672205629371</v>
      </c>
    </row>
    <row r="50" spans="1:55" x14ac:dyDescent="0.35">
      <c r="A50" s="1" t="s">
        <v>48</v>
      </c>
      <c r="B50">
        <v>3.7226067686724651E-2</v>
      </c>
      <c r="C50">
        <v>-0.20382832118374489</v>
      </c>
      <c r="D50">
        <v>-0.26974247907938081</v>
      </c>
      <c r="E50">
        <v>-0.1411235020074933</v>
      </c>
      <c r="F50">
        <v>-0.23522164732414569</v>
      </c>
      <c r="G50">
        <v>-0.16376420668609759</v>
      </c>
      <c r="H50">
        <v>-0.10850676616208341</v>
      </c>
      <c r="I50">
        <v>-1.4589186332964261E-2</v>
      </c>
      <c r="J50">
        <v>7.0342139135180004E-2</v>
      </c>
      <c r="K50">
        <v>-9.4535131545705975E-2</v>
      </c>
      <c r="L50">
        <v>-9.2088929464821945E-2</v>
      </c>
      <c r="M50">
        <v>-4.4704569959724473E-2</v>
      </c>
      <c r="N50">
        <v>-4.5295679676550522E-2</v>
      </c>
      <c r="O50">
        <v>4.7639768148119883E-2</v>
      </c>
      <c r="P50">
        <v>2.100732070801398E-2</v>
      </c>
      <c r="Q50">
        <v>-9.3531951265691138E-2</v>
      </c>
      <c r="R50">
        <v>-5.8907544689779351E-2</v>
      </c>
      <c r="S50">
        <v>-3.4816029085092487E-2</v>
      </c>
      <c r="T50">
        <v>6.7109076996576172E-2</v>
      </c>
      <c r="U50">
        <v>5.4167647977868057E-2</v>
      </c>
      <c r="V50">
        <v>3.4926576302795533E-2</v>
      </c>
      <c r="W50">
        <v>0.1757138169668862</v>
      </c>
      <c r="X50">
        <v>0.12783118991326781</v>
      </c>
      <c r="Y50">
        <v>0.17956451122799741</v>
      </c>
      <c r="Z50">
        <v>2.7246221765288049E-2</v>
      </c>
      <c r="AA50">
        <v>6.8844413081249292E-2</v>
      </c>
      <c r="AB50">
        <v>0.13953408751737079</v>
      </c>
      <c r="AC50">
        <v>0.10989535292860669</v>
      </c>
      <c r="AD50">
        <v>0.14345897235336119</v>
      </c>
      <c r="AE50">
        <v>0.21442875553330429</v>
      </c>
      <c r="AF50">
        <v>0.2160333122677259</v>
      </c>
      <c r="AG50">
        <v>0.18885608629368589</v>
      </c>
      <c r="AH50">
        <v>0.20048285028830079</v>
      </c>
      <c r="AI50">
        <v>0.21416967502481121</v>
      </c>
      <c r="AJ50">
        <v>0.22564919846414291</v>
      </c>
      <c r="AK50">
        <v>0.18637858434900639</v>
      </c>
      <c r="AL50">
        <v>0.17868533624924099</v>
      </c>
      <c r="AM50">
        <v>0.29320279642078462</v>
      </c>
      <c r="AN50">
        <v>0.21544683405117709</v>
      </c>
      <c r="AO50">
        <v>0.29171140729021722</v>
      </c>
      <c r="AP50">
        <v>0.38199061762755282</v>
      </c>
      <c r="AQ50">
        <v>0.32640231537072989</v>
      </c>
      <c r="AR50">
        <v>0.38338973063118181</v>
      </c>
      <c r="AS50">
        <v>0.53862181495115524</v>
      </c>
      <c r="AT50">
        <v>0.17288475170670001</v>
      </c>
      <c r="AU50">
        <v>0.40755042688990689</v>
      </c>
      <c r="AV50">
        <v>0.42125425822387291</v>
      </c>
      <c r="AW50">
        <v>0.58612981638863226</v>
      </c>
      <c r="AX50">
        <v>1</v>
      </c>
      <c r="AY50">
        <v>0.49864866371918087</v>
      </c>
      <c r="AZ50">
        <v>0.2843976868048908</v>
      </c>
      <c r="BA50">
        <v>0.40226470547812038</v>
      </c>
      <c r="BB50">
        <v>0.21209097403827429</v>
      </c>
      <c r="BC50">
        <v>0.26924927027846679</v>
      </c>
    </row>
    <row r="51" spans="1:55" x14ac:dyDescent="0.35">
      <c r="A51" s="1" t="s">
        <v>49</v>
      </c>
      <c r="B51">
        <v>1.9651881772013172E-2</v>
      </c>
      <c r="C51">
        <v>-8.4997131584373803E-2</v>
      </c>
      <c r="D51">
        <v>-0.13970245715113211</v>
      </c>
      <c r="E51">
        <v>-7.7674822305040456E-2</v>
      </c>
      <c r="F51">
        <v>-0.22775141727704151</v>
      </c>
      <c r="G51">
        <v>-3.963733300090376E-2</v>
      </c>
      <c r="H51">
        <v>-5.8355106250900296E-3</v>
      </c>
      <c r="I51">
        <v>2.2763488236853431E-3</v>
      </c>
      <c r="J51">
        <v>3.9014266023176321E-2</v>
      </c>
      <c r="K51">
        <v>-3.8572591239767709E-2</v>
      </c>
      <c r="L51">
        <v>-9.7959670995203044E-2</v>
      </c>
      <c r="M51">
        <v>-4.6272912635045613E-2</v>
      </c>
      <c r="N51">
        <v>-6.4667087618931765E-2</v>
      </c>
      <c r="O51">
        <v>6.9661936731744575E-2</v>
      </c>
      <c r="P51">
        <v>-8.015867181885844E-2</v>
      </c>
      <c r="Q51">
        <v>8.2257564405829528E-2</v>
      </c>
      <c r="R51">
        <v>-0.1221840578273167</v>
      </c>
      <c r="S51">
        <v>3.8214793951642047E-2</v>
      </c>
      <c r="T51">
        <v>7.3346854719057442E-2</v>
      </c>
      <c r="U51">
        <v>9.3853065221211313E-2</v>
      </c>
      <c r="V51">
        <v>0.1680388967308831</v>
      </c>
      <c r="W51">
        <v>0.17316011753898641</v>
      </c>
      <c r="X51">
        <v>0.20390917718736071</v>
      </c>
      <c r="Y51">
        <v>0.24046899803909311</v>
      </c>
      <c r="Z51">
        <v>-4.9986545306990197E-2</v>
      </c>
      <c r="AA51">
        <v>6.3687705676082187E-2</v>
      </c>
      <c r="AB51">
        <v>0.14471394546178501</v>
      </c>
      <c r="AC51">
        <v>4.9916643491094648E-2</v>
      </c>
      <c r="AD51">
        <v>0.1907726625845452</v>
      </c>
      <c r="AE51">
        <v>0.27160848961226808</v>
      </c>
      <c r="AF51">
        <v>0.26948190977207431</v>
      </c>
      <c r="AG51">
        <v>0.25044326394508548</v>
      </c>
      <c r="AH51">
        <v>0.1819757883246704</v>
      </c>
      <c r="AI51">
        <v>0.22238721031778691</v>
      </c>
      <c r="AJ51">
        <v>0.15791054766368401</v>
      </c>
      <c r="AK51">
        <v>0.21358664519857559</v>
      </c>
      <c r="AL51">
        <v>0.17985829275244331</v>
      </c>
      <c r="AM51">
        <v>0.1963346163297271</v>
      </c>
      <c r="AN51">
        <v>0.22674802937937691</v>
      </c>
      <c r="AO51">
        <v>0.2564026050342143</v>
      </c>
      <c r="AP51">
        <v>0.30647634015390629</v>
      </c>
      <c r="AQ51">
        <v>0.24073603524994269</v>
      </c>
      <c r="AR51">
        <v>0.28739475013351778</v>
      </c>
      <c r="AS51">
        <v>0.47079508225236899</v>
      </c>
      <c r="AT51">
        <v>0.22513021469669139</v>
      </c>
      <c r="AU51">
        <v>0.30322426857481871</v>
      </c>
      <c r="AV51">
        <v>0.44001463399200941</v>
      </c>
      <c r="AW51">
        <v>0.4293573442811382</v>
      </c>
      <c r="AX51">
        <v>0.49864866371918087</v>
      </c>
      <c r="AY51">
        <v>1</v>
      </c>
      <c r="AZ51">
        <v>0.50179381959193825</v>
      </c>
      <c r="BA51">
        <v>0.3844758144299707</v>
      </c>
      <c r="BB51">
        <v>-1.0790493213652729E-2</v>
      </c>
      <c r="BC51">
        <v>0.50187263825676243</v>
      </c>
    </row>
    <row r="52" spans="1:55" x14ac:dyDescent="0.35">
      <c r="A52" s="1" t="s">
        <v>50</v>
      </c>
      <c r="B52">
        <v>2.665392393741187E-2</v>
      </c>
      <c r="C52">
        <v>-2.733017658248231E-2</v>
      </c>
      <c r="D52">
        <v>-4.4374024583045998E-2</v>
      </c>
      <c r="E52">
        <v>-3.1129467930851799E-2</v>
      </c>
      <c r="F52">
        <v>-0.1051999092558161</v>
      </c>
      <c r="G52">
        <v>2.7650661884723308E-2</v>
      </c>
      <c r="H52">
        <v>-2.227232504016749E-2</v>
      </c>
      <c r="I52">
        <v>-2.1423112424957041E-3</v>
      </c>
      <c r="J52">
        <v>4.1806212636462531E-2</v>
      </c>
      <c r="K52">
        <v>-1.6074488536694249E-2</v>
      </c>
      <c r="L52">
        <v>-0.1016612783571786</v>
      </c>
      <c r="M52">
        <v>-3.1918180865955117E-2</v>
      </c>
      <c r="N52">
        <v>-3.5758120193221839E-2</v>
      </c>
      <c r="O52">
        <v>6.0200447439902667E-2</v>
      </c>
      <c r="P52">
        <v>-3.4786954208942428E-2</v>
      </c>
      <c r="Q52">
        <v>0.11704878977226379</v>
      </c>
      <c r="R52">
        <v>-4.9315302641919287E-2</v>
      </c>
      <c r="S52">
        <v>3.941625903898209E-2</v>
      </c>
      <c r="T52">
        <v>7.2281168165694909E-2</v>
      </c>
      <c r="U52">
        <v>2.849923237477674E-2</v>
      </c>
      <c r="V52">
        <v>0.10552826471251971</v>
      </c>
      <c r="W52">
        <v>0.11791613891625009</v>
      </c>
      <c r="X52">
        <v>0.10421894893669099</v>
      </c>
      <c r="Y52">
        <v>0.16452457267909551</v>
      </c>
      <c r="Z52">
        <v>-0.1006498942814678</v>
      </c>
      <c r="AA52">
        <v>3.3139027074698617E-2</v>
      </c>
      <c r="AB52">
        <v>5.7512840060201312E-2</v>
      </c>
      <c r="AC52">
        <v>1.3789511066121911E-2</v>
      </c>
      <c r="AD52">
        <v>0.1232985659816752</v>
      </c>
      <c r="AE52">
        <v>0.1594020115521976</v>
      </c>
      <c r="AF52">
        <v>0.16007358899088209</v>
      </c>
      <c r="AG52">
        <v>0.1178477540181114</v>
      </c>
      <c r="AH52">
        <v>8.5393915002316551E-2</v>
      </c>
      <c r="AI52">
        <v>0.12861260830881599</v>
      </c>
      <c r="AJ52">
        <v>9.8543220416522123E-2</v>
      </c>
      <c r="AK52">
        <v>0.13994927077516431</v>
      </c>
      <c r="AL52">
        <v>0.1164766400397137</v>
      </c>
      <c r="AM52">
        <v>0.13605717642763859</v>
      </c>
      <c r="AN52">
        <v>0.1246078058150883</v>
      </c>
      <c r="AO52">
        <v>0.16315117630293671</v>
      </c>
      <c r="AP52">
        <v>0.1963919500869992</v>
      </c>
      <c r="AQ52">
        <v>0.13898212206015331</v>
      </c>
      <c r="AR52">
        <v>0.18041619795698391</v>
      </c>
      <c r="AS52">
        <v>0.26519829827312119</v>
      </c>
      <c r="AT52">
        <v>0.1115402694038803</v>
      </c>
      <c r="AU52">
        <v>0.11124509893272751</v>
      </c>
      <c r="AV52">
        <v>0.24791513342547231</v>
      </c>
      <c r="AW52">
        <v>0.27383835468893081</v>
      </c>
      <c r="AX52">
        <v>0.2843976868048908</v>
      </c>
      <c r="AY52">
        <v>0.50179381959193825</v>
      </c>
      <c r="AZ52">
        <v>1</v>
      </c>
      <c r="BA52">
        <v>0.35639252308636032</v>
      </c>
      <c r="BB52">
        <v>4.1710104959533131E-2</v>
      </c>
      <c r="BC52">
        <v>0.30854306363037148</v>
      </c>
    </row>
    <row r="53" spans="1:55" x14ac:dyDescent="0.35">
      <c r="A53" s="1" t="s">
        <v>51</v>
      </c>
      <c r="B53">
        <v>5.8693076340858637E-2</v>
      </c>
      <c r="C53">
        <v>-9.5049238032774694E-2</v>
      </c>
      <c r="D53">
        <v>-0.15662156830171509</v>
      </c>
      <c r="E53">
        <v>-0.1312316066273474</v>
      </c>
      <c r="F53">
        <v>-0.19312932177823661</v>
      </c>
      <c r="G53">
        <v>-7.8955972939011521E-2</v>
      </c>
      <c r="H53">
        <v>-1.50212601371185E-2</v>
      </c>
      <c r="I53">
        <v>-4.4197592072042033E-2</v>
      </c>
      <c r="J53">
        <v>1.044247810490773E-2</v>
      </c>
      <c r="K53">
        <v>-3.8038372897855742E-2</v>
      </c>
      <c r="L53">
        <v>-0.10713341637259589</v>
      </c>
      <c r="M53">
        <v>-0.1122675378746658</v>
      </c>
      <c r="N53">
        <v>-6.6395652230834948E-2</v>
      </c>
      <c r="O53">
        <v>3.1106322785908431E-2</v>
      </c>
      <c r="P53">
        <v>-3.5253481887342182E-2</v>
      </c>
      <c r="Q53">
        <v>-5.804467763693083E-2</v>
      </c>
      <c r="R53">
        <v>-4.9439166286067947E-2</v>
      </c>
      <c r="S53">
        <v>4.5316625924677237E-2</v>
      </c>
      <c r="T53">
        <v>0.1289834565273765</v>
      </c>
      <c r="U53">
        <v>9.7373150207665501E-2</v>
      </c>
      <c r="V53">
        <v>0.15099953020395451</v>
      </c>
      <c r="W53">
        <v>0.2227701031345771</v>
      </c>
      <c r="X53">
        <v>0.161791690815457</v>
      </c>
      <c r="Y53">
        <v>0.193229945098676</v>
      </c>
      <c r="Z53">
        <v>5.8719092714107801E-2</v>
      </c>
      <c r="AA53">
        <v>4.5360638122518837E-2</v>
      </c>
      <c r="AB53">
        <v>2.5427858357875591E-2</v>
      </c>
      <c r="AC53">
        <v>6.0463282112579467E-2</v>
      </c>
      <c r="AD53">
        <v>9.2113362359406384E-2</v>
      </c>
      <c r="AE53">
        <v>0.1976622284967888</v>
      </c>
      <c r="AF53">
        <v>0.19550559009370869</v>
      </c>
      <c r="AG53">
        <v>0.18291368705732711</v>
      </c>
      <c r="AH53">
        <v>0.14667653161545999</v>
      </c>
      <c r="AI53">
        <v>0.14135256963161061</v>
      </c>
      <c r="AJ53">
        <v>0.14262046145054599</v>
      </c>
      <c r="AK53">
        <v>0.15086872983459571</v>
      </c>
      <c r="AL53">
        <v>0.17929141127897691</v>
      </c>
      <c r="AM53">
        <v>0.1796768334982552</v>
      </c>
      <c r="AN53">
        <v>0.12816356484934099</v>
      </c>
      <c r="AO53">
        <v>0.17265099096240061</v>
      </c>
      <c r="AP53">
        <v>0.23391852601091409</v>
      </c>
      <c r="AQ53">
        <v>0.23710473489213449</v>
      </c>
      <c r="AR53">
        <v>0.25923301434413037</v>
      </c>
      <c r="AS53">
        <v>0.39938912986524122</v>
      </c>
      <c r="AT53">
        <v>0.1630802895101699</v>
      </c>
      <c r="AU53">
        <v>0.33114338184041492</v>
      </c>
      <c r="AV53">
        <v>0.31385514931531783</v>
      </c>
      <c r="AW53">
        <v>0.5598897970291854</v>
      </c>
      <c r="AX53">
        <v>0.40226470547812038</v>
      </c>
      <c r="AY53">
        <v>0.3844758144299707</v>
      </c>
      <c r="AZ53">
        <v>0.35639252308636032</v>
      </c>
      <c r="BA53">
        <v>1</v>
      </c>
      <c r="BB53">
        <v>0.5494183851131863</v>
      </c>
      <c r="BC53">
        <v>0.34139029635630891</v>
      </c>
    </row>
    <row r="54" spans="1:55" x14ac:dyDescent="0.35">
      <c r="A54" s="1" t="s">
        <v>52</v>
      </c>
      <c r="B54">
        <v>5.3682309046593508E-3</v>
      </c>
      <c r="C54">
        <v>-8.5919469778620486E-2</v>
      </c>
      <c r="D54">
        <v>-0.15918423914755561</v>
      </c>
      <c r="E54">
        <v>-6.9281303886177759E-2</v>
      </c>
      <c r="F54">
        <v>-8.2988037606435236E-2</v>
      </c>
      <c r="G54">
        <v>-7.8023123219532475E-2</v>
      </c>
      <c r="H54">
        <v>-2.5867025821492439E-4</v>
      </c>
      <c r="I54">
        <v>-4.2112217225692153E-2</v>
      </c>
      <c r="J54">
        <v>2.4127860042630331E-2</v>
      </c>
      <c r="K54">
        <v>5.0519054569933081E-2</v>
      </c>
      <c r="L54">
        <v>-6.7381281897533993E-2</v>
      </c>
      <c r="M54">
        <v>-0.1101954263542257</v>
      </c>
      <c r="N54">
        <v>-9.6145136033537276E-2</v>
      </c>
      <c r="O54">
        <v>-2.1453490146705591E-2</v>
      </c>
      <c r="P54">
        <v>-3.7097898859877618E-2</v>
      </c>
      <c r="Q54">
        <v>-0.15856518828783089</v>
      </c>
      <c r="R54">
        <v>4.4363550086530638E-3</v>
      </c>
      <c r="S54">
        <v>1.366772706422761E-2</v>
      </c>
      <c r="T54">
        <v>8.7348024108299976E-2</v>
      </c>
      <c r="U54">
        <v>-9.0890172037286492E-4</v>
      </c>
      <c r="V54">
        <v>5.0039834871620677E-2</v>
      </c>
      <c r="W54">
        <v>0.12930687838780369</v>
      </c>
      <c r="X54">
        <v>4.0924907034466863E-2</v>
      </c>
      <c r="Y54">
        <v>7.8044940186791728E-2</v>
      </c>
      <c r="Z54">
        <v>0.1328938918468599</v>
      </c>
      <c r="AA54">
        <v>-2.2854355411254908E-2</v>
      </c>
      <c r="AB54">
        <v>-1.798977789411E-2</v>
      </c>
      <c r="AC54">
        <v>1.5538225543298321E-2</v>
      </c>
      <c r="AD54">
        <v>8.8884579614377148E-3</v>
      </c>
      <c r="AE54">
        <v>7.6474887519492898E-2</v>
      </c>
      <c r="AF54">
        <v>3.3391901709525468E-2</v>
      </c>
      <c r="AG54">
        <v>7.1888804860583133E-2</v>
      </c>
      <c r="AH54">
        <v>7.3439833722078865E-2</v>
      </c>
      <c r="AI54">
        <v>5.0490364039159782E-2</v>
      </c>
      <c r="AJ54">
        <v>6.1610410154323683E-2</v>
      </c>
      <c r="AK54">
        <v>1.836254372952038E-2</v>
      </c>
      <c r="AL54">
        <v>0.10175545557850579</v>
      </c>
      <c r="AM54">
        <v>8.2530212088005886E-2</v>
      </c>
      <c r="AN54">
        <v>9.3516254734270443E-2</v>
      </c>
      <c r="AO54">
        <v>0.1079680672515925</v>
      </c>
      <c r="AP54">
        <v>0.10294842600671519</v>
      </c>
      <c r="AQ54">
        <v>0.1254027014962415</v>
      </c>
      <c r="AR54">
        <v>0.10230426050315029</v>
      </c>
      <c r="AS54">
        <v>0.17317481657613429</v>
      </c>
      <c r="AT54">
        <v>6.7095103101574474E-2</v>
      </c>
      <c r="AU54">
        <v>0.2173301121267858</v>
      </c>
      <c r="AV54">
        <v>0.12399767577217111</v>
      </c>
      <c r="AW54">
        <v>0.26921751262130372</v>
      </c>
      <c r="AX54">
        <v>0.21209097403827429</v>
      </c>
      <c r="AY54">
        <v>-1.0790493213652729E-2</v>
      </c>
      <c r="AZ54">
        <v>4.1710104959533131E-2</v>
      </c>
      <c r="BA54">
        <v>0.5494183851131863</v>
      </c>
      <c r="BB54">
        <v>1</v>
      </c>
      <c r="BC54">
        <v>8.000804492912815E-2</v>
      </c>
    </row>
    <row r="55" spans="1:55" x14ac:dyDescent="0.35">
      <c r="A55" s="1" t="s">
        <v>53</v>
      </c>
      <c r="B55">
        <v>-2.875620169138554E-3</v>
      </c>
      <c r="C55">
        <v>-7.7112841478440025E-2</v>
      </c>
      <c r="D55">
        <v>-0.1345796973032079</v>
      </c>
      <c r="E55">
        <v>-5.9678946667919279E-2</v>
      </c>
      <c r="F55">
        <v>-0.16027267316236959</v>
      </c>
      <c r="G55">
        <v>-4.306052812430556E-2</v>
      </c>
      <c r="H55">
        <v>1.8656805232473109E-2</v>
      </c>
      <c r="I55">
        <v>3.5208800998951642E-2</v>
      </c>
      <c r="J55">
        <v>3.7408355533243093E-2</v>
      </c>
      <c r="K55">
        <v>-3.807488203827742E-2</v>
      </c>
      <c r="L55">
        <v>-5.8606914566430732E-2</v>
      </c>
      <c r="M55">
        <v>-8.7285287743320603E-2</v>
      </c>
      <c r="N55">
        <v>-4.486516237915144E-2</v>
      </c>
      <c r="O55">
        <v>3.2097520601861869E-3</v>
      </c>
      <c r="P55">
        <v>-5.376066942243958E-2</v>
      </c>
      <c r="Q55">
        <v>5.8536857231530973E-2</v>
      </c>
      <c r="R55">
        <v>-7.0813725264993951E-2</v>
      </c>
      <c r="S55">
        <v>3.565715476482343E-2</v>
      </c>
      <c r="T55">
        <v>8.4387876509146184E-2</v>
      </c>
      <c r="U55">
        <v>0.1139633216907899</v>
      </c>
      <c r="V55">
        <v>0.2142117986936167</v>
      </c>
      <c r="W55">
        <v>0.21123720506781021</v>
      </c>
      <c r="X55">
        <v>0.13663370485443829</v>
      </c>
      <c r="Y55">
        <v>0.13772878037554301</v>
      </c>
      <c r="Z55">
        <v>-5.7978308235964879E-2</v>
      </c>
      <c r="AA55">
        <v>2.8986451125778811E-3</v>
      </c>
      <c r="AB55">
        <v>5.9265450245938718E-2</v>
      </c>
      <c r="AC55">
        <v>3.1094673211520759E-2</v>
      </c>
      <c r="AD55">
        <v>0.1072523003189309</v>
      </c>
      <c r="AE55">
        <v>0.18632074138621291</v>
      </c>
      <c r="AF55">
        <v>0.19220596082903191</v>
      </c>
      <c r="AG55">
        <v>0.15982311001231381</v>
      </c>
      <c r="AH55">
        <v>0.141097878912289</v>
      </c>
      <c r="AI55">
        <v>0.1513236997026933</v>
      </c>
      <c r="AJ55">
        <v>0.12333612924439361</v>
      </c>
      <c r="AK55">
        <v>0.14753592582026431</v>
      </c>
      <c r="AL55">
        <v>0.17130798069110431</v>
      </c>
      <c r="AM55">
        <v>0.184556226248832</v>
      </c>
      <c r="AN55">
        <v>0.12951624364635461</v>
      </c>
      <c r="AO55">
        <v>0.18807317909541399</v>
      </c>
      <c r="AP55">
        <v>0.21808080388999551</v>
      </c>
      <c r="AQ55">
        <v>0.19450433199596401</v>
      </c>
      <c r="AR55">
        <v>0.26942604400321502</v>
      </c>
      <c r="AS55">
        <v>0.38385665552037079</v>
      </c>
      <c r="AT55">
        <v>0.13430656450442921</v>
      </c>
      <c r="AU55">
        <v>0.23814245541837931</v>
      </c>
      <c r="AV55">
        <v>0.28073406316015942</v>
      </c>
      <c r="AW55">
        <v>0.29774672205629371</v>
      </c>
      <c r="AX55">
        <v>0.26924927027846679</v>
      </c>
      <c r="AY55">
        <v>0.50187263825676243</v>
      </c>
      <c r="AZ55">
        <v>0.30854306363037148</v>
      </c>
      <c r="BA55">
        <v>0.34139029635630891</v>
      </c>
      <c r="BB55">
        <v>8.000804492912815E-2</v>
      </c>
      <c r="BC55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C55"/>
  <sheetViews>
    <sheetView workbookViewId="0"/>
  </sheetViews>
  <sheetFormatPr defaultRowHeight="14.5" x14ac:dyDescent="0.35"/>
  <sheetData>
    <row r="1" spans="1:55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</row>
    <row r="2" spans="1:55" x14ac:dyDescent="0.35">
      <c r="A2" s="1" t="s">
        <v>0</v>
      </c>
      <c r="B2">
        <v>1</v>
      </c>
      <c r="C2">
        <v>4.6166572301189687E-2</v>
      </c>
      <c r="D2">
        <v>2.2916027847241279E-3</v>
      </c>
      <c r="E2">
        <v>3.9664366465042714E-3</v>
      </c>
      <c r="F2">
        <v>1.389922549784775E-2</v>
      </c>
      <c r="G2">
        <v>4.3638702938501757E-2</v>
      </c>
      <c r="H2">
        <v>-3.0559556171126708E-3</v>
      </c>
      <c r="I2">
        <v>2.7437805372255812E-3</v>
      </c>
      <c r="J2">
        <v>-1.6542420767120839E-3</v>
      </c>
      <c r="K2">
        <v>-7.8096049812231491E-3</v>
      </c>
      <c r="L2">
        <v>2.661651202498877E-2</v>
      </c>
      <c r="M2">
        <v>1.1703351233751449E-2</v>
      </c>
      <c r="N2">
        <v>5.1458391965150681E-2</v>
      </c>
      <c r="O2">
        <v>3.8770112495368228E-2</v>
      </c>
      <c r="P2">
        <v>3.2850388915530243E-2</v>
      </c>
      <c r="Q2">
        <v>7.4617060727742782E-2</v>
      </c>
      <c r="R2">
        <v>9.8168827840109885E-2</v>
      </c>
      <c r="S2">
        <v>0.15482246301108271</v>
      </c>
      <c r="T2">
        <v>2.319576517014274E-2</v>
      </c>
      <c r="U2">
        <v>3.5427703052689358E-2</v>
      </c>
      <c r="V2">
        <v>3.8958986827527582E-2</v>
      </c>
      <c r="W2">
        <v>4.2716346997672412E-2</v>
      </c>
      <c r="X2">
        <v>2.5867723973835969E-2</v>
      </c>
      <c r="Y2">
        <v>3.52794728206344E-2</v>
      </c>
      <c r="Z2">
        <v>3.0550522234411619E-2</v>
      </c>
      <c r="AA2">
        <v>2.6865018963826429E-2</v>
      </c>
      <c r="AB2">
        <v>3.4275302679619507E-2</v>
      </c>
      <c r="AC2">
        <v>3.7807735072260512E-2</v>
      </c>
      <c r="AD2">
        <v>1.114774476637675E-2</v>
      </c>
      <c r="AE2">
        <v>-1.7050844752851919E-2</v>
      </c>
      <c r="AF2">
        <v>4.7317943310416829E-3</v>
      </c>
      <c r="AG2">
        <v>1.512540923167603E-2</v>
      </c>
      <c r="AH2">
        <v>1.665121157290814E-2</v>
      </c>
      <c r="AI2">
        <v>-8.3001189095866061E-3</v>
      </c>
      <c r="AJ2">
        <v>-1.479142833020078E-2</v>
      </c>
      <c r="AK2">
        <v>-3.0298141425999479E-2</v>
      </c>
      <c r="AL2">
        <v>-4.3648709858339352E-2</v>
      </c>
      <c r="AM2">
        <v>-1.384674891772757E-2</v>
      </c>
      <c r="AN2">
        <v>-1.477058145859737E-2</v>
      </c>
      <c r="AO2">
        <v>-4.9817980906431206E-3</v>
      </c>
      <c r="AP2">
        <v>1.4760052638520489E-2</v>
      </c>
      <c r="AQ2">
        <v>3.689392419019786E-3</v>
      </c>
      <c r="AR2">
        <v>5.2403754439382048E-2</v>
      </c>
      <c r="AS2">
        <v>6.2299915515895811E-4</v>
      </c>
      <c r="AT2">
        <v>2.149690683255626E-2</v>
      </c>
      <c r="AU2">
        <v>1.024990068265263E-2</v>
      </c>
      <c r="AV2">
        <v>-7.647856582507967E-5</v>
      </c>
      <c r="AW2">
        <v>9.7121090416782078E-3</v>
      </c>
      <c r="AX2">
        <v>7.2988377080444638E-4</v>
      </c>
      <c r="AY2">
        <v>2.631468022674362E-2</v>
      </c>
      <c r="AZ2">
        <v>3.7679321671772281E-3</v>
      </c>
      <c r="BA2">
        <v>-1.65932611208187E-2</v>
      </c>
      <c r="BB2">
        <v>-4.8845242427064547E-2</v>
      </c>
      <c r="BC2">
        <v>-2.6175296724434E-2</v>
      </c>
    </row>
    <row r="3" spans="1:55" x14ac:dyDescent="0.35">
      <c r="A3" s="1" t="s">
        <v>1</v>
      </c>
      <c r="B3">
        <v>4.6166572301189687E-2</v>
      </c>
      <c r="C3">
        <v>1</v>
      </c>
      <c r="D3">
        <v>0.75113307308818089</v>
      </c>
      <c r="E3">
        <v>0.66882698538083274</v>
      </c>
      <c r="F3">
        <v>0.7103706336397948</v>
      </c>
      <c r="G3">
        <v>0.75155658497216393</v>
      </c>
      <c r="H3">
        <v>0.33160024488916101</v>
      </c>
      <c r="I3">
        <v>0.2109346673396548</v>
      </c>
      <c r="J3">
        <v>0.21991532196516839</v>
      </c>
      <c r="K3">
        <v>4.6122686267781828E-2</v>
      </c>
      <c r="L3">
        <v>-0.1670520919460009</v>
      </c>
      <c r="M3">
        <v>1.515206764550508E-2</v>
      </c>
      <c r="N3">
        <v>0.2869660921229501</v>
      </c>
      <c r="O3">
        <v>-2.5012181251859771E-2</v>
      </c>
      <c r="P3">
        <v>-3.8771053622590279E-3</v>
      </c>
      <c r="Q3">
        <v>0.42305903848054222</v>
      </c>
      <c r="R3">
        <v>2.3618870702182038E-2</v>
      </c>
      <c r="S3">
        <v>3.8584744829179868E-2</v>
      </c>
      <c r="T3">
        <v>-8.1094510619267368E-2</v>
      </c>
      <c r="U3">
        <v>-2.2271674390659409E-2</v>
      </c>
      <c r="V3">
        <v>-3.0725406398879319E-2</v>
      </c>
      <c r="W3">
        <v>-0.13856662915941181</v>
      </c>
      <c r="X3">
        <v>-6.8383264292623841E-2</v>
      </c>
      <c r="Y3">
        <v>3.645721009031011E-2</v>
      </c>
      <c r="Z3">
        <v>4.0702747837182661E-2</v>
      </c>
      <c r="AA3">
        <v>4.3561915696750553E-2</v>
      </c>
      <c r="AB3">
        <v>-6.6514477766236604E-2</v>
      </c>
      <c r="AC3">
        <v>-5.5330729838777709E-2</v>
      </c>
      <c r="AD3">
        <v>1.7771096291834591E-2</v>
      </c>
      <c r="AE3">
        <v>1.169061268296139E-2</v>
      </c>
      <c r="AF3">
        <v>3.6528002087015697E-2</v>
      </c>
      <c r="AG3">
        <v>-2.9602997637862241E-2</v>
      </c>
      <c r="AH3">
        <v>-3.8233981425487493E-2</v>
      </c>
      <c r="AI3">
        <v>-5.1145432519381549E-2</v>
      </c>
      <c r="AJ3">
        <v>-5.1813308321167997E-2</v>
      </c>
      <c r="AK3">
        <v>-5.1663958815434258E-2</v>
      </c>
      <c r="AL3">
        <v>-1.148539559092273E-2</v>
      </c>
      <c r="AM3">
        <v>-8.9494764120717895E-3</v>
      </c>
      <c r="AN3">
        <v>-5.4427815088546487E-2</v>
      </c>
      <c r="AO3">
        <v>-4.2984848395400031E-2</v>
      </c>
      <c r="AP3">
        <v>-5.9933004294662508E-2</v>
      </c>
      <c r="AQ3">
        <v>-3.2062459842536403E-2</v>
      </c>
      <c r="AR3">
        <v>8.0503387731842139E-4</v>
      </c>
      <c r="AS3">
        <v>-4.5979798078863874E-3</v>
      </c>
      <c r="AT3">
        <v>1.6273445867169601E-2</v>
      </c>
      <c r="AU3">
        <v>6.0009902430375968E-2</v>
      </c>
      <c r="AV3">
        <v>-2.2195735795778292E-2</v>
      </c>
      <c r="AW3">
        <v>3.6942806704460797E-2</v>
      </c>
      <c r="AX3">
        <v>-8.1411746263638819E-3</v>
      </c>
      <c r="AY3">
        <v>-5.6119716881265019E-2</v>
      </c>
      <c r="AZ3">
        <v>-6.5337922568003248E-2</v>
      </c>
      <c r="BA3">
        <v>-0.1117763108062392</v>
      </c>
      <c r="BB3">
        <v>4.0222487320655843E-3</v>
      </c>
      <c r="BC3">
        <v>8.1044982304721812E-3</v>
      </c>
    </row>
    <row r="4" spans="1:55" x14ac:dyDescent="0.35">
      <c r="A4" s="1" t="s">
        <v>2</v>
      </c>
      <c r="B4">
        <v>2.2916027847241279E-3</v>
      </c>
      <c r="C4">
        <v>0.75113307308818089</v>
      </c>
      <c r="D4">
        <v>1</v>
      </c>
      <c r="E4">
        <v>0.72234019055904575</v>
      </c>
      <c r="F4">
        <v>0.68321240564219821</v>
      </c>
      <c r="G4">
        <v>0.51959180561801266</v>
      </c>
      <c r="H4">
        <v>0.34261707081266102</v>
      </c>
      <c r="I4">
        <v>0.24196335166435759</v>
      </c>
      <c r="J4">
        <v>0.23165144328935749</v>
      </c>
      <c r="K4">
        <v>0.13619384477628091</v>
      </c>
      <c r="L4">
        <v>-0.10737198555797681</v>
      </c>
      <c r="M4">
        <v>9.0080735146754534E-3</v>
      </c>
      <c r="N4">
        <v>0.17298587183821579</v>
      </c>
      <c r="O4">
        <v>-4.811370126196742E-3</v>
      </c>
      <c r="P4">
        <v>-6.2016717572176049E-2</v>
      </c>
      <c r="Q4">
        <v>0.36029141034413181</v>
      </c>
      <c r="R4">
        <v>4.5955952244231997E-2</v>
      </c>
      <c r="S4">
        <v>6.8390637488389958E-2</v>
      </c>
      <c r="T4">
        <v>2.3474852774241741E-2</v>
      </c>
      <c r="U4">
        <v>-2.5097846228581619E-2</v>
      </c>
      <c r="V4">
        <v>-3.1801189668867143E-2</v>
      </c>
      <c r="W4">
        <v>-0.1242735538136823</v>
      </c>
      <c r="X4">
        <v>-5.7116506128592611E-3</v>
      </c>
      <c r="Y4">
        <v>6.5872404649666899E-2</v>
      </c>
      <c r="Z4">
        <v>7.5242623448935606E-2</v>
      </c>
      <c r="AA4">
        <v>-3.210881538726877E-3</v>
      </c>
      <c r="AB4">
        <v>-8.9173216171826677E-2</v>
      </c>
      <c r="AC4">
        <v>-6.7182076543203254E-2</v>
      </c>
      <c r="AD4">
        <v>2.888185577357661E-2</v>
      </c>
      <c r="AE4">
        <v>6.2435722450567083E-2</v>
      </c>
      <c r="AF4">
        <v>6.4323888894120482E-2</v>
      </c>
      <c r="AG4">
        <v>-3.2723182257601263E-2</v>
      </c>
      <c r="AH4">
        <v>-7.266201456408021E-2</v>
      </c>
      <c r="AI4">
        <v>-6.9769143150487919E-2</v>
      </c>
      <c r="AJ4">
        <v>-8.1884606840031279E-2</v>
      </c>
      <c r="AK4">
        <v>-0.1147211941483631</v>
      </c>
      <c r="AL4">
        <v>-4.2710801235677207E-2</v>
      </c>
      <c r="AM4">
        <v>-4.6823191372137377E-2</v>
      </c>
      <c r="AN4">
        <v>-8.4784052443246646E-2</v>
      </c>
      <c r="AO4">
        <v>-5.4350850689243009E-2</v>
      </c>
      <c r="AP4">
        <v>-7.4065055346172942E-2</v>
      </c>
      <c r="AQ4">
        <v>9.255974330887028E-3</v>
      </c>
      <c r="AR4">
        <v>2.785888977918104E-2</v>
      </c>
      <c r="AS4">
        <v>-1.672603574992464E-2</v>
      </c>
      <c r="AT4">
        <v>4.2727878356242387E-2</v>
      </c>
      <c r="AU4">
        <v>8.029241148112215E-2</v>
      </c>
      <c r="AV4">
        <v>4.9874134915671949E-2</v>
      </c>
      <c r="AW4">
        <v>-2.286403221945325E-2</v>
      </c>
      <c r="AX4">
        <v>8.5655258767800471E-3</v>
      </c>
      <c r="AY4">
        <v>-3.045341265617393E-2</v>
      </c>
      <c r="AZ4">
        <v>-7.8197255851494396E-2</v>
      </c>
      <c r="BA4">
        <v>-8.6466310989588666E-2</v>
      </c>
      <c r="BB4">
        <v>-1.1389405771066469E-2</v>
      </c>
      <c r="BC4">
        <v>-5.3679475141623863E-2</v>
      </c>
    </row>
    <row r="5" spans="1:55" x14ac:dyDescent="0.35">
      <c r="A5" s="1" t="s">
        <v>3</v>
      </c>
      <c r="B5">
        <v>3.9664366465042714E-3</v>
      </c>
      <c r="C5">
        <v>0.66882698538083274</v>
      </c>
      <c r="D5">
        <v>0.72234019055904575</v>
      </c>
      <c r="E5">
        <v>1</v>
      </c>
      <c r="F5">
        <v>0.80042429825516381</v>
      </c>
      <c r="G5">
        <v>0.57440373525522725</v>
      </c>
      <c r="H5">
        <v>0.2325419759423884</v>
      </c>
      <c r="I5">
        <v>0.18510843957406109</v>
      </c>
      <c r="J5">
        <v>0.1105007389650163</v>
      </c>
      <c r="K5">
        <v>7.4139162778310383E-2</v>
      </c>
      <c r="L5">
        <v>-0.14683435635712319</v>
      </c>
      <c r="M5">
        <v>2.9947756469083969E-2</v>
      </c>
      <c r="N5">
        <v>0.23103886079418801</v>
      </c>
      <c r="O5">
        <v>-2.7440095266920369E-2</v>
      </c>
      <c r="P5">
        <v>-7.9301426828636085E-2</v>
      </c>
      <c r="Q5">
        <v>0.35549749047552609</v>
      </c>
      <c r="R5">
        <v>5.0304749896255233E-2</v>
      </c>
      <c r="S5">
        <v>-3.6560965527113763E-2</v>
      </c>
      <c r="T5">
        <v>-0.20834117383012779</v>
      </c>
      <c r="U5">
        <v>-6.9972264033142773E-2</v>
      </c>
      <c r="V5">
        <v>-0.1017352001097679</v>
      </c>
      <c r="W5">
        <v>-0.21908832786499649</v>
      </c>
      <c r="X5">
        <v>-7.256023852969648E-2</v>
      </c>
      <c r="Y5">
        <v>6.3208007165125773E-3</v>
      </c>
      <c r="Z5">
        <v>-3.9911900951293093E-3</v>
      </c>
      <c r="AA5">
        <v>-1.55486153906968E-2</v>
      </c>
      <c r="AB5">
        <v>-0.12717406054670791</v>
      </c>
      <c r="AC5">
        <v>-0.1227791336923159</v>
      </c>
      <c r="AD5">
        <v>-8.0344461528097877E-2</v>
      </c>
      <c r="AE5">
        <v>-2.142093021430087E-2</v>
      </c>
      <c r="AF5">
        <v>-5.3520368045828466E-3</v>
      </c>
      <c r="AG5">
        <v>-7.603997969642283E-2</v>
      </c>
      <c r="AH5">
        <v>-9.6343157404188112E-2</v>
      </c>
      <c r="AI5">
        <v>-8.149509251237913E-2</v>
      </c>
      <c r="AJ5">
        <v>-0.10563304995666729</v>
      </c>
      <c r="AK5">
        <v>-8.6519980759595411E-2</v>
      </c>
      <c r="AL5">
        <v>-4.2599317640643009E-2</v>
      </c>
      <c r="AM5">
        <v>-3.5675907161222778E-2</v>
      </c>
      <c r="AN5">
        <v>-9.0400112837384056E-2</v>
      </c>
      <c r="AO5">
        <v>-4.8063116311830682E-2</v>
      </c>
      <c r="AP5">
        <v>-0.10317722081984319</v>
      </c>
      <c r="AQ5">
        <v>2.484855435956316E-3</v>
      </c>
      <c r="AR5">
        <v>-1.1226058235595899E-2</v>
      </c>
      <c r="AS5">
        <v>-2.0366681806575991E-2</v>
      </c>
      <c r="AT5">
        <v>-2.305079744346248E-2</v>
      </c>
      <c r="AU5">
        <v>6.3199490559329316E-2</v>
      </c>
      <c r="AV5">
        <v>1.3709045604729081E-2</v>
      </c>
      <c r="AW5">
        <v>7.8890305279823835E-3</v>
      </c>
      <c r="AX5">
        <v>2.693046335115229E-2</v>
      </c>
      <c r="AY5">
        <v>-1.9578995363265302E-2</v>
      </c>
      <c r="AZ5">
        <v>-7.2831075540700466E-2</v>
      </c>
      <c r="BA5">
        <v>-0.151212327143599</v>
      </c>
      <c r="BB5">
        <v>-4.3971188503715301E-4</v>
      </c>
      <c r="BC5">
        <v>1.491784874712454E-2</v>
      </c>
    </row>
    <row r="6" spans="1:55" x14ac:dyDescent="0.35">
      <c r="A6" s="1" t="s">
        <v>4</v>
      </c>
      <c r="B6">
        <v>1.389922549784775E-2</v>
      </c>
      <c r="C6">
        <v>0.7103706336397948</v>
      </c>
      <c r="D6">
        <v>0.68321240564219821</v>
      </c>
      <c r="E6">
        <v>0.80042429825516381</v>
      </c>
      <c r="F6">
        <v>1</v>
      </c>
      <c r="G6">
        <v>0.64201192538464369</v>
      </c>
      <c r="H6">
        <v>0.22793442947995471</v>
      </c>
      <c r="I6">
        <v>0.21674499625142829</v>
      </c>
      <c r="J6">
        <v>0.16744955076324541</v>
      </c>
      <c r="K6">
        <v>7.9485296753182763E-2</v>
      </c>
      <c r="L6">
        <v>-0.12618196476762139</v>
      </c>
      <c r="M6">
        <v>3.377488982403495E-3</v>
      </c>
      <c r="N6">
        <v>0.27623295239180468</v>
      </c>
      <c r="O6">
        <v>-3.231268740024152E-2</v>
      </c>
      <c r="P6">
        <v>-7.9414051316720524E-2</v>
      </c>
      <c r="Q6">
        <v>0.42315730578524829</v>
      </c>
      <c r="R6">
        <v>2.4133560006335941E-2</v>
      </c>
      <c r="S6">
        <v>-3.8655815190838078E-2</v>
      </c>
      <c r="T6">
        <v>-0.17889023334844811</v>
      </c>
      <c r="U6">
        <v>-5.8649244105264342E-2</v>
      </c>
      <c r="V6">
        <v>-9.1282489981582476E-2</v>
      </c>
      <c r="W6">
        <v>-0.21220733276122311</v>
      </c>
      <c r="X6">
        <v>-7.5533897091354968E-2</v>
      </c>
      <c r="Y6">
        <v>2.0088197050034218E-2</v>
      </c>
      <c r="Z6">
        <v>2.0278303794165958E-3</v>
      </c>
      <c r="AA6">
        <v>1.8333313938253101E-2</v>
      </c>
      <c r="AB6">
        <v>-0.1261469711239406</v>
      </c>
      <c r="AC6">
        <v>-6.8531948585692934E-2</v>
      </c>
      <c r="AD6">
        <v>-4.5115636664383512E-3</v>
      </c>
      <c r="AE6">
        <v>8.0770007954709937E-3</v>
      </c>
      <c r="AF6">
        <v>3.8262042620828898E-2</v>
      </c>
      <c r="AG6">
        <v>-6.0360889685760387E-2</v>
      </c>
      <c r="AH6">
        <v>-8.7180964797571522E-2</v>
      </c>
      <c r="AI6">
        <v>-7.8422109382965663E-2</v>
      </c>
      <c r="AJ6">
        <v>-0.1210871100634182</v>
      </c>
      <c r="AK6">
        <v>-6.172292838741103E-2</v>
      </c>
      <c r="AL6">
        <v>-1.004686874654168E-2</v>
      </c>
      <c r="AM6">
        <v>-3.4808356804551049E-3</v>
      </c>
      <c r="AN6">
        <v>-9.6882868825783369E-2</v>
      </c>
      <c r="AO6">
        <v>-4.513451949397939E-2</v>
      </c>
      <c r="AP6">
        <v>-8.3196145957615417E-2</v>
      </c>
      <c r="AQ6">
        <v>-4.3121994403112207E-2</v>
      </c>
      <c r="AR6">
        <v>-4.1021735849438773E-2</v>
      </c>
      <c r="AS6">
        <v>-2.4280481382050679E-2</v>
      </c>
      <c r="AT6">
        <v>5.7457036151732532E-2</v>
      </c>
      <c r="AU6">
        <v>0.1026785321552983</v>
      </c>
      <c r="AV6">
        <v>5.1049405056463312E-2</v>
      </c>
      <c r="AW6">
        <v>6.2337242072979027E-2</v>
      </c>
      <c r="AX6">
        <v>2.702445994548534E-2</v>
      </c>
      <c r="AY6">
        <v>-3.885823560522287E-2</v>
      </c>
      <c r="AZ6">
        <v>-1.192432664713149E-2</v>
      </c>
      <c r="BA6">
        <v>-0.1058615662321815</v>
      </c>
      <c r="BB6">
        <v>2.8487067162852112E-2</v>
      </c>
      <c r="BC6">
        <v>7.6221649197339009E-2</v>
      </c>
    </row>
    <row r="7" spans="1:55" x14ac:dyDescent="0.35">
      <c r="A7" s="1" t="s">
        <v>5</v>
      </c>
      <c r="B7">
        <v>4.3638702938501757E-2</v>
      </c>
      <c r="C7">
        <v>0.75155658497216393</v>
      </c>
      <c r="D7">
        <v>0.51959180561801266</v>
      </c>
      <c r="E7">
        <v>0.57440373525522725</v>
      </c>
      <c r="F7">
        <v>0.64201192538464369</v>
      </c>
      <c r="G7">
        <v>1</v>
      </c>
      <c r="H7">
        <v>0.2412726911481608</v>
      </c>
      <c r="I7">
        <v>0.14370594039300469</v>
      </c>
      <c r="J7">
        <v>0.1186295710317339</v>
      </c>
      <c r="K7">
        <v>1.6860245178336709E-2</v>
      </c>
      <c r="L7">
        <v>-0.1713053879475076</v>
      </c>
      <c r="M7">
        <v>-1.062054800530152E-2</v>
      </c>
      <c r="N7">
        <v>0.33872058971380747</v>
      </c>
      <c r="O7">
        <v>-5.428465892597557E-3</v>
      </c>
      <c r="P7">
        <v>5.9192517333693439E-3</v>
      </c>
      <c r="Q7">
        <v>0.37741509778244953</v>
      </c>
      <c r="R7">
        <v>1.3131795014275281E-2</v>
      </c>
      <c r="S7">
        <v>-4.2285253962460773E-2</v>
      </c>
      <c r="T7">
        <v>-0.21761343581452749</v>
      </c>
      <c r="U7">
        <v>-4.1895340652451603E-2</v>
      </c>
      <c r="V7">
        <v>-3.1613469013048359E-2</v>
      </c>
      <c r="W7">
        <v>-0.1719490979393262</v>
      </c>
      <c r="X7">
        <v>-0.13450583621058021</v>
      </c>
      <c r="Y7">
        <v>-3.7251734457058552E-2</v>
      </c>
      <c r="Z7">
        <v>-2.6733798430070569E-2</v>
      </c>
      <c r="AA7">
        <v>2.726192481795657E-2</v>
      </c>
      <c r="AB7">
        <v>-7.6975000167324406E-2</v>
      </c>
      <c r="AC7">
        <v>-6.354601165928965E-2</v>
      </c>
      <c r="AD7">
        <v>-4.2474979162629267E-2</v>
      </c>
      <c r="AE7">
        <v>-4.1008826523157772E-2</v>
      </c>
      <c r="AF7">
        <v>-1.0717046274019201E-2</v>
      </c>
      <c r="AG7">
        <v>-6.9280018256076284E-2</v>
      </c>
      <c r="AH7">
        <v>-6.8063323781807836E-2</v>
      </c>
      <c r="AI7">
        <v>-8.3966504704979239E-2</v>
      </c>
      <c r="AJ7">
        <v>-7.134751356832772E-2</v>
      </c>
      <c r="AK7">
        <v>-3.9561422638361737E-2</v>
      </c>
      <c r="AL7">
        <v>-2.457100510018647E-2</v>
      </c>
      <c r="AM7">
        <v>1.039695817846774E-2</v>
      </c>
      <c r="AN7">
        <v>-6.1377490137709947E-2</v>
      </c>
      <c r="AO7">
        <v>-4.3803468603684899E-2</v>
      </c>
      <c r="AP7">
        <v>-7.0475232907508387E-2</v>
      </c>
      <c r="AQ7">
        <v>-3.7375039122943543E-2</v>
      </c>
      <c r="AR7">
        <v>-3.879673468041954E-2</v>
      </c>
      <c r="AS7">
        <v>-3.3107966872277253E-2</v>
      </c>
      <c r="AT7">
        <v>-3.2067725976076711E-2</v>
      </c>
      <c r="AU7">
        <v>3.2712944724059931E-2</v>
      </c>
      <c r="AV7">
        <v>-9.7092079752154045E-2</v>
      </c>
      <c r="AW7">
        <v>4.907314274634135E-2</v>
      </c>
      <c r="AX7">
        <v>-3.3039596939350838E-2</v>
      </c>
      <c r="AY7">
        <v>-8.3001895434639802E-2</v>
      </c>
      <c r="AZ7">
        <v>-8.1024791254028311E-2</v>
      </c>
      <c r="BA7">
        <v>-0.1375160753679856</v>
      </c>
      <c r="BB7">
        <v>-8.7748372793303268E-3</v>
      </c>
      <c r="BC7">
        <v>1.099253578309402E-2</v>
      </c>
    </row>
    <row r="8" spans="1:55" x14ac:dyDescent="0.35">
      <c r="A8" s="1" t="s">
        <v>6</v>
      </c>
      <c r="B8">
        <v>-3.0559556171126708E-3</v>
      </c>
      <c r="C8">
        <v>0.33160024488916101</v>
      </c>
      <c r="D8">
        <v>0.34261707081266102</v>
      </c>
      <c r="E8">
        <v>0.2325419759423884</v>
      </c>
      <c r="F8">
        <v>0.22793442947995471</v>
      </c>
      <c r="G8">
        <v>0.2412726911481608</v>
      </c>
      <c r="H8">
        <v>1</v>
      </c>
      <c r="I8">
        <v>0.41363678354059058</v>
      </c>
      <c r="J8">
        <v>0.32227592779925918</v>
      </c>
      <c r="K8">
        <v>0.23673414441727689</v>
      </c>
      <c r="L8">
        <v>8.3643748446991947E-2</v>
      </c>
      <c r="M8">
        <v>2.533897052879476E-2</v>
      </c>
      <c r="N8">
        <v>8.656775305033651E-2</v>
      </c>
      <c r="O8">
        <v>-9.3977806953178075E-2</v>
      </c>
      <c r="P8">
        <v>-1.028945515957312E-2</v>
      </c>
      <c r="Q8">
        <v>8.1730186980263672E-2</v>
      </c>
      <c r="R8">
        <v>1.9098079295399799E-2</v>
      </c>
      <c r="S8">
        <v>2.788981604670631E-2</v>
      </c>
      <c r="T8">
        <v>5.3992582528056603E-2</v>
      </c>
      <c r="U8">
        <v>2.807079755425082E-2</v>
      </c>
      <c r="V8">
        <v>6.7324702044265092E-2</v>
      </c>
      <c r="W8">
        <v>2.6079617873182019E-2</v>
      </c>
      <c r="X8">
        <v>3.2482177434987873E-2</v>
      </c>
      <c r="Y8">
        <v>5.9119840956994629E-2</v>
      </c>
      <c r="Z8">
        <v>2.5099055174814588E-2</v>
      </c>
      <c r="AA8">
        <v>1.1522457224673649E-2</v>
      </c>
      <c r="AB8">
        <v>-2.389599762385976E-3</v>
      </c>
      <c r="AC8">
        <v>4.7201361685288478E-3</v>
      </c>
      <c r="AD8">
        <v>1.43112265349713E-2</v>
      </c>
      <c r="AE8">
        <v>-3.4128110819546073E-2</v>
      </c>
      <c r="AF8">
        <v>-3.7011899531856088E-2</v>
      </c>
      <c r="AG8">
        <v>-7.3404309267972867E-3</v>
      </c>
      <c r="AH8">
        <v>-2.0970444750267742E-2</v>
      </c>
      <c r="AI8">
        <v>-3.9253965977951244E-3</v>
      </c>
      <c r="AJ8">
        <v>-3.1471626159719908E-4</v>
      </c>
      <c r="AK8">
        <v>-8.6007519663637878E-3</v>
      </c>
      <c r="AL8">
        <v>1.160128396643163E-2</v>
      </c>
      <c r="AM8">
        <v>-2.8745330804310611E-2</v>
      </c>
      <c r="AN8">
        <v>7.5142874240973316E-3</v>
      </c>
      <c r="AO8">
        <v>-1.477116046946879E-2</v>
      </c>
      <c r="AP8">
        <v>-1.018973918124905E-2</v>
      </c>
      <c r="AQ8">
        <v>-4.6352815471617757E-2</v>
      </c>
      <c r="AR8">
        <v>2.3287352313075588E-3</v>
      </c>
      <c r="AS8">
        <v>-3.9492590723165287E-3</v>
      </c>
      <c r="AT8">
        <v>1.433589680315684E-2</v>
      </c>
      <c r="AU8">
        <v>1.14929226312509E-2</v>
      </c>
      <c r="AV8">
        <v>1.3105747611274501E-2</v>
      </c>
      <c r="AW8">
        <v>1.64007297237161E-2</v>
      </c>
      <c r="AX8">
        <v>-5.5532829332645257E-2</v>
      </c>
      <c r="AY8">
        <v>-7.6675770463288981E-2</v>
      </c>
      <c r="AZ8">
        <v>-2.9083176388581329E-2</v>
      </c>
      <c r="BA8">
        <v>-1.2969051494804861E-2</v>
      </c>
      <c r="BB8">
        <v>-1.1424698162650279E-2</v>
      </c>
      <c r="BC8">
        <v>2.6656163883531141E-2</v>
      </c>
    </row>
    <row r="9" spans="1:55" x14ac:dyDescent="0.35">
      <c r="A9" s="1" t="s">
        <v>7</v>
      </c>
      <c r="B9">
        <v>2.7437805372255812E-3</v>
      </c>
      <c r="C9">
        <v>0.2109346673396548</v>
      </c>
      <c r="D9">
        <v>0.24196335166435759</v>
      </c>
      <c r="E9">
        <v>0.18510843957406109</v>
      </c>
      <c r="F9">
        <v>0.21674499625142829</v>
      </c>
      <c r="G9">
        <v>0.14370594039300469</v>
      </c>
      <c r="H9">
        <v>0.41363678354059058</v>
      </c>
      <c r="I9">
        <v>1</v>
      </c>
      <c r="J9">
        <v>0.41691269461268499</v>
      </c>
      <c r="K9">
        <v>0.21185208201128969</v>
      </c>
      <c r="L9">
        <v>0.14799058162471609</v>
      </c>
      <c r="M9">
        <v>2.5576000026604859E-2</v>
      </c>
      <c r="N9">
        <v>8.3450815857992258E-2</v>
      </c>
      <c r="O9">
        <v>-2.516598857524675E-2</v>
      </c>
      <c r="P9">
        <v>-1.476266003626087E-2</v>
      </c>
      <c r="Q9">
        <v>0.18835164585425551</v>
      </c>
      <c r="R9">
        <v>-2.4289844606663179E-2</v>
      </c>
      <c r="S9">
        <v>3.5813344415141883E-2</v>
      </c>
      <c r="T9">
        <v>9.3638263836412841E-2</v>
      </c>
      <c r="U9">
        <v>3.9732920915625823E-2</v>
      </c>
      <c r="V9">
        <v>8.2640886552496448E-2</v>
      </c>
      <c r="W9">
        <v>-2.781487498327307E-3</v>
      </c>
      <c r="X9">
        <v>5.6869977349154222E-2</v>
      </c>
      <c r="Y9">
        <v>0.1067633541421743</v>
      </c>
      <c r="Z9">
        <v>4.220775988260779E-2</v>
      </c>
      <c r="AA9">
        <v>-1.0898129107487411E-2</v>
      </c>
      <c r="AB9">
        <v>-1.4858748242848359E-2</v>
      </c>
      <c r="AC9">
        <v>2.8860801554120109E-2</v>
      </c>
      <c r="AD9">
        <v>8.4997044365055563E-2</v>
      </c>
      <c r="AE9">
        <v>8.6470931213146043E-2</v>
      </c>
      <c r="AF9">
        <v>9.3828848194430367E-2</v>
      </c>
      <c r="AG9">
        <v>3.1857014588118293E-2</v>
      </c>
      <c r="AH9">
        <v>-1.22579776008586E-2</v>
      </c>
      <c r="AI9">
        <v>1.9570586083546761E-2</v>
      </c>
      <c r="AJ9">
        <v>-4.7673753076996469E-3</v>
      </c>
      <c r="AK9">
        <v>3.2684621696701333E-2</v>
      </c>
      <c r="AL9">
        <v>2.653751196722887E-2</v>
      </c>
      <c r="AM9">
        <v>-3.055834385938188E-2</v>
      </c>
      <c r="AN9">
        <v>-5.4050098375875268E-3</v>
      </c>
      <c r="AO9">
        <v>-1.8128389827132631E-2</v>
      </c>
      <c r="AP9">
        <v>2.652614568097807E-2</v>
      </c>
      <c r="AQ9">
        <v>-1.924268857995259E-2</v>
      </c>
      <c r="AR9">
        <v>7.1054978391610398E-3</v>
      </c>
      <c r="AS9">
        <v>1.6014052820905868E-2</v>
      </c>
      <c r="AT9">
        <v>4.3519789395906429E-2</v>
      </c>
      <c r="AU9">
        <v>4.1681473263742587E-2</v>
      </c>
      <c r="AV9">
        <v>5.2330079079796532E-2</v>
      </c>
      <c r="AW9">
        <v>2.141939253939407E-2</v>
      </c>
      <c r="AX9">
        <v>-3.5475395757342022E-2</v>
      </c>
      <c r="AY9">
        <v>-2.9191071101698871E-2</v>
      </c>
      <c r="AZ9">
        <v>1.7861400544923859E-2</v>
      </c>
      <c r="BA9">
        <v>2.7684257282457981E-2</v>
      </c>
      <c r="BB9">
        <v>3.857655402292217E-2</v>
      </c>
      <c r="BC9">
        <v>2.625153820569915E-2</v>
      </c>
    </row>
    <row r="10" spans="1:55" x14ac:dyDescent="0.35">
      <c r="A10" s="1" t="s">
        <v>8</v>
      </c>
      <c r="B10">
        <v>-1.6542420767120839E-3</v>
      </c>
      <c r="C10">
        <v>0.21991532196516839</v>
      </c>
      <c r="D10">
        <v>0.23165144328935749</v>
      </c>
      <c r="E10">
        <v>0.1105007389650163</v>
      </c>
      <c r="F10">
        <v>0.16744955076324541</v>
      </c>
      <c r="G10">
        <v>0.1186295710317339</v>
      </c>
      <c r="H10">
        <v>0.32227592779925918</v>
      </c>
      <c r="I10">
        <v>0.41691269461268499</v>
      </c>
      <c r="J10">
        <v>1</v>
      </c>
      <c r="K10">
        <v>0.22412888632209291</v>
      </c>
      <c r="L10">
        <v>0.1042412662198722</v>
      </c>
      <c r="M10">
        <v>-8.0502370497154592E-3</v>
      </c>
      <c r="N10">
        <v>-1.1941104857928771E-2</v>
      </c>
      <c r="O10">
        <v>-0.11344043628133819</v>
      </c>
      <c r="P10">
        <v>2.9201202564583872E-2</v>
      </c>
      <c r="Q10">
        <v>0.23999629051901011</v>
      </c>
      <c r="R10">
        <v>4.6950820100524253E-2</v>
      </c>
      <c r="S10">
        <v>0.1169211971772643</v>
      </c>
      <c r="T10">
        <v>0.2805880751017274</v>
      </c>
      <c r="U10">
        <v>2.155934441329058E-2</v>
      </c>
      <c r="V10">
        <v>0.13735146959222741</v>
      </c>
      <c r="W10">
        <v>0.13280684012467339</v>
      </c>
      <c r="X10">
        <v>8.8898162178130319E-2</v>
      </c>
      <c r="Y10">
        <v>0.1228791620045238</v>
      </c>
      <c r="Z10">
        <v>0.1217490194510822</v>
      </c>
      <c r="AA10">
        <v>9.7734759248418332E-2</v>
      </c>
      <c r="AB10">
        <v>8.5273565310143754E-2</v>
      </c>
      <c r="AC10">
        <v>0.16581485425938181</v>
      </c>
      <c r="AD10">
        <v>0.25341170779094357</v>
      </c>
      <c r="AE10">
        <v>0.14979128160035449</v>
      </c>
      <c r="AF10">
        <v>0.16100685220432559</v>
      </c>
      <c r="AG10">
        <v>0.19620972119635799</v>
      </c>
      <c r="AH10">
        <v>9.2525524456391353E-2</v>
      </c>
      <c r="AI10">
        <v>8.2448473956016413E-2</v>
      </c>
      <c r="AJ10">
        <v>3.5551790329722312E-2</v>
      </c>
      <c r="AK10">
        <v>8.7968413919629201E-2</v>
      </c>
      <c r="AL10">
        <v>0.1032357759884546</v>
      </c>
      <c r="AM10">
        <v>1.891510660736832E-2</v>
      </c>
      <c r="AN10">
        <v>-2.3310018016408831E-2</v>
      </c>
      <c r="AO10">
        <v>1.946006350503706E-2</v>
      </c>
      <c r="AP10">
        <v>0.14723114975747759</v>
      </c>
      <c r="AQ10">
        <v>-7.5072387324721782E-2</v>
      </c>
      <c r="AR10">
        <v>2.0985756491838072E-2</v>
      </c>
      <c r="AS10">
        <v>9.8773314474685167E-2</v>
      </c>
      <c r="AT10">
        <v>0.19448404167861019</v>
      </c>
      <c r="AU10">
        <v>4.6328679674652901E-2</v>
      </c>
      <c r="AV10">
        <v>9.36867635861586E-2</v>
      </c>
      <c r="AW10">
        <v>8.6273164221737891E-2</v>
      </c>
      <c r="AX10">
        <v>-4.5228502203473978E-2</v>
      </c>
      <c r="AY10">
        <v>-7.0897538215472275E-2</v>
      </c>
      <c r="AZ10">
        <v>7.5843481713438493E-2</v>
      </c>
      <c r="BA10">
        <v>0.1809136173826105</v>
      </c>
      <c r="BB10">
        <v>0.11761152471886881</v>
      </c>
      <c r="BC10">
        <v>7.6387098982720614E-2</v>
      </c>
    </row>
    <row r="11" spans="1:55" x14ac:dyDescent="0.35">
      <c r="A11" s="1" t="s">
        <v>9</v>
      </c>
      <c r="B11">
        <v>-7.8096049812231491E-3</v>
      </c>
      <c r="C11">
        <v>4.6122686267781828E-2</v>
      </c>
      <c r="D11">
        <v>0.13619384477628091</v>
      </c>
      <c r="E11">
        <v>7.4139162778310383E-2</v>
      </c>
      <c r="F11">
        <v>7.9485296753182763E-2</v>
      </c>
      <c r="G11">
        <v>1.6860245178336709E-2</v>
      </c>
      <c r="H11">
        <v>0.23673414441727689</v>
      </c>
      <c r="I11">
        <v>0.21185208201128969</v>
      </c>
      <c r="J11">
        <v>0.22412888632209291</v>
      </c>
      <c r="K11">
        <v>1</v>
      </c>
      <c r="L11">
        <v>0.3347800110110622</v>
      </c>
      <c r="M11">
        <v>4.3285479098916481E-2</v>
      </c>
      <c r="N11">
        <v>-8.9580611972488691E-2</v>
      </c>
      <c r="O11">
        <v>-4.9822562306513649E-2</v>
      </c>
      <c r="P11">
        <v>-8.0332129583461212E-2</v>
      </c>
      <c r="Q11">
        <v>4.4217101903991682E-2</v>
      </c>
      <c r="R11">
        <v>2.7458268946070251E-2</v>
      </c>
      <c r="S11">
        <v>1.750230968591341E-2</v>
      </c>
      <c r="T11">
        <v>7.7527628038621038E-2</v>
      </c>
      <c r="U11">
        <v>3.2096598989331079E-2</v>
      </c>
      <c r="V11">
        <v>2.8664144976537121E-2</v>
      </c>
      <c r="W11">
        <v>1.5971182807753479E-2</v>
      </c>
      <c r="X11">
        <v>5.8703262767318036E-3</v>
      </c>
      <c r="Y11">
        <v>3.2458300448991888E-2</v>
      </c>
      <c r="Z11">
        <v>1.6663199738851539E-2</v>
      </c>
      <c r="AA11">
        <v>-2.7799149610960531E-2</v>
      </c>
      <c r="AB11">
        <v>6.4051047485757543E-3</v>
      </c>
      <c r="AC11">
        <v>5.9194783905327014E-3</v>
      </c>
      <c r="AD11">
        <v>3.1390580739180322E-2</v>
      </c>
      <c r="AE11">
        <v>6.5943499892748159E-3</v>
      </c>
      <c r="AF11">
        <v>3.1924870676935037E-2</v>
      </c>
      <c r="AG11">
        <v>4.2471877826043378E-2</v>
      </c>
      <c r="AH11">
        <v>-4.5860890496160323E-2</v>
      </c>
      <c r="AI11">
        <v>-1.504073149683665E-2</v>
      </c>
      <c r="AJ11">
        <v>-4.604129760750722E-2</v>
      </c>
      <c r="AK11">
        <v>-4.6526691175176743E-2</v>
      </c>
      <c r="AL11">
        <v>-4.6134807817870237E-2</v>
      </c>
      <c r="AM11">
        <v>-3.3944686244317797E-2</v>
      </c>
      <c r="AN11">
        <v>-2.7294886558481921E-2</v>
      </c>
      <c r="AO11">
        <v>-5.7384068862345247E-2</v>
      </c>
      <c r="AP11">
        <v>2.1060196966490891E-2</v>
      </c>
      <c r="AQ11">
        <v>-1.7690112286905889E-2</v>
      </c>
      <c r="AR11">
        <v>2.409406973220592E-2</v>
      </c>
      <c r="AS11">
        <v>5.3461677940073532E-2</v>
      </c>
      <c r="AT11">
        <v>4.1245328089586801E-2</v>
      </c>
      <c r="AU11">
        <v>2.4683110030005059E-2</v>
      </c>
      <c r="AV11">
        <v>6.0490145168402953E-2</v>
      </c>
      <c r="AW11">
        <v>-2.0506532096268072E-3</v>
      </c>
      <c r="AX11">
        <v>-2.0748283928699669E-2</v>
      </c>
      <c r="AY11">
        <v>-6.0899941943455597E-2</v>
      </c>
      <c r="AZ11">
        <v>1.590266712951734E-2</v>
      </c>
      <c r="BA11">
        <v>6.3863501543149251E-2</v>
      </c>
      <c r="BB11">
        <v>1.5940442345525382E-2</v>
      </c>
      <c r="BC11">
        <v>3.0441313065081011E-2</v>
      </c>
    </row>
    <row r="12" spans="1:55" x14ac:dyDescent="0.35">
      <c r="A12" s="1" t="s">
        <v>10</v>
      </c>
      <c r="B12">
        <v>2.661651202498877E-2</v>
      </c>
      <c r="C12">
        <v>-0.1670520919460009</v>
      </c>
      <c r="D12">
        <v>-0.10737198555797681</v>
      </c>
      <c r="E12">
        <v>-0.14683435635712319</v>
      </c>
      <c r="F12">
        <v>-0.12618196476762139</v>
      </c>
      <c r="G12">
        <v>-0.1713053879475076</v>
      </c>
      <c r="H12">
        <v>8.3643748446991947E-2</v>
      </c>
      <c r="I12">
        <v>0.14799058162471609</v>
      </c>
      <c r="J12">
        <v>0.1042412662198722</v>
      </c>
      <c r="K12">
        <v>0.3347800110110622</v>
      </c>
      <c r="L12">
        <v>1</v>
      </c>
      <c r="M12">
        <v>6.5067707193095931E-2</v>
      </c>
      <c r="N12">
        <v>-0.19039543172456219</v>
      </c>
      <c r="O12">
        <v>-0.12880501989547299</v>
      </c>
      <c r="P12">
        <v>-0.153374756586103</v>
      </c>
      <c r="Q12">
        <v>-8.0543579683228866E-2</v>
      </c>
      <c r="R12">
        <v>5.5287170144001162E-2</v>
      </c>
      <c r="S12">
        <v>6.4683406598298951E-2</v>
      </c>
      <c r="T12">
        <v>0.1082518247552606</v>
      </c>
      <c r="U12">
        <v>3.9078734223295858E-2</v>
      </c>
      <c r="V12">
        <v>6.9513411135179101E-2</v>
      </c>
      <c r="W12">
        <v>-4.7447839220795627E-3</v>
      </c>
      <c r="X12">
        <v>-2.611124339802701E-3</v>
      </c>
      <c r="Y12">
        <v>-5.0117968811845834E-3</v>
      </c>
      <c r="Z12">
        <v>-0.1096262554007179</v>
      </c>
      <c r="AA12">
        <v>-0.1633604897810062</v>
      </c>
      <c r="AB12">
        <v>-5.5862199651000213E-2</v>
      </c>
      <c r="AC12">
        <v>-5.002191358885761E-2</v>
      </c>
      <c r="AD12">
        <v>-1.189390702237164E-2</v>
      </c>
      <c r="AE12">
        <v>-1.201611947694963E-2</v>
      </c>
      <c r="AF12">
        <v>-2.127655559979842E-3</v>
      </c>
      <c r="AG12">
        <v>5.1904022259367237E-2</v>
      </c>
      <c r="AH12">
        <v>1.859688172678375E-3</v>
      </c>
      <c r="AI12">
        <v>9.3555394950242936E-3</v>
      </c>
      <c r="AJ12">
        <v>-1.518077008658766E-3</v>
      </c>
      <c r="AK12">
        <v>1.081306532792598E-4</v>
      </c>
      <c r="AL12">
        <v>-4.9405230146398593E-3</v>
      </c>
      <c r="AM12">
        <v>-2.1467050925737689E-2</v>
      </c>
      <c r="AN12">
        <v>-2.117155860860739E-2</v>
      </c>
      <c r="AO12">
        <v>-1.6067238204416578E-2</v>
      </c>
      <c r="AP12">
        <v>4.0741241848906477E-2</v>
      </c>
      <c r="AQ12">
        <v>4.1811555665824222E-2</v>
      </c>
      <c r="AR12">
        <v>4.2887420185754817E-2</v>
      </c>
      <c r="AS12">
        <v>7.8886240135068092E-2</v>
      </c>
      <c r="AT12">
        <v>3.8394190010486219E-3</v>
      </c>
      <c r="AU12">
        <v>-1.168932644820723E-2</v>
      </c>
      <c r="AV12">
        <v>2.4201087672741321E-2</v>
      </c>
      <c r="AW12">
        <v>3.28982718739213E-3</v>
      </c>
      <c r="AX12">
        <v>-4.9411979942370527E-5</v>
      </c>
      <c r="AY12">
        <v>-3.1437560846262667E-2</v>
      </c>
      <c r="AZ12">
        <v>7.4113773618523556E-3</v>
      </c>
      <c r="BA12">
        <v>4.2669333824018052E-2</v>
      </c>
      <c r="BB12">
        <v>1.6604682436012111E-2</v>
      </c>
      <c r="BC12">
        <v>-1.074700651280476E-2</v>
      </c>
    </row>
    <row r="13" spans="1:55" x14ac:dyDescent="0.35">
      <c r="A13" s="1" t="s">
        <v>11</v>
      </c>
      <c r="B13">
        <v>1.1703351233751449E-2</v>
      </c>
      <c r="C13">
        <v>1.515206764550508E-2</v>
      </c>
      <c r="D13">
        <v>9.0080735146754534E-3</v>
      </c>
      <c r="E13">
        <v>2.9947756469083969E-2</v>
      </c>
      <c r="F13">
        <v>3.377488982403495E-3</v>
      </c>
      <c r="G13">
        <v>-1.062054800530152E-2</v>
      </c>
      <c r="H13">
        <v>2.533897052879476E-2</v>
      </c>
      <c r="I13">
        <v>2.5576000026604859E-2</v>
      </c>
      <c r="J13">
        <v>-8.0502370497154592E-3</v>
      </c>
      <c r="K13">
        <v>4.3285479098916481E-2</v>
      </c>
      <c r="L13">
        <v>6.5067707193095931E-2</v>
      </c>
      <c r="M13">
        <v>1</v>
      </c>
      <c r="N13">
        <v>0.23081208335067099</v>
      </c>
      <c r="O13">
        <v>0.33495782845072652</v>
      </c>
      <c r="P13">
        <v>0.25282160880407029</v>
      </c>
      <c r="Q13">
        <v>9.5295321614905365E-2</v>
      </c>
      <c r="R13">
        <v>8.1635034365855841E-2</v>
      </c>
      <c r="S13">
        <v>0.16540873499882769</v>
      </c>
      <c r="T13">
        <v>7.9317563933784113E-2</v>
      </c>
      <c r="U13">
        <v>0.1442774703475625</v>
      </c>
      <c r="V13">
        <v>0.15054950374334669</v>
      </c>
      <c r="W13">
        <v>0.2079176055652551</v>
      </c>
      <c r="X13">
        <v>0.13400772998952279</v>
      </c>
      <c r="Y13">
        <v>0.13301539089436201</v>
      </c>
      <c r="Z13">
        <v>0.178380699951321</v>
      </c>
      <c r="AA13">
        <v>0.20973931631221709</v>
      </c>
      <c r="AB13">
        <v>0.1883455177002247</v>
      </c>
      <c r="AC13">
        <v>0.18875289458488759</v>
      </c>
      <c r="AD13">
        <v>0.12558439352384029</v>
      </c>
      <c r="AE13">
        <v>0.1081973841666463</v>
      </c>
      <c r="AF13">
        <v>7.2484577812688064E-2</v>
      </c>
      <c r="AG13">
        <v>5.2311557102330153E-2</v>
      </c>
      <c r="AH13">
        <v>0.1495918906487298</v>
      </c>
      <c r="AI13">
        <v>0.13558845005962611</v>
      </c>
      <c r="AJ13">
        <v>0.1185608336073322</v>
      </c>
      <c r="AK13">
        <v>0.14927482455522459</v>
      </c>
      <c r="AL13">
        <v>0.12516958305699549</v>
      </c>
      <c r="AM13">
        <v>0.1171273784750803</v>
      </c>
      <c r="AN13">
        <v>0.11442446142046329</v>
      </c>
      <c r="AO13">
        <v>8.9245471352980082E-2</v>
      </c>
      <c r="AP13">
        <v>0.10736717212816151</v>
      </c>
      <c r="AQ13">
        <v>0.1286243277036809</v>
      </c>
      <c r="AR13">
        <v>4.8117371549927138E-2</v>
      </c>
      <c r="AS13">
        <v>7.1389999260330239E-2</v>
      </c>
      <c r="AT13">
        <v>2.766067037335115E-2</v>
      </c>
      <c r="AU13">
        <v>5.1891573675848887E-2</v>
      </c>
      <c r="AV13">
        <v>5.401691172675914E-2</v>
      </c>
      <c r="AW13">
        <v>6.530590017128482E-2</v>
      </c>
      <c r="AX13">
        <v>7.0011927121389914E-2</v>
      </c>
      <c r="AY13">
        <v>7.3020601588887568E-2</v>
      </c>
      <c r="AZ13">
        <v>6.4700512770226093E-2</v>
      </c>
      <c r="BA13">
        <v>-1.233220798911251E-2</v>
      </c>
      <c r="BB13">
        <v>3.0427863649395991E-2</v>
      </c>
      <c r="BC13">
        <v>0.16208968229828971</v>
      </c>
    </row>
    <row r="14" spans="1:55" x14ac:dyDescent="0.35">
      <c r="A14" s="1" t="s">
        <v>12</v>
      </c>
      <c r="B14">
        <v>5.1458391965150681E-2</v>
      </c>
      <c r="C14">
        <v>0.2869660921229501</v>
      </c>
      <c r="D14">
        <v>0.17298587183821579</v>
      </c>
      <c r="E14">
        <v>0.23103886079418801</v>
      </c>
      <c r="F14">
        <v>0.27623295239180468</v>
      </c>
      <c r="G14">
        <v>0.33872058971380747</v>
      </c>
      <c r="H14">
        <v>8.656775305033651E-2</v>
      </c>
      <c r="I14">
        <v>8.3450815857992258E-2</v>
      </c>
      <c r="J14">
        <v>-1.1941104857928771E-2</v>
      </c>
      <c r="K14">
        <v>-8.9580611972488691E-2</v>
      </c>
      <c r="L14">
        <v>-0.19039543172456219</v>
      </c>
      <c r="M14">
        <v>0.23081208335067099</v>
      </c>
      <c r="N14">
        <v>1</v>
      </c>
      <c r="O14">
        <v>0.30261239481513841</v>
      </c>
      <c r="P14">
        <v>0.1561070947359324</v>
      </c>
      <c r="Q14">
        <v>0.15954369911574551</v>
      </c>
      <c r="R14">
        <v>-2.6863541721602661E-2</v>
      </c>
      <c r="S14">
        <v>6.2075749861825839E-3</v>
      </c>
      <c r="T14">
        <v>-0.16189886994851679</v>
      </c>
      <c r="U14">
        <v>2.9181563078841049E-2</v>
      </c>
      <c r="V14">
        <v>-2.2918979771544968E-3</v>
      </c>
      <c r="W14">
        <v>-3.0601578223562419E-2</v>
      </c>
      <c r="X14">
        <v>1.053678389222421E-2</v>
      </c>
      <c r="Y14">
        <v>5.1978911472028773E-2</v>
      </c>
      <c r="Z14">
        <v>1.416375660009106E-2</v>
      </c>
      <c r="AA14">
        <v>0.12596955171444141</v>
      </c>
      <c r="AB14">
        <v>3.8219160519608338E-2</v>
      </c>
      <c r="AC14">
        <v>1.1526743058755189E-3</v>
      </c>
      <c r="AD14">
        <v>7.5102004607141646E-3</v>
      </c>
      <c r="AE14">
        <v>-2.4885524845950639E-2</v>
      </c>
      <c r="AF14">
        <v>-1.21025564143349E-2</v>
      </c>
      <c r="AG14">
        <v>-4.5648498987233561E-2</v>
      </c>
      <c r="AH14">
        <v>2.0896822126654849E-2</v>
      </c>
      <c r="AI14">
        <v>1.0153543083424589E-2</v>
      </c>
      <c r="AJ14">
        <v>3.8926190244679372E-3</v>
      </c>
      <c r="AK14">
        <v>3.4926387394423032E-2</v>
      </c>
      <c r="AL14">
        <v>2.1633285653597661E-2</v>
      </c>
      <c r="AM14">
        <v>4.1574905031073812E-2</v>
      </c>
      <c r="AN14">
        <v>4.8132826270058902E-2</v>
      </c>
      <c r="AO14">
        <v>1.835224655672418E-2</v>
      </c>
      <c r="AP14">
        <v>-7.9354837479588797E-2</v>
      </c>
      <c r="AQ14">
        <v>1.3102151359692759E-2</v>
      </c>
      <c r="AR14">
        <v>-4.9876886991275333E-3</v>
      </c>
      <c r="AS14">
        <v>-2.6173206869958339E-2</v>
      </c>
      <c r="AT14">
        <v>-3.0218218949547071E-2</v>
      </c>
      <c r="AU14">
        <v>2.2200673248705421E-2</v>
      </c>
      <c r="AV14">
        <v>-6.1424466435494589E-2</v>
      </c>
      <c r="AW14">
        <v>-1.3074185367808451E-2</v>
      </c>
      <c r="AX14">
        <v>3.5325208971845608E-2</v>
      </c>
      <c r="AY14">
        <v>-1.0806024986374049E-2</v>
      </c>
      <c r="AZ14">
        <v>-8.3194328356524933E-3</v>
      </c>
      <c r="BA14">
        <v>-0.1070154461217761</v>
      </c>
      <c r="BB14">
        <v>1.433085029175683E-2</v>
      </c>
      <c r="BC14">
        <v>2.7916637763036909E-2</v>
      </c>
    </row>
    <row r="15" spans="1:55" x14ac:dyDescent="0.35">
      <c r="A15" s="1" t="s">
        <v>13</v>
      </c>
      <c r="B15">
        <v>3.8770112495368228E-2</v>
      </c>
      <c r="C15">
        <v>-2.5012181251859771E-2</v>
      </c>
      <c r="D15">
        <v>-4.811370126196742E-3</v>
      </c>
      <c r="E15">
        <v>-2.7440095266920369E-2</v>
      </c>
      <c r="F15">
        <v>-3.231268740024152E-2</v>
      </c>
      <c r="G15">
        <v>-5.428465892597557E-3</v>
      </c>
      <c r="H15">
        <v>-9.3977806953178075E-2</v>
      </c>
      <c r="I15">
        <v>-2.516598857524675E-2</v>
      </c>
      <c r="J15">
        <v>-0.11344043628133819</v>
      </c>
      <c r="K15">
        <v>-4.9822562306513649E-2</v>
      </c>
      <c r="L15">
        <v>-0.12880501989547299</v>
      </c>
      <c r="M15">
        <v>0.33495782845072652</v>
      </c>
      <c r="N15">
        <v>0.30261239481513841</v>
      </c>
      <c r="O15">
        <v>1</v>
      </c>
      <c r="P15">
        <v>0.40497555325420198</v>
      </c>
      <c r="Q15">
        <v>9.2640520707893359E-2</v>
      </c>
      <c r="R15">
        <v>3.093709804202122E-2</v>
      </c>
      <c r="S15">
        <v>0.13939812537317739</v>
      </c>
      <c r="T15">
        <v>8.5179761357018963E-2</v>
      </c>
      <c r="U15">
        <v>0.20246487209288949</v>
      </c>
      <c r="V15">
        <v>0.1761353367811391</v>
      </c>
      <c r="W15">
        <v>0.18468977251955429</v>
      </c>
      <c r="X15">
        <v>0.12968448668562901</v>
      </c>
      <c r="Y15">
        <v>0.18006514307589891</v>
      </c>
      <c r="Z15">
        <v>0.10648869610724911</v>
      </c>
      <c r="AA15">
        <v>0.23059673207431899</v>
      </c>
      <c r="AB15">
        <v>0.2182488765140069</v>
      </c>
      <c r="AC15">
        <v>0.22756484273037841</v>
      </c>
      <c r="AD15">
        <v>0.14379536339265861</v>
      </c>
      <c r="AE15">
        <v>0.16795709306718101</v>
      </c>
      <c r="AF15">
        <v>0.11097882748955459</v>
      </c>
      <c r="AG15">
        <v>3.4262712740472122E-2</v>
      </c>
      <c r="AH15">
        <v>0.11427093726815719</v>
      </c>
      <c r="AI15">
        <v>0.106368267791594</v>
      </c>
      <c r="AJ15">
        <v>0.108885814170016</v>
      </c>
      <c r="AK15">
        <v>9.5133373601946555E-2</v>
      </c>
      <c r="AL15">
        <v>6.3118786814578914E-2</v>
      </c>
      <c r="AM15">
        <v>8.9023860958026904E-2</v>
      </c>
      <c r="AN15">
        <v>0.13175619898528759</v>
      </c>
      <c r="AO15">
        <v>7.8740593005301993E-2</v>
      </c>
      <c r="AP15">
        <v>2.4003744168262099E-2</v>
      </c>
      <c r="AQ15">
        <v>0.14247954535461249</v>
      </c>
      <c r="AR15">
        <v>6.9849458073682452E-2</v>
      </c>
      <c r="AS15">
        <v>2.4326456458566119E-2</v>
      </c>
      <c r="AT15">
        <v>2.63538844395808E-2</v>
      </c>
      <c r="AU15">
        <v>3.483575148389037E-2</v>
      </c>
      <c r="AV15">
        <v>-1.40185531042232E-3</v>
      </c>
      <c r="AW15">
        <v>5.063726779021476E-3</v>
      </c>
      <c r="AX15">
        <v>7.1195845099274013E-2</v>
      </c>
      <c r="AY15">
        <v>8.5921711667607134E-2</v>
      </c>
      <c r="AZ15">
        <v>6.0537855314923179E-2</v>
      </c>
      <c r="BA15">
        <v>-3.2592014327187592E-2</v>
      </c>
      <c r="BB15">
        <v>4.4760417281410128E-2</v>
      </c>
      <c r="BC15">
        <v>3.1995536970655207E-2</v>
      </c>
    </row>
    <row r="16" spans="1:55" x14ac:dyDescent="0.35">
      <c r="A16" s="1" t="s">
        <v>14</v>
      </c>
      <c r="B16">
        <v>3.2850388915530243E-2</v>
      </c>
      <c r="C16">
        <v>-3.8771053622590279E-3</v>
      </c>
      <c r="D16">
        <v>-6.2016717572176049E-2</v>
      </c>
      <c r="E16">
        <v>-7.9301426828636085E-2</v>
      </c>
      <c r="F16">
        <v>-7.9414051316720524E-2</v>
      </c>
      <c r="G16">
        <v>5.9192517333693439E-3</v>
      </c>
      <c r="H16">
        <v>-1.028945515957312E-2</v>
      </c>
      <c r="I16">
        <v>-1.476266003626087E-2</v>
      </c>
      <c r="J16">
        <v>2.9201202564583872E-2</v>
      </c>
      <c r="K16">
        <v>-8.0332129583461212E-2</v>
      </c>
      <c r="L16">
        <v>-0.153374756586103</v>
      </c>
      <c r="M16">
        <v>0.25282160880407029</v>
      </c>
      <c r="N16">
        <v>0.1561070947359324</v>
      </c>
      <c r="O16">
        <v>0.40497555325420198</v>
      </c>
      <c r="P16">
        <v>1</v>
      </c>
      <c r="Q16">
        <v>0.1334187540536976</v>
      </c>
      <c r="R16">
        <v>6.389838892810551E-2</v>
      </c>
      <c r="S16">
        <v>0.1244318026464982</v>
      </c>
      <c r="T16">
        <v>0.1780872352896874</v>
      </c>
      <c r="U16">
        <v>0.25165061771734082</v>
      </c>
      <c r="V16">
        <v>0.24520879459429501</v>
      </c>
      <c r="W16">
        <v>0.27083491845679419</v>
      </c>
      <c r="X16">
        <v>0.1153091688226357</v>
      </c>
      <c r="Y16">
        <v>0.15655335271010909</v>
      </c>
      <c r="Z16">
        <v>0.1502013491703387</v>
      </c>
      <c r="AA16">
        <v>0.42349248616191493</v>
      </c>
      <c r="AB16">
        <v>0.40943658805000782</v>
      </c>
      <c r="AC16">
        <v>0.41172866075905779</v>
      </c>
      <c r="AD16">
        <v>0.35902678343397232</v>
      </c>
      <c r="AE16">
        <v>0.22021966452832639</v>
      </c>
      <c r="AF16">
        <v>0.19301668700684421</v>
      </c>
      <c r="AG16">
        <v>0.14248987710580191</v>
      </c>
      <c r="AH16">
        <v>0.26134653122266288</v>
      </c>
      <c r="AI16">
        <v>0.17640675509295919</v>
      </c>
      <c r="AJ16">
        <v>0.15834854984133101</v>
      </c>
      <c r="AK16">
        <v>0.26251728803093621</v>
      </c>
      <c r="AL16">
        <v>0.13336468574571159</v>
      </c>
      <c r="AM16">
        <v>0.12790797631812451</v>
      </c>
      <c r="AN16">
        <v>0.1979754072353532</v>
      </c>
      <c r="AO16">
        <v>0.1864544244756432</v>
      </c>
      <c r="AP16">
        <v>0.19123799242575371</v>
      </c>
      <c r="AQ16">
        <v>7.1632581530651787E-2</v>
      </c>
      <c r="AR16">
        <v>6.7849832573104868E-2</v>
      </c>
      <c r="AS16">
        <v>5.6546157989891009E-2</v>
      </c>
      <c r="AT16">
        <v>5.422104885575451E-2</v>
      </c>
      <c r="AU16">
        <v>4.9626052869293287E-2</v>
      </c>
      <c r="AV16">
        <v>3.0086080893434831E-2</v>
      </c>
      <c r="AW16">
        <v>0.13237849400022211</v>
      </c>
      <c r="AX16">
        <v>4.1117174563904853E-2</v>
      </c>
      <c r="AY16">
        <v>3.3186328586844643E-2</v>
      </c>
      <c r="AZ16">
        <v>9.412457905391787E-2</v>
      </c>
      <c r="BA16">
        <v>0.1144737465184424</v>
      </c>
      <c r="BB16">
        <v>6.525863149639223E-2</v>
      </c>
      <c r="BC16">
        <v>9.6836574506295181E-2</v>
      </c>
    </row>
    <row r="17" spans="1:55" x14ac:dyDescent="0.35">
      <c r="A17" s="1" t="s">
        <v>15</v>
      </c>
      <c r="B17">
        <v>7.4617060727742782E-2</v>
      </c>
      <c r="C17">
        <v>0.42305903848054222</v>
      </c>
      <c r="D17">
        <v>0.36029141034413181</v>
      </c>
      <c r="E17">
        <v>0.35549749047552609</v>
      </c>
      <c r="F17">
        <v>0.42315730578524829</v>
      </c>
      <c r="G17">
        <v>0.37741509778244953</v>
      </c>
      <c r="H17">
        <v>8.1730186980263672E-2</v>
      </c>
      <c r="I17">
        <v>0.18835164585425551</v>
      </c>
      <c r="J17">
        <v>0.23999629051901011</v>
      </c>
      <c r="K17">
        <v>4.4217101903991682E-2</v>
      </c>
      <c r="L17">
        <v>-8.0543579683228866E-2</v>
      </c>
      <c r="M17">
        <v>9.5295321614905365E-2</v>
      </c>
      <c r="N17">
        <v>0.15954369911574551</v>
      </c>
      <c r="O17">
        <v>9.2640520707893359E-2</v>
      </c>
      <c r="P17">
        <v>0.1334187540536976</v>
      </c>
      <c r="Q17">
        <v>1</v>
      </c>
      <c r="R17">
        <v>0.20393157064288039</v>
      </c>
      <c r="S17">
        <v>0.2251846131803536</v>
      </c>
      <c r="T17">
        <v>0.1860376062160897</v>
      </c>
      <c r="U17">
        <v>0.13928875824100989</v>
      </c>
      <c r="V17">
        <v>0.1228881799552376</v>
      </c>
      <c r="W17">
        <v>5.3868589723915228E-2</v>
      </c>
      <c r="X17">
        <v>3.2247206655235117E-2</v>
      </c>
      <c r="Y17">
        <v>8.3392946584720212E-2</v>
      </c>
      <c r="Z17">
        <v>0.1284760127781488</v>
      </c>
      <c r="AA17">
        <v>0.24066680348300629</v>
      </c>
      <c r="AB17">
        <v>0.15309857251464701</v>
      </c>
      <c r="AC17">
        <v>0.21822772132928631</v>
      </c>
      <c r="AD17">
        <v>0.3883457360420885</v>
      </c>
      <c r="AE17">
        <v>0.26405675379923432</v>
      </c>
      <c r="AF17">
        <v>0.27353940157411111</v>
      </c>
      <c r="AG17">
        <v>0.18488422872035321</v>
      </c>
      <c r="AH17">
        <v>6.8545875559315309E-2</v>
      </c>
      <c r="AI17">
        <v>2.0990094425439639E-2</v>
      </c>
      <c r="AJ17">
        <v>1.6538349407772841E-3</v>
      </c>
      <c r="AK17">
        <v>0.1482338374894884</v>
      </c>
      <c r="AL17">
        <v>0.14066051411742839</v>
      </c>
      <c r="AM17">
        <v>9.9265955203622358E-2</v>
      </c>
      <c r="AN17">
        <v>1.4848232222198219E-2</v>
      </c>
      <c r="AO17">
        <v>8.2903701252947437E-2</v>
      </c>
      <c r="AP17">
        <v>0.1163875383014004</v>
      </c>
      <c r="AQ17">
        <v>-4.3381778848460298E-2</v>
      </c>
      <c r="AR17">
        <v>1.6371593364395521E-2</v>
      </c>
      <c r="AS17">
        <v>8.3970077689253408E-2</v>
      </c>
      <c r="AT17">
        <v>0.19729381898243531</v>
      </c>
      <c r="AU17">
        <v>0.10994941022715481</v>
      </c>
      <c r="AV17">
        <v>0.1167773395528255</v>
      </c>
      <c r="AW17">
        <v>0.14984733264338859</v>
      </c>
      <c r="AX17">
        <v>4.8519105667422568E-2</v>
      </c>
      <c r="AY17">
        <v>-2.902774452281839E-3</v>
      </c>
      <c r="AZ17">
        <v>0.13232897507623179</v>
      </c>
      <c r="BA17">
        <v>0.1254807149367943</v>
      </c>
      <c r="BB17">
        <v>0.11411229036742571</v>
      </c>
      <c r="BC17">
        <v>0.15586327731556979</v>
      </c>
    </row>
    <row r="18" spans="1:55" x14ac:dyDescent="0.35">
      <c r="A18" s="1" t="s">
        <v>16</v>
      </c>
      <c r="B18">
        <v>9.8168827840109885E-2</v>
      </c>
      <c r="C18">
        <v>2.3618870702182038E-2</v>
      </c>
      <c r="D18">
        <v>4.5955952244231997E-2</v>
      </c>
      <c r="E18">
        <v>5.0304749896255233E-2</v>
      </c>
      <c r="F18">
        <v>2.4133560006335941E-2</v>
      </c>
      <c r="G18">
        <v>1.3131795014275281E-2</v>
      </c>
      <c r="H18">
        <v>1.9098079295399799E-2</v>
      </c>
      <c r="I18">
        <v>-2.4289844606663179E-2</v>
      </c>
      <c r="J18">
        <v>4.6950820100524253E-2</v>
      </c>
      <c r="K18">
        <v>2.7458268946070251E-2</v>
      </c>
      <c r="L18">
        <v>5.5287170144001162E-2</v>
      </c>
      <c r="M18">
        <v>8.1635034365855841E-2</v>
      </c>
      <c r="N18">
        <v>-2.6863541721602661E-2</v>
      </c>
      <c r="O18">
        <v>3.093709804202122E-2</v>
      </c>
      <c r="P18">
        <v>6.389838892810551E-2</v>
      </c>
      <c r="Q18">
        <v>0.20393157064288039</v>
      </c>
      <c r="R18">
        <v>1</v>
      </c>
      <c r="S18">
        <v>0.40205442120686907</v>
      </c>
      <c r="T18">
        <v>0.27312539774763911</v>
      </c>
      <c r="U18">
        <v>0.1067437118267629</v>
      </c>
      <c r="V18">
        <v>9.6661175446878203E-2</v>
      </c>
      <c r="W18">
        <v>0.1156945435677495</v>
      </c>
      <c r="X18">
        <v>7.5419468174916376E-2</v>
      </c>
      <c r="Y18">
        <v>5.8374991637392987E-2</v>
      </c>
      <c r="Z18">
        <v>9.2694752137930506E-2</v>
      </c>
      <c r="AA18">
        <v>0.1214938161698997</v>
      </c>
      <c r="AB18">
        <v>0.1211602314020804</v>
      </c>
      <c r="AC18">
        <v>9.0600264180378753E-2</v>
      </c>
      <c r="AD18">
        <v>0.1076181858805641</v>
      </c>
      <c r="AE18">
        <v>0.1137427153213381</v>
      </c>
      <c r="AF18">
        <v>0.11366304619479441</v>
      </c>
      <c r="AG18">
        <v>8.1302128641739788E-2</v>
      </c>
      <c r="AH18">
        <v>6.2752307143243077E-2</v>
      </c>
      <c r="AI18">
        <v>7.105211961690476E-2</v>
      </c>
      <c r="AJ18">
        <v>5.2817027724645492E-2</v>
      </c>
      <c r="AK18">
        <v>8.0279514470787114E-2</v>
      </c>
      <c r="AL18">
        <v>8.7471024218371857E-2</v>
      </c>
      <c r="AM18">
        <v>6.8540668723042666E-2</v>
      </c>
      <c r="AN18">
        <v>6.7354281232543611E-2</v>
      </c>
      <c r="AO18">
        <v>9.1084083420684331E-2</v>
      </c>
      <c r="AP18">
        <v>5.7218564539327048E-2</v>
      </c>
      <c r="AQ18">
        <v>4.1789906966572601E-2</v>
      </c>
      <c r="AR18">
        <v>3.4271456193593453E-2</v>
      </c>
      <c r="AS18">
        <v>3.5292601199647958E-2</v>
      </c>
      <c r="AT18">
        <v>-2.362233218319524E-2</v>
      </c>
      <c r="AU18">
        <v>-1.1443014799860511E-2</v>
      </c>
      <c r="AV18">
        <v>3.9073344570727999E-3</v>
      </c>
      <c r="AW18">
        <v>3.7007474972328272E-2</v>
      </c>
      <c r="AX18">
        <v>-2.2674305216457499E-4</v>
      </c>
      <c r="AY18">
        <v>-1.4082833703263509E-2</v>
      </c>
      <c r="AZ18">
        <v>2.46528355038927E-2</v>
      </c>
      <c r="BA18">
        <v>3.887503889179357E-2</v>
      </c>
      <c r="BB18">
        <v>6.7233792205713502E-2</v>
      </c>
      <c r="BC18">
        <v>9.2841805431843311E-2</v>
      </c>
    </row>
    <row r="19" spans="1:55" x14ac:dyDescent="0.35">
      <c r="A19" s="1" t="s">
        <v>17</v>
      </c>
      <c r="B19">
        <v>0.15482246301108271</v>
      </c>
      <c r="C19">
        <v>3.8584744829179868E-2</v>
      </c>
      <c r="D19">
        <v>6.8390637488389958E-2</v>
      </c>
      <c r="E19">
        <v>-3.6560965527113763E-2</v>
      </c>
      <c r="F19">
        <v>-3.8655815190838078E-2</v>
      </c>
      <c r="G19">
        <v>-4.2285253962460773E-2</v>
      </c>
      <c r="H19">
        <v>2.788981604670631E-2</v>
      </c>
      <c r="I19">
        <v>3.5813344415141883E-2</v>
      </c>
      <c r="J19">
        <v>0.1169211971772643</v>
      </c>
      <c r="K19">
        <v>1.750230968591341E-2</v>
      </c>
      <c r="L19">
        <v>6.4683406598298951E-2</v>
      </c>
      <c r="M19">
        <v>0.16540873499882769</v>
      </c>
      <c r="N19">
        <v>6.2075749861825839E-3</v>
      </c>
      <c r="O19">
        <v>0.13939812537317739</v>
      </c>
      <c r="P19">
        <v>0.1244318026464982</v>
      </c>
      <c r="Q19">
        <v>0.2251846131803536</v>
      </c>
      <c r="R19">
        <v>0.40205442120686907</v>
      </c>
      <c r="S19">
        <v>1</v>
      </c>
      <c r="T19">
        <v>0.53315692583325658</v>
      </c>
      <c r="U19">
        <v>0.19519484659796199</v>
      </c>
      <c r="V19">
        <v>0.1739884216137125</v>
      </c>
      <c r="W19">
        <v>0.26151018756845368</v>
      </c>
      <c r="X19">
        <v>0.16048399413858039</v>
      </c>
      <c r="Y19">
        <v>0.16237075651740521</v>
      </c>
      <c r="Z19">
        <v>0.11056627263387429</v>
      </c>
      <c r="AA19">
        <v>0.14753730648879079</v>
      </c>
      <c r="AB19">
        <v>0.16425911081802921</v>
      </c>
      <c r="AC19">
        <v>0.17496216927671529</v>
      </c>
      <c r="AD19">
        <v>0.20373261691016961</v>
      </c>
      <c r="AE19">
        <v>0.20671794975516361</v>
      </c>
      <c r="AF19">
        <v>0.19711112565305039</v>
      </c>
      <c r="AG19">
        <v>0.19319746902940499</v>
      </c>
      <c r="AH19">
        <v>0.15509850711834219</v>
      </c>
      <c r="AI19">
        <v>0.14193451163452631</v>
      </c>
      <c r="AJ19">
        <v>0.1583322987912483</v>
      </c>
      <c r="AK19">
        <v>0.15745787348979229</v>
      </c>
      <c r="AL19">
        <v>0.12121774225542201</v>
      </c>
      <c r="AM19">
        <v>0.1143664118368698</v>
      </c>
      <c r="AN19">
        <v>0.13897441520538689</v>
      </c>
      <c r="AO19">
        <v>0.15294457837156339</v>
      </c>
      <c r="AP19">
        <v>0.12930626526128261</v>
      </c>
      <c r="AQ19">
        <v>0.11605195731650959</v>
      </c>
      <c r="AR19">
        <v>0.1412474918812201</v>
      </c>
      <c r="AS19">
        <v>0.1151415197826027</v>
      </c>
      <c r="AT19">
        <v>6.4980146234843147E-2</v>
      </c>
      <c r="AU19">
        <v>3.737334699660136E-3</v>
      </c>
      <c r="AV19">
        <v>1.329270926180178E-2</v>
      </c>
      <c r="AW19">
        <v>8.6250072836402139E-2</v>
      </c>
      <c r="AX19">
        <v>7.2687363749309189E-2</v>
      </c>
      <c r="AY19">
        <v>6.293535746673283E-2</v>
      </c>
      <c r="AZ19">
        <v>6.8551731516270142E-2</v>
      </c>
      <c r="BA19">
        <v>6.4228305424766943E-2</v>
      </c>
      <c r="BB19">
        <v>0.10573382443972271</v>
      </c>
      <c r="BC19">
        <v>0.110677976816858</v>
      </c>
    </row>
    <row r="20" spans="1:55" x14ac:dyDescent="0.35">
      <c r="A20" s="1" t="s">
        <v>18</v>
      </c>
      <c r="B20">
        <v>2.319576517014274E-2</v>
      </c>
      <c r="C20">
        <v>-8.1094510619267368E-2</v>
      </c>
      <c r="D20">
        <v>2.3474852774241741E-2</v>
      </c>
      <c r="E20">
        <v>-0.20834117383012779</v>
      </c>
      <c r="F20">
        <v>-0.17889023334844811</v>
      </c>
      <c r="G20">
        <v>-0.21761343581452749</v>
      </c>
      <c r="H20">
        <v>5.3992582528056603E-2</v>
      </c>
      <c r="I20">
        <v>9.3638263836412841E-2</v>
      </c>
      <c r="J20">
        <v>0.2805880751017274</v>
      </c>
      <c r="K20">
        <v>7.7527628038621038E-2</v>
      </c>
      <c r="L20">
        <v>0.1082518247552606</v>
      </c>
      <c r="M20">
        <v>7.9317563933784113E-2</v>
      </c>
      <c r="N20">
        <v>-0.16189886994851679</v>
      </c>
      <c r="O20">
        <v>8.5179761357018963E-2</v>
      </c>
      <c r="P20">
        <v>0.1780872352896874</v>
      </c>
      <c r="Q20">
        <v>0.1860376062160897</v>
      </c>
      <c r="R20">
        <v>0.27312539774763911</v>
      </c>
      <c r="S20">
        <v>0.53315692583325658</v>
      </c>
      <c r="T20">
        <v>1</v>
      </c>
      <c r="U20">
        <v>0.15885334818499269</v>
      </c>
      <c r="V20">
        <v>0.25604744360483112</v>
      </c>
      <c r="W20">
        <v>0.36385453436204102</v>
      </c>
      <c r="X20">
        <v>0.22490005160835461</v>
      </c>
      <c r="Y20">
        <v>0.21651059061356601</v>
      </c>
      <c r="Z20">
        <v>0.1715915989676457</v>
      </c>
      <c r="AA20">
        <v>0.1969306552825324</v>
      </c>
      <c r="AB20">
        <v>0.21212987245182621</v>
      </c>
      <c r="AC20">
        <v>0.27077310989593878</v>
      </c>
      <c r="AD20">
        <v>0.40225643932040139</v>
      </c>
      <c r="AE20">
        <v>0.30515539892068982</v>
      </c>
      <c r="AF20">
        <v>0.27328946691930672</v>
      </c>
      <c r="AG20">
        <v>0.257372211355473</v>
      </c>
      <c r="AH20">
        <v>0.1792408941889701</v>
      </c>
      <c r="AI20">
        <v>0.14973420043857891</v>
      </c>
      <c r="AJ20">
        <v>0.1218241985079228</v>
      </c>
      <c r="AK20">
        <v>0.2024161757643968</v>
      </c>
      <c r="AL20">
        <v>0.16913204045891569</v>
      </c>
      <c r="AM20">
        <v>0.11532460441929319</v>
      </c>
      <c r="AN20">
        <v>0.1002899539751106</v>
      </c>
      <c r="AO20">
        <v>0.14749840403198561</v>
      </c>
      <c r="AP20">
        <v>0.19367984554241249</v>
      </c>
      <c r="AQ20">
        <v>2.6849750257169451E-2</v>
      </c>
      <c r="AR20">
        <v>8.4036424585316044E-2</v>
      </c>
      <c r="AS20">
        <v>0.1163888280116817</v>
      </c>
      <c r="AT20">
        <v>0.15474138571527549</v>
      </c>
      <c r="AU20">
        <v>-6.7281450829456268E-5</v>
      </c>
      <c r="AV20">
        <v>5.2701535226139837E-2</v>
      </c>
      <c r="AW20">
        <v>7.0180102616599196E-2</v>
      </c>
      <c r="AX20">
        <v>-6.0750936199684804E-3</v>
      </c>
      <c r="AY20">
        <v>-1.3164757123508239E-2</v>
      </c>
      <c r="AZ20">
        <v>0.1025218614825356</v>
      </c>
      <c r="BA20">
        <v>0.2235807821704098</v>
      </c>
      <c r="BB20">
        <v>0.1782304783184408</v>
      </c>
      <c r="BC20">
        <v>0.11542460584614669</v>
      </c>
    </row>
    <row r="21" spans="1:55" x14ac:dyDescent="0.35">
      <c r="A21" s="1" t="s">
        <v>19</v>
      </c>
      <c r="B21">
        <v>3.5427703052689358E-2</v>
      </c>
      <c r="C21">
        <v>-2.2271674390659409E-2</v>
      </c>
      <c r="D21">
        <v>-2.5097846228581619E-2</v>
      </c>
      <c r="E21">
        <v>-6.9972264033142773E-2</v>
      </c>
      <c r="F21">
        <v>-5.8649244105264342E-2</v>
      </c>
      <c r="G21">
        <v>-4.1895340652451603E-2</v>
      </c>
      <c r="H21">
        <v>2.807079755425082E-2</v>
      </c>
      <c r="I21">
        <v>3.9732920915625823E-2</v>
      </c>
      <c r="J21">
        <v>2.155934441329058E-2</v>
      </c>
      <c r="K21">
        <v>3.2096598989331079E-2</v>
      </c>
      <c r="L21">
        <v>3.9078734223295858E-2</v>
      </c>
      <c r="M21">
        <v>0.1442774703475625</v>
      </c>
      <c r="N21">
        <v>2.9181563078841049E-2</v>
      </c>
      <c r="O21">
        <v>0.20246487209288949</v>
      </c>
      <c r="P21">
        <v>0.25165061771734082</v>
      </c>
      <c r="Q21">
        <v>0.13928875824100989</v>
      </c>
      <c r="R21">
        <v>0.1067437118267629</v>
      </c>
      <c r="S21">
        <v>0.19519484659796199</v>
      </c>
      <c r="T21">
        <v>0.15885334818499269</v>
      </c>
      <c r="U21">
        <v>1</v>
      </c>
      <c r="V21">
        <v>0.39261628905420848</v>
      </c>
      <c r="W21">
        <v>0.25946088677208717</v>
      </c>
      <c r="X21">
        <v>0.15771173376959949</v>
      </c>
      <c r="Y21">
        <v>0.1395342776298531</v>
      </c>
      <c r="Z21">
        <v>8.2969796686259673E-2</v>
      </c>
      <c r="AA21">
        <v>3.2987974357451738E-2</v>
      </c>
      <c r="AB21">
        <v>6.5548485050682642E-2</v>
      </c>
      <c r="AC21">
        <v>5.782827763482911E-2</v>
      </c>
      <c r="AD21">
        <v>9.2819609223563471E-2</v>
      </c>
      <c r="AE21">
        <v>0.13163317294466559</v>
      </c>
      <c r="AF21">
        <v>9.288224261462151E-2</v>
      </c>
      <c r="AG21">
        <v>4.4343066532343697E-2</v>
      </c>
      <c r="AH21">
        <v>6.6079246785819307E-2</v>
      </c>
      <c r="AI21">
        <v>2.946666662176196E-2</v>
      </c>
      <c r="AJ21">
        <v>5.9667366989944862E-2</v>
      </c>
      <c r="AK21">
        <v>9.9209591382049878E-2</v>
      </c>
      <c r="AL21">
        <v>4.361430799966081E-2</v>
      </c>
      <c r="AM21">
        <v>3.7401113732650211E-2</v>
      </c>
      <c r="AN21">
        <v>6.6363870557108767E-2</v>
      </c>
      <c r="AO21">
        <v>7.9159516243365799E-2</v>
      </c>
      <c r="AP21">
        <v>0.1012634027903279</v>
      </c>
      <c r="AQ21">
        <v>8.0257952822739204E-2</v>
      </c>
      <c r="AR21">
        <v>7.8882298576303869E-2</v>
      </c>
      <c r="AS21">
        <v>5.089896545440286E-2</v>
      </c>
      <c r="AT21">
        <v>-1.4448553132872429E-2</v>
      </c>
      <c r="AU21">
        <v>-4.4433330315000123E-2</v>
      </c>
      <c r="AV21">
        <v>-6.5892148082488519E-3</v>
      </c>
      <c r="AW21">
        <v>1.5294259857431859E-2</v>
      </c>
      <c r="AX21">
        <v>-1.185995873043493E-2</v>
      </c>
      <c r="AY21">
        <v>6.2930808207096629E-3</v>
      </c>
      <c r="AZ21">
        <v>-1.745333057725441E-2</v>
      </c>
      <c r="BA21">
        <v>8.5789130760503696E-3</v>
      </c>
      <c r="BB21">
        <v>1.5006322405228281E-2</v>
      </c>
      <c r="BC21">
        <v>1.0792005263127751E-2</v>
      </c>
    </row>
    <row r="22" spans="1:55" x14ac:dyDescent="0.35">
      <c r="A22" s="1" t="s">
        <v>20</v>
      </c>
      <c r="B22">
        <v>3.8958986827527582E-2</v>
      </c>
      <c r="C22">
        <v>-3.0725406398879319E-2</v>
      </c>
      <c r="D22">
        <v>-3.1801189668867143E-2</v>
      </c>
      <c r="E22">
        <v>-0.1017352001097679</v>
      </c>
      <c r="F22">
        <v>-9.1282489981582476E-2</v>
      </c>
      <c r="G22">
        <v>-3.1613469013048359E-2</v>
      </c>
      <c r="H22">
        <v>6.7324702044265092E-2</v>
      </c>
      <c r="I22">
        <v>8.2640886552496448E-2</v>
      </c>
      <c r="J22">
        <v>0.13735146959222741</v>
      </c>
      <c r="K22">
        <v>2.8664144976537121E-2</v>
      </c>
      <c r="L22">
        <v>6.9513411135179101E-2</v>
      </c>
      <c r="M22">
        <v>0.15054950374334669</v>
      </c>
      <c r="N22">
        <v>-2.2918979771544968E-3</v>
      </c>
      <c r="O22">
        <v>0.1761353367811391</v>
      </c>
      <c r="P22">
        <v>0.24520879459429501</v>
      </c>
      <c r="Q22">
        <v>0.1228881799552376</v>
      </c>
      <c r="R22">
        <v>9.6661175446878203E-2</v>
      </c>
      <c r="S22">
        <v>0.1739884216137125</v>
      </c>
      <c r="T22">
        <v>0.25604744360483112</v>
      </c>
      <c r="U22">
        <v>0.39261628905420848</v>
      </c>
      <c r="V22">
        <v>1</v>
      </c>
      <c r="W22">
        <v>0.46458686975193669</v>
      </c>
      <c r="X22">
        <v>0.2033253491081331</v>
      </c>
      <c r="Y22">
        <v>0.19114298990930631</v>
      </c>
      <c r="Z22">
        <v>0.1271447753156725</v>
      </c>
      <c r="AA22">
        <v>0.1156974093676791</v>
      </c>
      <c r="AB22">
        <v>0.18801227862281289</v>
      </c>
      <c r="AC22">
        <v>0.1823683949309671</v>
      </c>
      <c r="AD22">
        <v>0.2524592349367823</v>
      </c>
      <c r="AE22">
        <v>0.2084131186365856</v>
      </c>
      <c r="AF22">
        <v>0.17597413515640861</v>
      </c>
      <c r="AG22">
        <v>0.19794611684601521</v>
      </c>
      <c r="AH22">
        <v>0.15556783125833309</v>
      </c>
      <c r="AI22">
        <v>0.1028471676863804</v>
      </c>
      <c r="AJ22">
        <v>0.1483406636933326</v>
      </c>
      <c r="AK22">
        <v>0.14479921432412021</v>
      </c>
      <c r="AL22">
        <v>0.12290393429242739</v>
      </c>
      <c r="AM22">
        <v>0.1245153134376752</v>
      </c>
      <c r="AN22">
        <v>0.100533128013114</v>
      </c>
      <c r="AO22">
        <v>0.1094503074961575</v>
      </c>
      <c r="AP22">
        <v>0.1781750575445368</v>
      </c>
      <c r="AQ22">
        <v>7.3139366403830161E-2</v>
      </c>
      <c r="AR22">
        <v>0.102762572980024</v>
      </c>
      <c r="AS22">
        <v>0.12689268390922759</v>
      </c>
      <c r="AT22">
        <v>8.9960182822979753E-2</v>
      </c>
      <c r="AU22">
        <v>4.6806440980652238E-2</v>
      </c>
      <c r="AV22">
        <v>5.5817093872070907E-2</v>
      </c>
      <c r="AW22">
        <v>0.10358441814466141</v>
      </c>
      <c r="AX22">
        <v>3.0762553582420259E-2</v>
      </c>
      <c r="AY22">
        <v>2.1191263746740061E-2</v>
      </c>
      <c r="AZ22">
        <v>9.5794073285100215E-2</v>
      </c>
      <c r="BA22">
        <v>0.1103676722653664</v>
      </c>
      <c r="BB22">
        <v>8.1740777374010656E-2</v>
      </c>
      <c r="BC22">
        <v>0.1296864859765462</v>
      </c>
    </row>
    <row r="23" spans="1:55" x14ac:dyDescent="0.35">
      <c r="A23" s="1" t="s">
        <v>21</v>
      </c>
      <c r="B23">
        <v>4.2716346997672412E-2</v>
      </c>
      <c r="C23">
        <v>-0.13856662915941181</v>
      </c>
      <c r="D23">
        <v>-0.1242735538136823</v>
      </c>
      <c r="E23">
        <v>-0.21908832786499649</v>
      </c>
      <c r="F23">
        <v>-0.21220733276122311</v>
      </c>
      <c r="G23">
        <v>-0.1719490979393262</v>
      </c>
      <c r="H23">
        <v>2.6079617873182019E-2</v>
      </c>
      <c r="I23">
        <v>-2.781487498327307E-3</v>
      </c>
      <c r="J23">
        <v>0.13280684012467339</v>
      </c>
      <c r="K23">
        <v>1.5971182807753479E-2</v>
      </c>
      <c r="L23">
        <v>-4.7447839220795627E-3</v>
      </c>
      <c r="M23">
        <v>0.2079176055652551</v>
      </c>
      <c r="N23">
        <v>-3.0601578223562419E-2</v>
      </c>
      <c r="O23">
        <v>0.18468977251955429</v>
      </c>
      <c r="P23">
        <v>0.27083491845679419</v>
      </c>
      <c r="Q23">
        <v>5.3868589723915228E-2</v>
      </c>
      <c r="R23">
        <v>0.1156945435677495</v>
      </c>
      <c r="S23">
        <v>0.26151018756845368</v>
      </c>
      <c r="T23">
        <v>0.36385453436204102</v>
      </c>
      <c r="U23">
        <v>0.25946088677208717</v>
      </c>
      <c r="V23">
        <v>0.46458686975193669</v>
      </c>
      <c r="W23">
        <v>1</v>
      </c>
      <c r="X23">
        <v>0.29793415772293802</v>
      </c>
      <c r="Y23">
        <v>0.22699698391814591</v>
      </c>
      <c r="Z23">
        <v>0.27129745195337202</v>
      </c>
      <c r="AA23">
        <v>0.27334965346899681</v>
      </c>
      <c r="AB23">
        <v>0.26541881170081238</v>
      </c>
      <c r="AC23">
        <v>0.28828931587785628</v>
      </c>
      <c r="AD23">
        <v>0.3691372872767687</v>
      </c>
      <c r="AE23">
        <v>0.28391106131541621</v>
      </c>
      <c r="AF23">
        <v>0.25758374278198187</v>
      </c>
      <c r="AG23">
        <v>0.26942011403620819</v>
      </c>
      <c r="AH23">
        <v>0.22494634477996461</v>
      </c>
      <c r="AI23">
        <v>0.21734862986791501</v>
      </c>
      <c r="AJ23">
        <v>0.22322026833091629</v>
      </c>
      <c r="AK23">
        <v>0.22510856744162611</v>
      </c>
      <c r="AL23">
        <v>0.16791570530630839</v>
      </c>
      <c r="AM23">
        <v>0.17232173139405729</v>
      </c>
      <c r="AN23">
        <v>0.15140280074274989</v>
      </c>
      <c r="AO23">
        <v>0.17643038253940871</v>
      </c>
      <c r="AP23">
        <v>0.22117709784427031</v>
      </c>
      <c r="AQ23">
        <v>0.108370519455392</v>
      </c>
      <c r="AR23">
        <v>0.15926034165242739</v>
      </c>
      <c r="AS23">
        <v>0.1910948552879064</v>
      </c>
      <c r="AT23">
        <v>0.1326296846288039</v>
      </c>
      <c r="AU23">
        <v>0.1092962908084347</v>
      </c>
      <c r="AV23">
        <v>0.14138676727324651</v>
      </c>
      <c r="AW23">
        <v>0.1624734253590159</v>
      </c>
      <c r="AX23">
        <v>0.1247952081105162</v>
      </c>
      <c r="AY23">
        <v>0.12571590960167309</v>
      </c>
      <c r="AZ23">
        <v>0.15360520506541861</v>
      </c>
      <c r="BA23">
        <v>0.14087163038827191</v>
      </c>
      <c r="BB23">
        <v>8.4920781933679454E-2</v>
      </c>
      <c r="BC23">
        <v>0.1482769978731768</v>
      </c>
    </row>
    <row r="24" spans="1:55" x14ac:dyDescent="0.35">
      <c r="A24" s="1" t="s">
        <v>22</v>
      </c>
      <c r="B24">
        <v>2.5867723973835969E-2</v>
      </c>
      <c r="C24">
        <v>-6.8383264292623841E-2</v>
      </c>
      <c r="D24">
        <v>-5.7116506128592611E-3</v>
      </c>
      <c r="E24">
        <v>-7.256023852969648E-2</v>
      </c>
      <c r="F24">
        <v>-7.5533897091354968E-2</v>
      </c>
      <c r="G24">
        <v>-0.13450583621058021</v>
      </c>
      <c r="H24">
        <v>3.2482177434987873E-2</v>
      </c>
      <c r="I24">
        <v>5.6869977349154222E-2</v>
      </c>
      <c r="J24">
        <v>8.8898162178130319E-2</v>
      </c>
      <c r="K24">
        <v>5.8703262767318036E-3</v>
      </c>
      <c r="L24">
        <v>-2.611124339802701E-3</v>
      </c>
      <c r="M24">
        <v>0.13400772998952279</v>
      </c>
      <c r="N24">
        <v>1.053678389222421E-2</v>
      </c>
      <c r="O24">
        <v>0.12968448668562901</v>
      </c>
      <c r="P24">
        <v>0.1153091688226357</v>
      </c>
      <c r="Q24">
        <v>3.2247206655235117E-2</v>
      </c>
      <c r="R24">
        <v>7.5419468174916376E-2</v>
      </c>
      <c r="S24">
        <v>0.16048399413858039</v>
      </c>
      <c r="T24">
        <v>0.22490005160835461</v>
      </c>
      <c r="U24">
        <v>0.15771173376959949</v>
      </c>
      <c r="V24">
        <v>0.2033253491081331</v>
      </c>
      <c r="W24">
        <v>0.29793415772293802</v>
      </c>
      <c r="X24">
        <v>1</v>
      </c>
      <c r="Y24">
        <v>0.50622317568221076</v>
      </c>
      <c r="Z24">
        <v>0.26678292922004271</v>
      </c>
      <c r="AA24">
        <v>4.8823922409950087E-2</v>
      </c>
      <c r="AB24">
        <v>4.4226623472759533E-2</v>
      </c>
      <c r="AC24">
        <v>4.0250517327765307E-2</v>
      </c>
      <c r="AD24">
        <v>6.4913956404107118E-2</v>
      </c>
      <c r="AE24">
        <v>0.13137498466788081</v>
      </c>
      <c r="AF24">
        <v>8.7657645858496447E-2</v>
      </c>
      <c r="AG24">
        <v>6.6540472171733103E-2</v>
      </c>
      <c r="AH24">
        <v>7.4101017234953187E-2</v>
      </c>
      <c r="AI24">
        <v>4.0248295310851112E-2</v>
      </c>
      <c r="AJ24">
        <v>5.9152828948893003E-2</v>
      </c>
      <c r="AK24">
        <v>5.0339990466518089E-2</v>
      </c>
      <c r="AL24">
        <v>4.51662285706372E-2</v>
      </c>
      <c r="AM24">
        <v>1.8830260794370939E-2</v>
      </c>
      <c r="AN24">
        <v>1.980164166085013E-2</v>
      </c>
      <c r="AO24">
        <v>5.392087186464764E-2</v>
      </c>
      <c r="AP24">
        <v>3.3694183352746758E-2</v>
      </c>
      <c r="AQ24">
        <v>3.1623400842595323E-2</v>
      </c>
      <c r="AR24">
        <v>2.696424550766378E-2</v>
      </c>
      <c r="AS24">
        <v>-3.6809643433468099E-3</v>
      </c>
      <c r="AT24">
        <v>-2.4397604216748789E-2</v>
      </c>
      <c r="AU24">
        <v>-1.7568636785245249E-2</v>
      </c>
      <c r="AV24">
        <v>1.7651637080127531E-2</v>
      </c>
      <c r="AW24">
        <v>-8.2543577990544428E-3</v>
      </c>
      <c r="AX24">
        <v>-2.34770426082434E-2</v>
      </c>
      <c r="AY24">
        <v>4.8893021147511602E-2</v>
      </c>
      <c r="AZ24">
        <v>-5.1386836803192005E-4</v>
      </c>
      <c r="BA24">
        <v>2.077298555012996E-2</v>
      </c>
      <c r="BB24">
        <v>-1.0326891885717299E-2</v>
      </c>
      <c r="BC24">
        <v>3.5321533662841027E-2</v>
      </c>
    </row>
    <row r="25" spans="1:55" x14ac:dyDescent="0.35">
      <c r="A25" s="1" t="s">
        <v>23</v>
      </c>
      <c r="B25">
        <v>3.52794728206344E-2</v>
      </c>
      <c r="C25">
        <v>3.645721009031011E-2</v>
      </c>
      <c r="D25">
        <v>6.5872404649666899E-2</v>
      </c>
      <c r="E25">
        <v>6.3208007165125773E-3</v>
      </c>
      <c r="F25">
        <v>2.0088197050034218E-2</v>
      </c>
      <c r="G25">
        <v>-3.7251734457058552E-2</v>
      </c>
      <c r="H25">
        <v>5.9119840956994629E-2</v>
      </c>
      <c r="I25">
        <v>0.1067633541421743</v>
      </c>
      <c r="J25">
        <v>0.1228791620045238</v>
      </c>
      <c r="K25">
        <v>3.2458300448991888E-2</v>
      </c>
      <c r="L25">
        <v>-5.0117968811845834E-3</v>
      </c>
      <c r="M25">
        <v>0.13301539089436201</v>
      </c>
      <c r="N25">
        <v>5.1978911472028773E-2</v>
      </c>
      <c r="O25">
        <v>0.18006514307589891</v>
      </c>
      <c r="P25">
        <v>0.15655335271010909</v>
      </c>
      <c r="Q25">
        <v>8.3392946584720212E-2</v>
      </c>
      <c r="R25">
        <v>5.8374991637392987E-2</v>
      </c>
      <c r="S25">
        <v>0.16237075651740521</v>
      </c>
      <c r="T25">
        <v>0.21651059061356601</v>
      </c>
      <c r="U25">
        <v>0.1395342776298531</v>
      </c>
      <c r="V25">
        <v>0.19114298990930631</v>
      </c>
      <c r="W25">
        <v>0.22699698391814591</v>
      </c>
      <c r="X25">
        <v>0.50622317568221076</v>
      </c>
      <c r="Y25">
        <v>1</v>
      </c>
      <c r="Z25">
        <v>0.27560061959023657</v>
      </c>
      <c r="AA25">
        <v>9.3478148458292221E-2</v>
      </c>
      <c r="AB25">
        <v>5.4712441192274627E-2</v>
      </c>
      <c r="AC25">
        <v>3.7530235396961931E-2</v>
      </c>
      <c r="AD25">
        <v>0.12307999357737701</v>
      </c>
      <c r="AE25">
        <v>0.12438547106987891</v>
      </c>
      <c r="AF25">
        <v>8.1631108549140907E-2</v>
      </c>
      <c r="AG25">
        <v>7.2404029485942066E-3</v>
      </c>
      <c r="AH25">
        <v>2.8299857353216391E-2</v>
      </c>
      <c r="AI25">
        <v>8.2687882573152498E-3</v>
      </c>
      <c r="AJ25">
        <v>3.9306624595079803E-2</v>
      </c>
      <c r="AK25">
        <v>5.5461238702811493E-2</v>
      </c>
      <c r="AL25">
        <v>4.7329929678782953E-2</v>
      </c>
      <c r="AM25">
        <v>3.5344232206993363E-2</v>
      </c>
      <c r="AN25">
        <v>4.1052312119102111E-2</v>
      </c>
      <c r="AO25">
        <v>3.6379317584612061E-2</v>
      </c>
      <c r="AP25">
        <v>1.412095899358623E-2</v>
      </c>
      <c r="AQ25">
        <v>2.0177707113167648E-2</v>
      </c>
      <c r="AR25">
        <v>2.9347959885930201E-2</v>
      </c>
      <c r="AS25">
        <v>8.6378573061417999E-3</v>
      </c>
      <c r="AT25">
        <v>7.182452638299093E-2</v>
      </c>
      <c r="AU25">
        <v>6.568208485243833E-2</v>
      </c>
      <c r="AV25">
        <v>2.56820616467145E-2</v>
      </c>
      <c r="AW25">
        <v>2.7284061156647409E-2</v>
      </c>
      <c r="AX25">
        <v>6.6497426158579499E-3</v>
      </c>
      <c r="AY25">
        <v>1.2621606817394781E-2</v>
      </c>
      <c r="AZ25">
        <v>1.1767340620726111E-2</v>
      </c>
      <c r="BA25">
        <v>8.1648898786587931E-3</v>
      </c>
      <c r="BB25">
        <v>7.5897166915311509E-2</v>
      </c>
      <c r="BC25">
        <v>6.6243624831446288E-2</v>
      </c>
    </row>
    <row r="26" spans="1:55" x14ac:dyDescent="0.35">
      <c r="A26" s="1" t="s">
        <v>24</v>
      </c>
      <c r="B26">
        <v>3.0550522234411619E-2</v>
      </c>
      <c r="C26">
        <v>4.0702747837182661E-2</v>
      </c>
      <c r="D26">
        <v>7.5242623448935606E-2</v>
      </c>
      <c r="E26">
        <v>-3.9911900951293093E-3</v>
      </c>
      <c r="F26">
        <v>2.0278303794165958E-3</v>
      </c>
      <c r="G26">
        <v>-2.6733798430070569E-2</v>
      </c>
      <c r="H26">
        <v>2.5099055174814588E-2</v>
      </c>
      <c r="I26">
        <v>4.220775988260779E-2</v>
      </c>
      <c r="J26">
        <v>0.1217490194510822</v>
      </c>
      <c r="K26">
        <v>1.6663199738851539E-2</v>
      </c>
      <c r="L26">
        <v>-0.1096262554007179</v>
      </c>
      <c r="M26">
        <v>0.178380699951321</v>
      </c>
      <c r="N26">
        <v>1.416375660009106E-2</v>
      </c>
      <c r="O26">
        <v>0.10648869610724911</v>
      </c>
      <c r="P26">
        <v>0.1502013491703387</v>
      </c>
      <c r="Q26">
        <v>0.1284760127781488</v>
      </c>
      <c r="R26">
        <v>9.2694752137930506E-2</v>
      </c>
      <c r="S26">
        <v>0.11056627263387429</v>
      </c>
      <c r="T26">
        <v>0.1715915989676457</v>
      </c>
      <c r="U26">
        <v>8.2969796686259673E-2</v>
      </c>
      <c r="V26">
        <v>0.1271447753156725</v>
      </c>
      <c r="W26">
        <v>0.27129745195337202</v>
      </c>
      <c r="X26">
        <v>0.26678292922004271</v>
      </c>
      <c r="Y26">
        <v>0.27560061959023657</v>
      </c>
      <c r="Z26">
        <v>1</v>
      </c>
      <c r="AA26">
        <v>0.35347630704285488</v>
      </c>
      <c r="AB26">
        <v>0.20216218251492801</v>
      </c>
      <c r="AC26">
        <v>0.25173128780873338</v>
      </c>
      <c r="AD26">
        <v>0.1627119818903533</v>
      </c>
      <c r="AE26">
        <v>0.1238223296888646</v>
      </c>
      <c r="AF26">
        <v>0.1355660573342892</v>
      </c>
      <c r="AG26">
        <v>0.113027338581008</v>
      </c>
      <c r="AH26">
        <v>8.3245102877984978E-2</v>
      </c>
      <c r="AI26">
        <v>0.1054254673820062</v>
      </c>
      <c r="AJ26">
        <v>7.0570876323952633E-2</v>
      </c>
      <c r="AK26">
        <v>0.1114027719202164</v>
      </c>
      <c r="AL26">
        <v>7.7431454990155232E-2</v>
      </c>
      <c r="AM26">
        <v>5.4498216027857239E-2</v>
      </c>
      <c r="AN26">
        <v>2.865404340573861E-2</v>
      </c>
      <c r="AO26">
        <v>7.980703441669218E-2</v>
      </c>
      <c r="AP26">
        <v>0.1092114269168922</v>
      </c>
      <c r="AQ26">
        <v>-7.3309858585867763E-3</v>
      </c>
      <c r="AR26">
        <v>3.0226347896826E-2</v>
      </c>
      <c r="AS26">
        <v>8.3531170818473222E-2</v>
      </c>
      <c r="AT26">
        <v>9.6640982002887482E-2</v>
      </c>
      <c r="AU26">
        <v>0.1156787797261923</v>
      </c>
      <c r="AV26">
        <v>0.15271571596398589</v>
      </c>
      <c r="AW26">
        <v>0.1125784150329473</v>
      </c>
      <c r="AX26">
        <v>6.1645017496353968E-2</v>
      </c>
      <c r="AY26">
        <v>6.0067213914065998E-2</v>
      </c>
      <c r="AZ26">
        <v>7.7517596682416506E-2</v>
      </c>
      <c r="BA26">
        <v>4.9585841647332457E-2</v>
      </c>
      <c r="BB26">
        <v>2.8781975262805251E-2</v>
      </c>
      <c r="BC26">
        <v>0.1006565594754916</v>
      </c>
    </row>
    <row r="27" spans="1:55" x14ac:dyDescent="0.35">
      <c r="A27" s="1" t="s">
        <v>25</v>
      </c>
      <c r="B27">
        <v>2.6865018963826429E-2</v>
      </c>
      <c r="C27">
        <v>4.3561915696750553E-2</v>
      </c>
      <c r="D27">
        <v>-3.210881538726877E-3</v>
      </c>
      <c r="E27">
        <v>-1.55486153906968E-2</v>
      </c>
      <c r="F27">
        <v>1.8333313938253101E-2</v>
      </c>
      <c r="G27">
        <v>2.726192481795657E-2</v>
      </c>
      <c r="H27">
        <v>1.1522457224673649E-2</v>
      </c>
      <c r="I27">
        <v>-1.0898129107487411E-2</v>
      </c>
      <c r="J27">
        <v>9.7734759248418332E-2</v>
      </c>
      <c r="K27">
        <v>-2.7799149610960531E-2</v>
      </c>
      <c r="L27">
        <v>-0.1633604897810062</v>
      </c>
      <c r="M27">
        <v>0.20973931631221709</v>
      </c>
      <c r="N27">
        <v>0.12596955171444141</v>
      </c>
      <c r="O27">
        <v>0.23059673207431899</v>
      </c>
      <c r="P27">
        <v>0.42349248616191493</v>
      </c>
      <c r="Q27">
        <v>0.24066680348300629</v>
      </c>
      <c r="R27">
        <v>0.1214938161698997</v>
      </c>
      <c r="S27">
        <v>0.14753730648879079</v>
      </c>
      <c r="T27">
        <v>0.1969306552825324</v>
      </c>
      <c r="U27">
        <v>3.2987974357451738E-2</v>
      </c>
      <c r="V27">
        <v>0.1156974093676791</v>
      </c>
      <c r="W27">
        <v>0.27334965346899681</v>
      </c>
      <c r="X27">
        <v>4.8823922409950087E-2</v>
      </c>
      <c r="Y27">
        <v>9.3478148458292221E-2</v>
      </c>
      <c r="Z27">
        <v>0.35347630704285488</v>
      </c>
      <c r="AA27">
        <v>1</v>
      </c>
      <c r="AB27">
        <v>0.54570469693626067</v>
      </c>
      <c r="AC27">
        <v>0.5762882621777593</v>
      </c>
      <c r="AD27">
        <v>0.40903349369259351</v>
      </c>
      <c r="AE27">
        <v>0.23458716118567449</v>
      </c>
      <c r="AF27">
        <v>0.2518163150947817</v>
      </c>
      <c r="AG27">
        <v>0.24314087225292499</v>
      </c>
      <c r="AH27">
        <v>0.2488063462922552</v>
      </c>
      <c r="AI27">
        <v>0.2075565168662713</v>
      </c>
      <c r="AJ27">
        <v>0.14852711077368519</v>
      </c>
      <c r="AK27">
        <v>0.27095302806682248</v>
      </c>
      <c r="AL27">
        <v>0.17655002707299841</v>
      </c>
      <c r="AM27">
        <v>0.15062457313781</v>
      </c>
      <c r="AN27">
        <v>0.13215889363024491</v>
      </c>
      <c r="AO27">
        <v>0.19106225469057261</v>
      </c>
      <c r="AP27">
        <v>0.21331108034419011</v>
      </c>
      <c r="AQ27">
        <v>4.3455261328461572E-2</v>
      </c>
      <c r="AR27">
        <v>7.393589125061252E-2</v>
      </c>
      <c r="AS27">
        <v>0.1187318356317809</v>
      </c>
      <c r="AT27">
        <v>0.17380961003001311</v>
      </c>
      <c r="AU27">
        <v>0.1096566379460657</v>
      </c>
      <c r="AV27">
        <v>9.7098578965003429E-2</v>
      </c>
      <c r="AW27">
        <v>0.2017910423242921</v>
      </c>
      <c r="AX27">
        <v>9.0257206771151025E-2</v>
      </c>
      <c r="AY27">
        <v>3.9430054148053832E-2</v>
      </c>
      <c r="AZ27">
        <v>0.14955845706872389</v>
      </c>
      <c r="BA27">
        <v>0.1097705636842722</v>
      </c>
      <c r="BB27">
        <v>0.1139492928129309</v>
      </c>
      <c r="BC27">
        <v>0.19556774312417219</v>
      </c>
    </row>
    <row r="28" spans="1:55" x14ac:dyDescent="0.35">
      <c r="A28" s="1" t="s">
        <v>26</v>
      </c>
      <c r="B28">
        <v>3.4275302679619507E-2</v>
      </c>
      <c r="C28">
        <v>-6.6514477766236604E-2</v>
      </c>
      <c r="D28">
        <v>-8.9173216171826677E-2</v>
      </c>
      <c r="E28">
        <v>-0.12717406054670791</v>
      </c>
      <c r="F28">
        <v>-0.1261469711239406</v>
      </c>
      <c r="G28">
        <v>-7.6975000167324406E-2</v>
      </c>
      <c r="H28">
        <v>-2.389599762385976E-3</v>
      </c>
      <c r="I28">
        <v>-1.4858748242848359E-2</v>
      </c>
      <c r="J28">
        <v>8.5273565310143754E-2</v>
      </c>
      <c r="K28">
        <v>6.4051047485757543E-3</v>
      </c>
      <c r="L28">
        <v>-5.5862199651000213E-2</v>
      </c>
      <c r="M28">
        <v>0.1883455177002247</v>
      </c>
      <c r="N28">
        <v>3.8219160519608338E-2</v>
      </c>
      <c r="O28">
        <v>0.2182488765140069</v>
      </c>
      <c r="P28">
        <v>0.40943658805000782</v>
      </c>
      <c r="Q28">
        <v>0.15309857251464701</v>
      </c>
      <c r="R28">
        <v>0.1211602314020804</v>
      </c>
      <c r="S28">
        <v>0.16425911081802921</v>
      </c>
      <c r="T28">
        <v>0.21212987245182621</v>
      </c>
      <c r="U28">
        <v>6.5548485050682642E-2</v>
      </c>
      <c r="V28">
        <v>0.18801227862281289</v>
      </c>
      <c r="W28">
        <v>0.26541881170081238</v>
      </c>
      <c r="X28">
        <v>4.4226623472759533E-2</v>
      </c>
      <c r="Y28">
        <v>5.4712441192274627E-2</v>
      </c>
      <c r="Z28">
        <v>0.20216218251492801</v>
      </c>
      <c r="AA28">
        <v>0.54570469693626067</v>
      </c>
      <c r="AB28">
        <v>1</v>
      </c>
      <c r="AC28">
        <v>0.63323980090892662</v>
      </c>
      <c r="AD28">
        <v>0.4421620957949795</v>
      </c>
      <c r="AE28">
        <v>0.30646482972217559</v>
      </c>
      <c r="AF28">
        <v>0.30706923142350051</v>
      </c>
      <c r="AG28">
        <v>0.27657619899067909</v>
      </c>
      <c r="AH28">
        <v>0.29899528926594637</v>
      </c>
      <c r="AI28">
        <v>0.28830617634032762</v>
      </c>
      <c r="AJ28">
        <v>0.2213285466233077</v>
      </c>
      <c r="AK28">
        <v>0.2933455889005675</v>
      </c>
      <c r="AL28">
        <v>0.2242343220457122</v>
      </c>
      <c r="AM28">
        <v>0.19438101217072989</v>
      </c>
      <c r="AN28">
        <v>0.20521823953582791</v>
      </c>
      <c r="AO28">
        <v>0.24205897954877439</v>
      </c>
      <c r="AP28">
        <v>0.28906159823944011</v>
      </c>
      <c r="AQ28">
        <v>0.10474539799619741</v>
      </c>
      <c r="AR28">
        <v>0.1388221568885416</v>
      </c>
      <c r="AS28">
        <v>0.21202873331098229</v>
      </c>
      <c r="AT28">
        <v>0.20074483276137289</v>
      </c>
      <c r="AU28">
        <v>0.1413355939562454</v>
      </c>
      <c r="AV28">
        <v>0.17082462082982169</v>
      </c>
      <c r="AW28">
        <v>0.22871552579489601</v>
      </c>
      <c r="AX28">
        <v>0.1384869947903026</v>
      </c>
      <c r="AY28">
        <v>0.1171613054652588</v>
      </c>
      <c r="AZ28">
        <v>0.25761448087739192</v>
      </c>
      <c r="BA28">
        <v>0.18460842657684631</v>
      </c>
      <c r="BB28">
        <v>6.2675644302568667E-2</v>
      </c>
      <c r="BC28">
        <v>0.211289359095302</v>
      </c>
    </row>
    <row r="29" spans="1:55" x14ac:dyDescent="0.35">
      <c r="A29" s="1" t="s">
        <v>27</v>
      </c>
      <c r="B29">
        <v>3.7807735072260512E-2</v>
      </c>
      <c r="C29">
        <v>-5.5330729838777709E-2</v>
      </c>
      <c r="D29">
        <v>-6.7182076543203254E-2</v>
      </c>
      <c r="E29">
        <v>-0.1227791336923159</v>
      </c>
      <c r="F29">
        <v>-6.8531948585692934E-2</v>
      </c>
      <c r="G29">
        <v>-6.354601165928965E-2</v>
      </c>
      <c r="H29">
        <v>4.7201361685288478E-3</v>
      </c>
      <c r="I29">
        <v>2.8860801554120109E-2</v>
      </c>
      <c r="J29">
        <v>0.16581485425938181</v>
      </c>
      <c r="K29">
        <v>5.9194783905327014E-3</v>
      </c>
      <c r="L29">
        <v>-5.002191358885761E-2</v>
      </c>
      <c r="M29">
        <v>0.18875289458488759</v>
      </c>
      <c r="N29">
        <v>1.1526743058755189E-3</v>
      </c>
      <c r="O29">
        <v>0.22756484273037841</v>
      </c>
      <c r="P29">
        <v>0.41172866075905779</v>
      </c>
      <c r="Q29">
        <v>0.21822772132928631</v>
      </c>
      <c r="R29">
        <v>9.0600264180378753E-2</v>
      </c>
      <c r="S29">
        <v>0.17496216927671529</v>
      </c>
      <c r="T29">
        <v>0.27077310989593878</v>
      </c>
      <c r="U29">
        <v>5.782827763482911E-2</v>
      </c>
      <c r="V29">
        <v>0.1823683949309671</v>
      </c>
      <c r="W29">
        <v>0.28828931587785628</v>
      </c>
      <c r="X29">
        <v>4.0250517327765307E-2</v>
      </c>
      <c r="Y29">
        <v>3.7530235396961931E-2</v>
      </c>
      <c r="Z29">
        <v>0.25173128780873338</v>
      </c>
      <c r="AA29">
        <v>0.5762882621777593</v>
      </c>
      <c r="AB29">
        <v>0.63323980090892662</v>
      </c>
      <c r="AC29">
        <v>1</v>
      </c>
      <c r="AD29">
        <v>0.51521238124129853</v>
      </c>
      <c r="AE29">
        <v>0.38497997661706229</v>
      </c>
      <c r="AF29">
        <v>0.38355233867150129</v>
      </c>
      <c r="AG29">
        <v>0.34878734478921691</v>
      </c>
      <c r="AH29">
        <v>0.32414261163762792</v>
      </c>
      <c r="AI29">
        <v>0.31535336815686121</v>
      </c>
      <c r="AJ29">
        <v>0.2287599691618587</v>
      </c>
      <c r="AK29">
        <v>0.3490911849043713</v>
      </c>
      <c r="AL29">
        <v>0.26890408290193307</v>
      </c>
      <c r="AM29">
        <v>0.23380249269335229</v>
      </c>
      <c r="AN29">
        <v>0.22170169064740181</v>
      </c>
      <c r="AO29">
        <v>0.30379130545237382</v>
      </c>
      <c r="AP29">
        <v>0.37308327089329979</v>
      </c>
      <c r="AQ29">
        <v>9.0230412613093502E-2</v>
      </c>
      <c r="AR29">
        <v>0.14780052743505129</v>
      </c>
      <c r="AS29">
        <v>0.22386080393260921</v>
      </c>
      <c r="AT29">
        <v>0.32226993360602552</v>
      </c>
      <c r="AU29">
        <v>0.15209045976254959</v>
      </c>
      <c r="AV29">
        <v>0.21664219400783741</v>
      </c>
      <c r="AW29">
        <v>0.28491933822779791</v>
      </c>
      <c r="AX29">
        <v>0.15287475801961259</v>
      </c>
      <c r="AY29">
        <v>0.14030468993796941</v>
      </c>
      <c r="AZ29">
        <v>0.29974081373352351</v>
      </c>
      <c r="BA29">
        <v>0.26968008933020998</v>
      </c>
      <c r="BB29">
        <v>0.1066714018583577</v>
      </c>
      <c r="BC29">
        <v>0.24633868751573121</v>
      </c>
    </row>
    <row r="30" spans="1:55" x14ac:dyDescent="0.35">
      <c r="A30" s="1" t="s">
        <v>28</v>
      </c>
      <c r="B30">
        <v>1.114774476637675E-2</v>
      </c>
      <c r="C30">
        <v>1.7771096291834591E-2</v>
      </c>
      <c r="D30">
        <v>2.888185577357661E-2</v>
      </c>
      <c r="E30">
        <v>-8.0344461528097877E-2</v>
      </c>
      <c r="F30">
        <v>-4.5115636664383512E-3</v>
      </c>
      <c r="G30">
        <v>-4.2474979162629267E-2</v>
      </c>
      <c r="H30">
        <v>1.43112265349713E-2</v>
      </c>
      <c r="I30">
        <v>8.4997044365055563E-2</v>
      </c>
      <c r="J30">
        <v>0.25341170779094357</v>
      </c>
      <c r="K30">
        <v>3.1390580739180322E-2</v>
      </c>
      <c r="L30">
        <v>-1.189390702237164E-2</v>
      </c>
      <c r="M30">
        <v>0.12558439352384029</v>
      </c>
      <c r="N30">
        <v>7.5102004607141646E-3</v>
      </c>
      <c r="O30">
        <v>0.14379536339265861</v>
      </c>
      <c r="P30">
        <v>0.35902678343397232</v>
      </c>
      <c r="Q30">
        <v>0.3883457360420885</v>
      </c>
      <c r="R30">
        <v>0.1076181858805641</v>
      </c>
      <c r="S30">
        <v>0.20373261691016961</v>
      </c>
      <c r="T30">
        <v>0.40225643932040139</v>
      </c>
      <c r="U30">
        <v>9.2819609223563471E-2</v>
      </c>
      <c r="V30">
        <v>0.2524592349367823</v>
      </c>
      <c r="W30">
        <v>0.3691372872767687</v>
      </c>
      <c r="X30">
        <v>6.4913956404107118E-2</v>
      </c>
      <c r="Y30">
        <v>0.12307999357737701</v>
      </c>
      <c r="Z30">
        <v>0.1627119818903533</v>
      </c>
      <c r="AA30">
        <v>0.40903349369259351</v>
      </c>
      <c r="AB30">
        <v>0.4421620957949795</v>
      </c>
      <c r="AC30">
        <v>0.51521238124129853</v>
      </c>
      <c r="AD30">
        <v>1</v>
      </c>
      <c r="AE30">
        <v>0.42855451432467417</v>
      </c>
      <c r="AF30">
        <v>0.44377701938694442</v>
      </c>
      <c r="AG30">
        <v>0.39717611395225477</v>
      </c>
      <c r="AH30">
        <v>0.25098927893881229</v>
      </c>
      <c r="AI30">
        <v>0.21504084651327421</v>
      </c>
      <c r="AJ30">
        <v>0.1712056168819272</v>
      </c>
      <c r="AK30">
        <v>0.35692335342326043</v>
      </c>
      <c r="AL30">
        <v>0.29174390176682158</v>
      </c>
      <c r="AM30">
        <v>0.22561944888288291</v>
      </c>
      <c r="AN30">
        <v>0.22107928303101271</v>
      </c>
      <c r="AO30">
        <v>0.29713486336917277</v>
      </c>
      <c r="AP30">
        <v>0.33165857478306321</v>
      </c>
      <c r="AQ30">
        <v>7.9492888433635167E-2</v>
      </c>
      <c r="AR30">
        <v>0.13492146292270851</v>
      </c>
      <c r="AS30">
        <v>0.18852906045820611</v>
      </c>
      <c r="AT30">
        <v>0.31975532057315892</v>
      </c>
      <c r="AU30">
        <v>0.14081762787149801</v>
      </c>
      <c r="AV30">
        <v>0.17010448355315749</v>
      </c>
      <c r="AW30">
        <v>0.28121852894638882</v>
      </c>
      <c r="AX30">
        <v>9.6738897327667092E-2</v>
      </c>
      <c r="AY30">
        <v>5.5946965564517767E-2</v>
      </c>
      <c r="AZ30">
        <v>0.24146081264088071</v>
      </c>
      <c r="BA30">
        <v>0.28527123607936178</v>
      </c>
      <c r="BB30">
        <v>0.2145621989334936</v>
      </c>
      <c r="BC30">
        <v>0.25234821109867128</v>
      </c>
    </row>
    <row r="31" spans="1:55" x14ac:dyDescent="0.35">
      <c r="A31" s="1" t="s">
        <v>29</v>
      </c>
      <c r="B31">
        <v>-1.7050844752851919E-2</v>
      </c>
      <c r="C31">
        <v>1.169061268296139E-2</v>
      </c>
      <c r="D31">
        <v>6.2435722450567083E-2</v>
      </c>
      <c r="E31">
        <v>-2.142093021430087E-2</v>
      </c>
      <c r="F31">
        <v>8.0770007954709937E-3</v>
      </c>
      <c r="G31">
        <v>-4.1008826523157772E-2</v>
      </c>
      <c r="H31">
        <v>-3.4128110819546073E-2</v>
      </c>
      <c r="I31">
        <v>8.6470931213146043E-2</v>
      </c>
      <c r="J31">
        <v>0.14979128160035449</v>
      </c>
      <c r="K31">
        <v>6.5943499892748159E-3</v>
      </c>
      <c r="L31">
        <v>-1.201611947694963E-2</v>
      </c>
      <c r="M31">
        <v>0.1081973841666463</v>
      </c>
      <c r="N31">
        <v>-2.4885524845950639E-2</v>
      </c>
      <c r="O31">
        <v>0.16795709306718101</v>
      </c>
      <c r="P31">
        <v>0.22021966452832639</v>
      </c>
      <c r="Q31">
        <v>0.26405675379923432</v>
      </c>
      <c r="R31">
        <v>0.1137427153213381</v>
      </c>
      <c r="S31">
        <v>0.20671794975516361</v>
      </c>
      <c r="T31">
        <v>0.30515539892068982</v>
      </c>
      <c r="U31">
        <v>0.13163317294466559</v>
      </c>
      <c r="V31">
        <v>0.2084131186365856</v>
      </c>
      <c r="W31">
        <v>0.28391106131541621</v>
      </c>
      <c r="X31">
        <v>0.13137498466788081</v>
      </c>
      <c r="Y31">
        <v>0.12438547106987891</v>
      </c>
      <c r="Z31">
        <v>0.1238223296888646</v>
      </c>
      <c r="AA31">
        <v>0.23458716118567449</v>
      </c>
      <c r="AB31">
        <v>0.30646482972217559</v>
      </c>
      <c r="AC31">
        <v>0.38497997661706229</v>
      </c>
      <c r="AD31">
        <v>0.42855451432467417</v>
      </c>
      <c r="AE31">
        <v>1</v>
      </c>
      <c r="AF31">
        <v>0.65400439033633395</v>
      </c>
      <c r="AG31">
        <v>0.34908710647021601</v>
      </c>
      <c r="AH31">
        <v>0.19782578735423351</v>
      </c>
      <c r="AI31">
        <v>0.17917983230067339</v>
      </c>
      <c r="AJ31">
        <v>0.10342550223588901</v>
      </c>
      <c r="AK31">
        <v>0.1976316836383066</v>
      </c>
      <c r="AL31">
        <v>0.21843345887080781</v>
      </c>
      <c r="AM31">
        <v>0.16277688878602489</v>
      </c>
      <c r="AN31">
        <v>0.1224515998525446</v>
      </c>
      <c r="AO31">
        <v>0.159440418973996</v>
      </c>
      <c r="AP31">
        <v>0.21506525976240681</v>
      </c>
      <c r="AQ31">
        <v>8.1928894545950523E-2</v>
      </c>
      <c r="AR31">
        <v>0.12070721692419339</v>
      </c>
      <c r="AS31">
        <v>0.17902270099186121</v>
      </c>
      <c r="AT31">
        <v>9.9826284197001985E-2</v>
      </c>
      <c r="AU31">
        <v>7.7526257955835384E-2</v>
      </c>
      <c r="AV31">
        <v>0.15476016732505329</v>
      </c>
      <c r="AW31">
        <v>0.13922180144452481</v>
      </c>
      <c r="AX31">
        <v>0.13083511146844451</v>
      </c>
      <c r="AY31">
        <v>0.11233390763093171</v>
      </c>
      <c r="AZ31">
        <v>0.18012615481574071</v>
      </c>
      <c r="BA31">
        <v>0.19357732902543831</v>
      </c>
      <c r="BB31">
        <v>0.12104845050686</v>
      </c>
      <c r="BC31">
        <v>0.1225920451651227</v>
      </c>
    </row>
    <row r="32" spans="1:55" x14ac:dyDescent="0.35">
      <c r="A32" s="1" t="s">
        <v>30</v>
      </c>
      <c r="B32">
        <v>4.7317943310416829E-3</v>
      </c>
      <c r="C32">
        <v>3.6528002087015697E-2</v>
      </c>
      <c r="D32">
        <v>6.4323888894120482E-2</v>
      </c>
      <c r="E32">
        <v>-5.3520368045828466E-3</v>
      </c>
      <c r="F32">
        <v>3.8262042620828898E-2</v>
      </c>
      <c r="G32">
        <v>-1.0717046274019201E-2</v>
      </c>
      <c r="H32">
        <v>-3.7011899531856088E-2</v>
      </c>
      <c r="I32">
        <v>9.3828848194430367E-2</v>
      </c>
      <c r="J32">
        <v>0.16100685220432559</v>
      </c>
      <c r="K32">
        <v>3.1924870676935037E-2</v>
      </c>
      <c r="L32">
        <v>-2.127655559979842E-3</v>
      </c>
      <c r="M32">
        <v>7.2484577812688064E-2</v>
      </c>
      <c r="N32">
        <v>-1.21025564143349E-2</v>
      </c>
      <c r="O32">
        <v>0.11097882748955459</v>
      </c>
      <c r="P32">
        <v>0.19301668700684421</v>
      </c>
      <c r="Q32">
        <v>0.27353940157411111</v>
      </c>
      <c r="R32">
        <v>0.11366304619479441</v>
      </c>
      <c r="S32">
        <v>0.19711112565305039</v>
      </c>
      <c r="T32">
        <v>0.27328946691930672</v>
      </c>
      <c r="U32">
        <v>9.288224261462151E-2</v>
      </c>
      <c r="V32">
        <v>0.17597413515640861</v>
      </c>
      <c r="W32">
        <v>0.25758374278198187</v>
      </c>
      <c r="X32">
        <v>8.7657645858496447E-2</v>
      </c>
      <c r="Y32">
        <v>8.1631108549140907E-2</v>
      </c>
      <c r="Z32">
        <v>0.1355660573342892</v>
      </c>
      <c r="AA32">
        <v>0.2518163150947817</v>
      </c>
      <c r="AB32">
        <v>0.30706923142350051</v>
      </c>
      <c r="AC32">
        <v>0.38355233867150129</v>
      </c>
      <c r="AD32">
        <v>0.44377701938694442</v>
      </c>
      <c r="AE32">
        <v>0.65400439033633395</v>
      </c>
      <c r="AF32">
        <v>1</v>
      </c>
      <c r="AG32">
        <v>0.41024850112221739</v>
      </c>
      <c r="AH32">
        <v>0.19882689126494371</v>
      </c>
      <c r="AI32">
        <v>0.25466592842089242</v>
      </c>
      <c r="AJ32">
        <v>0.1513518121183286</v>
      </c>
      <c r="AK32">
        <v>0.21669846346990421</v>
      </c>
      <c r="AL32">
        <v>0.2920558766706286</v>
      </c>
      <c r="AM32">
        <v>0.23928763018081819</v>
      </c>
      <c r="AN32">
        <v>0.1337996873739514</v>
      </c>
      <c r="AO32">
        <v>0.1807497319458273</v>
      </c>
      <c r="AP32">
        <v>0.24956694017845341</v>
      </c>
      <c r="AQ32">
        <v>7.1505517651117137E-2</v>
      </c>
      <c r="AR32">
        <v>0.1292748320550246</v>
      </c>
      <c r="AS32">
        <v>0.20748328641201591</v>
      </c>
      <c r="AT32">
        <v>0.1745786111293062</v>
      </c>
      <c r="AU32">
        <v>0.1127192800928536</v>
      </c>
      <c r="AV32">
        <v>0.18545412521855281</v>
      </c>
      <c r="AW32">
        <v>0.18550157457556729</v>
      </c>
      <c r="AX32">
        <v>0.15592700226440331</v>
      </c>
      <c r="AY32">
        <v>8.5663556819842418E-2</v>
      </c>
      <c r="AZ32">
        <v>0.17525372150609961</v>
      </c>
      <c r="BA32">
        <v>0.18527864485294651</v>
      </c>
      <c r="BB32">
        <v>0.14628388880993509</v>
      </c>
      <c r="BC32">
        <v>0.15455385763189419</v>
      </c>
    </row>
    <row r="33" spans="1:55" x14ac:dyDescent="0.35">
      <c r="A33" s="1" t="s">
        <v>31</v>
      </c>
      <c r="B33">
        <v>1.512540923167603E-2</v>
      </c>
      <c r="C33">
        <v>-2.9602997637862241E-2</v>
      </c>
      <c r="D33">
        <v>-3.2723182257601263E-2</v>
      </c>
      <c r="E33">
        <v>-7.603997969642283E-2</v>
      </c>
      <c r="F33">
        <v>-6.0360889685760387E-2</v>
      </c>
      <c r="G33">
        <v>-6.9280018256076284E-2</v>
      </c>
      <c r="H33">
        <v>-7.3404309267972867E-3</v>
      </c>
      <c r="I33">
        <v>3.1857014588118293E-2</v>
      </c>
      <c r="J33">
        <v>0.19620972119635799</v>
      </c>
      <c r="K33">
        <v>4.2471877826043378E-2</v>
      </c>
      <c r="L33">
        <v>5.1904022259367237E-2</v>
      </c>
      <c r="M33">
        <v>5.2311557102330153E-2</v>
      </c>
      <c r="N33">
        <v>-4.5648498987233561E-2</v>
      </c>
      <c r="O33">
        <v>3.4262712740472122E-2</v>
      </c>
      <c r="P33">
        <v>0.14248987710580191</v>
      </c>
      <c r="Q33">
        <v>0.18488422872035321</v>
      </c>
      <c r="R33">
        <v>8.1302128641739788E-2</v>
      </c>
      <c r="S33">
        <v>0.19319746902940499</v>
      </c>
      <c r="T33">
        <v>0.257372211355473</v>
      </c>
      <c r="U33">
        <v>4.4343066532343697E-2</v>
      </c>
      <c r="V33">
        <v>0.19794611684601521</v>
      </c>
      <c r="W33">
        <v>0.26942011403620819</v>
      </c>
      <c r="X33">
        <v>6.6540472171733103E-2</v>
      </c>
      <c r="Y33">
        <v>7.2404029485942066E-3</v>
      </c>
      <c r="Z33">
        <v>0.113027338581008</v>
      </c>
      <c r="AA33">
        <v>0.24314087225292499</v>
      </c>
      <c r="AB33">
        <v>0.27657619899067909</v>
      </c>
      <c r="AC33">
        <v>0.34878734478921691</v>
      </c>
      <c r="AD33">
        <v>0.39717611395225477</v>
      </c>
      <c r="AE33">
        <v>0.34908710647021601</v>
      </c>
      <c r="AF33">
        <v>0.41024850112221739</v>
      </c>
      <c r="AG33">
        <v>1</v>
      </c>
      <c r="AH33">
        <v>0.28630507722759768</v>
      </c>
      <c r="AI33">
        <v>0.25648805809331582</v>
      </c>
      <c r="AJ33">
        <v>0.25283225539540138</v>
      </c>
      <c r="AK33">
        <v>0.28027828698726881</v>
      </c>
      <c r="AL33">
        <v>0.25954607621697873</v>
      </c>
      <c r="AM33">
        <v>0.19799040783617119</v>
      </c>
      <c r="AN33">
        <v>0.2378524042854035</v>
      </c>
      <c r="AO33">
        <v>0.2489325548170197</v>
      </c>
      <c r="AP33">
        <v>0.31406064764291308</v>
      </c>
      <c r="AQ33">
        <v>0.1160969235784967</v>
      </c>
      <c r="AR33">
        <v>0.19477026440934159</v>
      </c>
      <c r="AS33">
        <v>0.28810610566304568</v>
      </c>
      <c r="AT33">
        <v>0.17428610474959549</v>
      </c>
      <c r="AU33">
        <v>4.7873758907740448E-2</v>
      </c>
      <c r="AV33">
        <v>0.1376165268636545</v>
      </c>
      <c r="AW33">
        <v>0.20764581821324421</v>
      </c>
      <c r="AX33">
        <v>0.1203822085757313</v>
      </c>
      <c r="AY33">
        <v>0.1231187928154141</v>
      </c>
      <c r="AZ33">
        <v>0.2233006544655784</v>
      </c>
      <c r="BA33">
        <v>0.26728229707262641</v>
      </c>
      <c r="BB33">
        <v>0.13794890084589151</v>
      </c>
      <c r="BC33">
        <v>0.1904432170188064</v>
      </c>
    </row>
    <row r="34" spans="1:55" x14ac:dyDescent="0.35">
      <c r="A34" s="1" t="s">
        <v>32</v>
      </c>
      <c r="B34">
        <v>1.665121157290814E-2</v>
      </c>
      <c r="C34">
        <v>-3.8233981425487493E-2</v>
      </c>
      <c r="D34">
        <v>-7.266201456408021E-2</v>
      </c>
      <c r="E34">
        <v>-9.6343157404188112E-2</v>
      </c>
      <c r="F34">
        <v>-8.7180964797571522E-2</v>
      </c>
      <c r="G34">
        <v>-6.8063323781807836E-2</v>
      </c>
      <c r="H34">
        <v>-2.0970444750267742E-2</v>
      </c>
      <c r="I34">
        <v>-1.22579776008586E-2</v>
      </c>
      <c r="J34">
        <v>9.2525524456391353E-2</v>
      </c>
      <c r="K34">
        <v>-4.5860890496160323E-2</v>
      </c>
      <c r="L34">
        <v>1.859688172678375E-3</v>
      </c>
      <c r="M34">
        <v>0.1495918906487298</v>
      </c>
      <c r="N34">
        <v>2.0896822126654849E-2</v>
      </c>
      <c r="O34">
        <v>0.11427093726815719</v>
      </c>
      <c r="P34">
        <v>0.26134653122266288</v>
      </c>
      <c r="Q34">
        <v>6.8545875559315309E-2</v>
      </c>
      <c r="R34">
        <v>6.2752307143243077E-2</v>
      </c>
      <c r="S34">
        <v>0.15509850711834219</v>
      </c>
      <c r="T34">
        <v>0.1792408941889701</v>
      </c>
      <c r="U34">
        <v>6.6079246785819307E-2</v>
      </c>
      <c r="V34">
        <v>0.15556783125833309</v>
      </c>
      <c r="W34">
        <v>0.22494634477996461</v>
      </c>
      <c r="X34">
        <v>7.4101017234953187E-2</v>
      </c>
      <c r="Y34">
        <v>2.8299857353216391E-2</v>
      </c>
      <c r="Z34">
        <v>8.3245102877984978E-2</v>
      </c>
      <c r="AA34">
        <v>0.2488063462922552</v>
      </c>
      <c r="AB34">
        <v>0.29899528926594637</v>
      </c>
      <c r="AC34">
        <v>0.32414261163762792</v>
      </c>
      <c r="AD34">
        <v>0.25098927893881229</v>
      </c>
      <c r="AE34">
        <v>0.19782578735423351</v>
      </c>
      <c r="AF34">
        <v>0.19882689126494371</v>
      </c>
      <c r="AG34">
        <v>0.28630507722759768</v>
      </c>
      <c r="AH34">
        <v>1</v>
      </c>
      <c r="AI34">
        <v>0.53931580921838407</v>
      </c>
      <c r="AJ34">
        <v>0.42193041675619608</v>
      </c>
      <c r="AK34">
        <v>0.34316970961839088</v>
      </c>
      <c r="AL34">
        <v>0.26727738922356442</v>
      </c>
      <c r="AM34">
        <v>0.18243408608534639</v>
      </c>
      <c r="AN34">
        <v>0.16568051066633399</v>
      </c>
      <c r="AO34">
        <v>0.1890100004283731</v>
      </c>
      <c r="AP34">
        <v>0.196079019661618</v>
      </c>
      <c r="AQ34">
        <v>8.7485424149709681E-2</v>
      </c>
      <c r="AR34">
        <v>0.1575656495027504</v>
      </c>
      <c r="AS34">
        <v>0.1906410737997945</v>
      </c>
      <c r="AT34">
        <v>7.4595342981699411E-2</v>
      </c>
      <c r="AU34">
        <v>2.248441785491256E-2</v>
      </c>
      <c r="AV34">
        <v>4.50834620938418E-2</v>
      </c>
      <c r="AW34">
        <v>9.7701549237332611E-2</v>
      </c>
      <c r="AX34">
        <v>3.8102300339352468E-2</v>
      </c>
      <c r="AY34">
        <v>6.4311028067974285E-2</v>
      </c>
      <c r="AZ34">
        <v>8.7289390761239524E-2</v>
      </c>
      <c r="BA34">
        <v>5.6520064085221047E-2</v>
      </c>
      <c r="BB34">
        <v>4.3279975592569126E-3</v>
      </c>
      <c r="BC34">
        <v>3.7974863953095427E-2</v>
      </c>
    </row>
    <row r="35" spans="1:55" x14ac:dyDescent="0.35">
      <c r="A35" s="1" t="s">
        <v>33</v>
      </c>
      <c r="B35">
        <v>-8.3001189095866061E-3</v>
      </c>
      <c r="C35">
        <v>-5.1145432519381549E-2</v>
      </c>
      <c r="D35">
        <v>-6.9769143150487919E-2</v>
      </c>
      <c r="E35">
        <v>-8.149509251237913E-2</v>
      </c>
      <c r="F35">
        <v>-7.8422109382965663E-2</v>
      </c>
      <c r="G35">
        <v>-8.3966504704979239E-2</v>
      </c>
      <c r="H35">
        <v>-3.9253965977951244E-3</v>
      </c>
      <c r="I35">
        <v>1.9570586083546761E-2</v>
      </c>
      <c r="J35">
        <v>8.2448473956016413E-2</v>
      </c>
      <c r="K35">
        <v>-1.504073149683665E-2</v>
      </c>
      <c r="L35">
        <v>9.3555394950242936E-3</v>
      </c>
      <c r="M35">
        <v>0.13558845005962611</v>
      </c>
      <c r="N35">
        <v>1.0153543083424589E-2</v>
      </c>
      <c r="O35">
        <v>0.106368267791594</v>
      </c>
      <c r="P35">
        <v>0.17640675509295919</v>
      </c>
      <c r="Q35">
        <v>2.0990094425439639E-2</v>
      </c>
      <c r="R35">
        <v>7.105211961690476E-2</v>
      </c>
      <c r="S35">
        <v>0.14193451163452631</v>
      </c>
      <c r="T35">
        <v>0.14973420043857891</v>
      </c>
      <c r="U35">
        <v>2.946666662176196E-2</v>
      </c>
      <c r="V35">
        <v>0.1028471676863804</v>
      </c>
      <c r="W35">
        <v>0.21734862986791501</v>
      </c>
      <c r="X35">
        <v>4.0248295310851112E-2</v>
      </c>
      <c r="Y35">
        <v>8.2687882573152498E-3</v>
      </c>
      <c r="Z35">
        <v>0.1054254673820062</v>
      </c>
      <c r="AA35">
        <v>0.2075565168662713</v>
      </c>
      <c r="AB35">
        <v>0.28830617634032762</v>
      </c>
      <c r="AC35">
        <v>0.31535336815686121</v>
      </c>
      <c r="AD35">
        <v>0.21504084651327421</v>
      </c>
      <c r="AE35">
        <v>0.17917983230067339</v>
      </c>
      <c r="AF35">
        <v>0.25466592842089242</v>
      </c>
      <c r="AG35">
        <v>0.25648805809331582</v>
      </c>
      <c r="AH35">
        <v>0.53931580921838407</v>
      </c>
      <c r="AI35">
        <v>1</v>
      </c>
      <c r="AJ35">
        <v>0.51812605840524983</v>
      </c>
      <c r="AK35">
        <v>0.33592974986706697</v>
      </c>
      <c r="AL35">
        <v>0.34787727935600121</v>
      </c>
      <c r="AM35">
        <v>0.26799344016866838</v>
      </c>
      <c r="AN35">
        <v>0.2462766164910605</v>
      </c>
      <c r="AO35">
        <v>0.19353811547853611</v>
      </c>
      <c r="AP35">
        <v>0.24310145909571451</v>
      </c>
      <c r="AQ35">
        <v>0.1461093511470582</v>
      </c>
      <c r="AR35">
        <v>0.15315418710170289</v>
      </c>
      <c r="AS35">
        <v>0.22626349583767441</v>
      </c>
      <c r="AT35">
        <v>0.1186195403363285</v>
      </c>
      <c r="AU35">
        <v>7.063297667556781E-2</v>
      </c>
      <c r="AV35">
        <v>9.4834403014809707E-2</v>
      </c>
      <c r="AW35">
        <v>5.7116706134369047E-2</v>
      </c>
      <c r="AX35">
        <v>0.10141766221416559</v>
      </c>
      <c r="AY35">
        <v>9.0425962879561547E-2</v>
      </c>
      <c r="AZ35">
        <v>7.3999594765838381E-2</v>
      </c>
      <c r="BA35">
        <v>5.1325053813577173E-2</v>
      </c>
      <c r="BB35">
        <v>3.8795751381751511E-3</v>
      </c>
      <c r="BC35">
        <v>-8.3604781198440489E-3</v>
      </c>
    </row>
    <row r="36" spans="1:55" x14ac:dyDescent="0.35">
      <c r="A36" s="1" t="s">
        <v>34</v>
      </c>
      <c r="B36">
        <v>-1.479142833020078E-2</v>
      </c>
      <c r="C36">
        <v>-5.1813308321167997E-2</v>
      </c>
      <c r="D36">
        <v>-8.1884606840031279E-2</v>
      </c>
      <c r="E36">
        <v>-0.10563304995666729</v>
      </c>
      <c r="F36">
        <v>-0.1210871100634182</v>
      </c>
      <c r="G36">
        <v>-7.134751356832772E-2</v>
      </c>
      <c r="H36">
        <v>-3.1471626159719908E-4</v>
      </c>
      <c r="I36">
        <v>-4.7673753076996469E-3</v>
      </c>
      <c r="J36">
        <v>3.5551790329722312E-2</v>
      </c>
      <c r="K36">
        <v>-4.604129760750722E-2</v>
      </c>
      <c r="L36">
        <v>-1.518077008658766E-3</v>
      </c>
      <c r="M36">
        <v>0.1185608336073322</v>
      </c>
      <c r="N36">
        <v>3.8926190244679372E-3</v>
      </c>
      <c r="O36">
        <v>0.108885814170016</v>
      </c>
      <c r="P36">
        <v>0.15834854984133101</v>
      </c>
      <c r="Q36">
        <v>1.6538349407772841E-3</v>
      </c>
      <c r="R36">
        <v>5.2817027724645492E-2</v>
      </c>
      <c r="S36">
        <v>0.1583322987912483</v>
      </c>
      <c r="T36">
        <v>0.1218241985079228</v>
      </c>
      <c r="U36">
        <v>5.9667366989944862E-2</v>
      </c>
      <c r="V36">
        <v>0.1483406636933326</v>
      </c>
      <c r="W36">
        <v>0.22322026833091629</v>
      </c>
      <c r="X36">
        <v>5.9152828948893003E-2</v>
      </c>
      <c r="Y36">
        <v>3.9306624595079803E-2</v>
      </c>
      <c r="Z36">
        <v>7.0570876323952633E-2</v>
      </c>
      <c r="AA36">
        <v>0.14852711077368519</v>
      </c>
      <c r="AB36">
        <v>0.2213285466233077</v>
      </c>
      <c r="AC36">
        <v>0.2287599691618587</v>
      </c>
      <c r="AD36">
        <v>0.1712056168819272</v>
      </c>
      <c r="AE36">
        <v>0.10342550223588901</v>
      </c>
      <c r="AF36">
        <v>0.1513518121183286</v>
      </c>
      <c r="AG36">
        <v>0.25283225539540138</v>
      </c>
      <c r="AH36">
        <v>0.42193041675619608</v>
      </c>
      <c r="AI36">
        <v>0.51812605840524983</v>
      </c>
      <c r="AJ36">
        <v>1</v>
      </c>
      <c r="AK36">
        <v>0.43973287521919679</v>
      </c>
      <c r="AL36">
        <v>0.39079200513366791</v>
      </c>
      <c r="AM36">
        <v>0.35562806106447759</v>
      </c>
      <c r="AN36">
        <v>0.33491248230196169</v>
      </c>
      <c r="AO36">
        <v>0.2089339362834052</v>
      </c>
      <c r="AP36">
        <v>0.21922573879516741</v>
      </c>
      <c r="AQ36">
        <v>0.2369186833769697</v>
      </c>
      <c r="AR36">
        <v>0.22521506822173809</v>
      </c>
      <c r="AS36">
        <v>0.19760859308978501</v>
      </c>
      <c r="AT36">
        <v>0.11492394559421661</v>
      </c>
      <c r="AU36">
        <v>8.3558135380892032E-2</v>
      </c>
      <c r="AV36">
        <v>0.1044751365845917</v>
      </c>
      <c r="AW36">
        <v>0.102479776759615</v>
      </c>
      <c r="AX36">
        <v>0.12373221196665</v>
      </c>
      <c r="AY36">
        <v>0.1182602016983839</v>
      </c>
      <c r="AZ36">
        <v>5.7756882956145401E-2</v>
      </c>
      <c r="BA36">
        <v>1.119808245609915E-2</v>
      </c>
      <c r="BB36">
        <v>-2.5437162210582991E-2</v>
      </c>
      <c r="BC36">
        <v>-1.8975632400012151E-2</v>
      </c>
    </row>
    <row r="37" spans="1:55" x14ac:dyDescent="0.35">
      <c r="A37" s="1" t="s">
        <v>35</v>
      </c>
      <c r="B37">
        <v>-3.0298141425999479E-2</v>
      </c>
      <c r="C37">
        <v>-5.1663958815434258E-2</v>
      </c>
      <c r="D37">
        <v>-0.1147211941483631</v>
      </c>
      <c r="E37">
        <v>-8.6519980759595411E-2</v>
      </c>
      <c r="F37">
        <v>-6.172292838741103E-2</v>
      </c>
      <c r="G37">
        <v>-3.9561422638361737E-2</v>
      </c>
      <c r="H37">
        <v>-8.6007519663637878E-3</v>
      </c>
      <c r="I37">
        <v>3.2684621696701333E-2</v>
      </c>
      <c r="J37">
        <v>8.7968413919629201E-2</v>
      </c>
      <c r="K37">
        <v>-4.6526691175176743E-2</v>
      </c>
      <c r="L37">
        <v>1.081306532792598E-4</v>
      </c>
      <c r="M37">
        <v>0.14927482455522459</v>
      </c>
      <c r="N37">
        <v>3.4926387394423032E-2</v>
      </c>
      <c r="O37">
        <v>9.5133373601946555E-2</v>
      </c>
      <c r="P37">
        <v>0.26251728803093621</v>
      </c>
      <c r="Q37">
        <v>0.1482338374894884</v>
      </c>
      <c r="R37">
        <v>8.0279514470787114E-2</v>
      </c>
      <c r="S37">
        <v>0.15745787348979229</v>
      </c>
      <c r="T37">
        <v>0.2024161757643968</v>
      </c>
      <c r="U37">
        <v>9.9209591382049878E-2</v>
      </c>
      <c r="V37">
        <v>0.14479921432412021</v>
      </c>
      <c r="W37">
        <v>0.22510856744162611</v>
      </c>
      <c r="X37">
        <v>5.0339990466518089E-2</v>
      </c>
      <c r="Y37">
        <v>5.5461238702811493E-2</v>
      </c>
      <c r="Z37">
        <v>0.1114027719202164</v>
      </c>
      <c r="AA37">
        <v>0.27095302806682248</v>
      </c>
      <c r="AB37">
        <v>0.2933455889005675</v>
      </c>
      <c r="AC37">
        <v>0.3490911849043713</v>
      </c>
      <c r="AD37">
        <v>0.35692335342326043</v>
      </c>
      <c r="AE37">
        <v>0.1976316836383066</v>
      </c>
      <c r="AF37">
        <v>0.21669846346990421</v>
      </c>
      <c r="AG37">
        <v>0.28027828698726881</v>
      </c>
      <c r="AH37">
        <v>0.34316970961839088</v>
      </c>
      <c r="AI37">
        <v>0.33592974986706697</v>
      </c>
      <c r="AJ37">
        <v>0.43973287521919679</v>
      </c>
      <c r="AK37">
        <v>1</v>
      </c>
      <c r="AL37">
        <v>0.48202249972724692</v>
      </c>
      <c r="AM37">
        <v>0.39161566410894061</v>
      </c>
      <c r="AN37">
        <v>0.30624778411258857</v>
      </c>
      <c r="AO37">
        <v>0.30903177305674528</v>
      </c>
      <c r="AP37">
        <v>0.35173442194121701</v>
      </c>
      <c r="AQ37">
        <v>0.16002698231912041</v>
      </c>
      <c r="AR37">
        <v>0.13750129060111169</v>
      </c>
      <c r="AS37">
        <v>0.2086514937687205</v>
      </c>
      <c r="AT37">
        <v>0.11605425320485541</v>
      </c>
      <c r="AU37">
        <v>4.3323378478147392E-2</v>
      </c>
      <c r="AV37">
        <v>5.4680039074075128E-2</v>
      </c>
      <c r="AW37">
        <v>0.1730103614578431</v>
      </c>
      <c r="AX37">
        <v>9.1377120156578742E-2</v>
      </c>
      <c r="AY37">
        <v>3.396840694856821E-2</v>
      </c>
      <c r="AZ37">
        <v>0.12622528998670179</v>
      </c>
      <c r="BA37">
        <v>0.12919095887142851</v>
      </c>
      <c r="BB37">
        <v>4.7770457790084403E-2</v>
      </c>
      <c r="BC37">
        <v>0.1234981705272702</v>
      </c>
    </row>
    <row r="38" spans="1:55" x14ac:dyDescent="0.35">
      <c r="A38" s="1" t="s">
        <v>36</v>
      </c>
      <c r="B38">
        <v>-4.3648709858339352E-2</v>
      </c>
      <c r="C38">
        <v>-1.148539559092273E-2</v>
      </c>
      <c r="D38">
        <v>-4.2710801235677207E-2</v>
      </c>
      <c r="E38">
        <v>-4.2599317640643009E-2</v>
      </c>
      <c r="F38">
        <v>-1.004686874654168E-2</v>
      </c>
      <c r="G38">
        <v>-2.457100510018647E-2</v>
      </c>
      <c r="H38">
        <v>1.160128396643163E-2</v>
      </c>
      <c r="I38">
        <v>2.653751196722887E-2</v>
      </c>
      <c r="J38">
        <v>0.1032357759884546</v>
      </c>
      <c r="K38">
        <v>-4.6134807817870237E-2</v>
      </c>
      <c r="L38">
        <v>-4.9405230146398593E-3</v>
      </c>
      <c r="M38">
        <v>0.12516958305699549</v>
      </c>
      <c r="N38">
        <v>2.1633285653597661E-2</v>
      </c>
      <c r="O38">
        <v>6.3118786814578914E-2</v>
      </c>
      <c r="P38">
        <v>0.13336468574571159</v>
      </c>
      <c r="Q38">
        <v>0.14066051411742839</v>
      </c>
      <c r="R38">
        <v>8.7471024218371857E-2</v>
      </c>
      <c r="S38">
        <v>0.12121774225542201</v>
      </c>
      <c r="T38">
        <v>0.16913204045891569</v>
      </c>
      <c r="U38">
        <v>4.361430799966081E-2</v>
      </c>
      <c r="V38">
        <v>0.12290393429242739</v>
      </c>
      <c r="W38">
        <v>0.16791570530630839</v>
      </c>
      <c r="X38">
        <v>4.51662285706372E-2</v>
      </c>
      <c r="Y38">
        <v>4.7329929678782953E-2</v>
      </c>
      <c r="Z38">
        <v>7.7431454990155232E-2</v>
      </c>
      <c r="AA38">
        <v>0.17655002707299841</v>
      </c>
      <c r="AB38">
        <v>0.2242343220457122</v>
      </c>
      <c r="AC38">
        <v>0.26890408290193307</v>
      </c>
      <c r="AD38">
        <v>0.29174390176682158</v>
      </c>
      <c r="AE38">
        <v>0.21843345887080781</v>
      </c>
      <c r="AF38">
        <v>0.2920558766706286</v>
      </c>
      <c r="AG38">
        <v>0.25954607621697873</v>
      </c>
      <c r="AH38">
        <v>0.26727738922356442</v>
      </c>
      <c r="AI38">
        <v>0.34787727935600121</v>
      </c>
      <c r="AJ38">
        <v>0.39079200513366791</v>
      </c>
      <c r="AK38">
        <v>0.48202249972724692</v>
      </c>
      <c r="AL38">
        <v>1</v>
      </c>
      <c r="AM38">
        <v>0.54542170278947555</v>
      </c>
      <c r="AN38">
        <v>0.28124374464169838</v>
      </c>
      <c r="AO38">
        <v>0.30918493792889801</v>
      </c>
      <c r="AP38">
        <v>0.32142528619347482</v>
      </c>
      <c r="AQ38">
        <v>0.16144060314955039</v>
      </c>
      <c r="AR38">
        <v>0.18377372920455179</v>
      </c>
      <c r="AS38">
        <v>0.24106477924432601</v>
      </c>
      <c r="AT38">
        <v>0.18032613106556991</v>
      </c>
      <c r="AU38">
        <v>8.2210928171029637E-2</v>
      </c>
      <c r="AV38">
        <v>9.7419353380392038E-2</v>
      </c>
      <c r="AW38">
        <v>0.169537342492596</v>
      </c>
      <c r="AX38">
        <v>0.1133355553885709</v>
      </c>
      <c r="AY38">
        <v>1.30051471548457E-3</v>
      </c>
      <c r="AZ38">
        <v>0.1092461787021929</v>
      </c>
      <c r="BA38">
        <v>6.2146585392472989E-2</v>
      </c>
      <c r="BB38">
        <v>0.1027119864545061</v>
      </c>
      <c r="BC38">
        <v>0.14327807148894939</v>
      </c>
    </row>
    <row r="39" spans="1:55" x14ac:dyDescent="0.35">
      <c r="A39" s="1" t="s">
        <v>37</v>
      </c>
      <c r="B39">
        <v>-1.384674891772757E-2</v>
      </c>
      <c r="C39">
        <v>-8.9494764120717895E-3</v>
      </c>
      <c r="D39">
        <v>-4.6823191372137377E-2</v>
      </c>
      <c r="E39">
        <v>-3.5675907161222778E-2</v>
      </c>
      <c r="F39">
        <v>-3.4808356804551049E-3</v>
      </c>
      <c r="G39">
        <v>1.039695817846774E-2</v>
      </c>
      <c r="H39">
        <v>-2.8745330804310611E-2</v>
      </c>
      <c r="I39">
        <v>-3.055834385938188E-2</v>
      </c>
      <c r="J39">
        <v>1.891510660736832E-2</v>
      </c>
      <c r="K39">
        <v>-3.3944686244317797E-2</v>
      </c>
      <c r="L39">
        <v>-2.1467050925737689E-2</v>
      </c>
      <c r="M39">
        <v>0.1171273784750803</v>
      </c>
      <c r="N39">
        <v>4.1574905031073812E-2</v>
      </c>
      <c r="O39">
        <v>8.9023860958026904E-2</v>
      </c>
      <c r="P39">
        <v>0.12790797631812451</v>
      </c>
      <c r="Q39">
        <v>9.9265955203622358E-2</v>
      </c>
      <c r="R39">
        <v>6.8540668723042666E-2</v>
      </c>
      <c r="S39">
        <v>0.1143664118368698</v>
      </c>
      <c r="T39">
        <v>0.11532460441929319</v>
      </c>
      <c r="U39">
        <v>3.7401113732650211E-2</v>
      </c>
      <c r="V39">
        <v>0.1245153134376752</v>
      </c>
      <c r="W39">
        <v>0.17232173139405729</v>
      </c>
      <c r="X39">
        <v>1.8830260794370939E-2</v>
      </c>
      <c r="Y39">
        <v>3.5344232206993363E-2</v>
      </c>
      <c r="Z39">
        <v>5.4498216027857239E-2</v>
      </c>
      <c r="AA39">
        <v>0.15062457313781</v>
      </c>
      <c r="AB39">
        <v>0.19438101217072989</v>
      </c>
      <c r="AC39">
        <v>0.23380249269335229</v>
      </c>
      <c r="AD39">
        <v>0.22561944888288291</v>
      </c>
      <c r="AE39">
        <v>0.16277688878602489</v>
      </c>
      <c r="AF39">
        <v>0.23928763018081819</v>
      </c>
      <c r="AG39">
        <v>0.19799040783617119</v>
      </c>
      <c r="AH39">
        <v>0.18243408608534639</v>
      </c>
      <c r="AI39">
        <v>0.26799344016866838</v>
      </c>
      <c r="AJ39">
        <v>0.35562806106447759</v>
      </c>
      <c r="AK39">
        <v>0.39161566410894061</v>
      </c>
      <c r="AL39">
        <v>0.54542170278947555</v>
      </c>
      <c r="AM39">
        <v>1</v>
      </c>
      <c r="AN39">
        <v>0.4148001731166614</v>
      </c>
      <c r="AO39">
        <v>0.41049340984466021</v>
      </c>
      <c r="AP39">
        <v>0.40260066607292277</v>
      </c>
      <c r="AQ39">
        <v>0.26998555204839442</v>
      </c>
      <c r="AR39">
        <v>0.2015734309111574</v>
      </c>
      <c r="AS39">
        <v>0.27278716732742209</v>
      </c>
      <c r="AT39">
        <v>0.19480030151780839</v>
      </c>
      <c r="AU39">
        <v>0.12904042775139579</v>
      </c>
      <c r="AV39">
        <v>0.1030129243168018</v>
      </c>
      <c r="AW39">
        <v>0.17108792294378911</v>
      </c>
      <c r="AX39">
        <v>0.16044277103101209</v>
      </c>
      <c r="AY39">
        <v>5.6991469512767338E-2</v>
      </c>
      <c r="AZ39">
        <v>9.1785661458928497E-2</v>
      </c>
      <c r="BA39">
        <v>8.453844633477911E-3</v>
      </c>
      <c r="BB39">
        <v>5.6156277929413363E-2</v>
      </c>
      <c r="BC39">
        <v>0.13854610644784959</v>
      </c>
    </row>
    <row r="40" spans="1:55" x14ac:dyDescent="0.35">
      <c r="A40" s="1" t="s">
        <v>38</v>
      </c>
      <c r="B40">
        <v>-1.477058145859737E-2</v>
      </c>
      <c r="C40">
        <v>-5.4427815088546487E-2</v>
      </c>
      <c r="D40">
        <v>-8.4784052443246646E-2</v>
      </c>
      <c r="E40">
        <v>-9.0400112837384056E-2</v>
      </c>
      <c r="F40">
        <v>-9.6882868825783369E-2</v>
      </c>
      <c r="G40">
        <v>-6.1377490137709947E-2</v>
      </c>
      <c r="H40">
        <v>7.5142874240973316E-3</v>
      </c>
      <c r="I40">
        <v>-5.4050098375875268E-3</v>
      </c>
      <c r="J40">
        <v>-2.3310018016408831E-2</v>
      </c>
      <c r="K40">
        <v>-2.7294886558481921E-2</v>
      </c>
      <c r="L40">
        <v>-2.117155860860739E-2</v>
      </c>
      <c r="M40">
        <v>0.11442446142046329</v>
      </c>
      <c r="N40">
        <v>4.8132826270058902E-2</v>
      </c>
      <c r="O40">
        <v>0.13175619898528759</v>
      </c>
      <c r="P40">
        <v>0.1979754072353532</v>
      </c>
      <c r="Q40">
        <v>1.4848232222198219E-2</v>
      </c>
      <c r="R40">
        <v>6.7354281232543611E-2</v>
      </c>
      <c r="S40">
        <v>0.13897441520538689</v>
      </c>
      <c r="T40">
        <v>0.1002899539751106</v>
      </c>
      <c r="U40">
        <v>6.6363870557108767E-2</v>
      </c>
      <c r="V40">
        <v>0.100533128013114</v>
      </c>
      <c r="W40">
        <v>0.15140280074274989</v>
      </c>
      <c r="X40">
        <v>1.980164166085013E-2</v>
      </c>
      <c r="Y40">
        <v>4.1052312119102111E-2</v>
      </c>
      <c r="Z40">
        <v>2.865404340573861E-2</v>
      </c>
      <c r="AA40">
        <v>0.13215889363024491</v>
      </c>
      <c r="AB40">
        <v>0.20521823953582791</v>
      </c>
      <c r="AC40">
        <v>0.22170169064740181</v>
      </c>
      <c r="AD40">
        <v>0.22107928303101271</v>
      </c>
      <c r="AE40">
        <v>0.1224515998525446</v>
      </c>
      <c r="AF40">
        <v>0.1337996873739514</v>
      </c>
      <c r="AG40">
        <v>0.2378524042854035</v>
      </c>
      <c r="AH40">
        <v>0.16568051066633399</v>
      </c>
      <c r="AI40">
        <v>0.2462766164910605</v>
      </c>
      <c r="AJ40">
        <v>0.33491248230196169</v>
      </c>
      <c r="AK40">
        <v>0.30624778411258857</v>
      </c>
      <c r="AL40">
        <v>0.28124374464169838</v>
      </c>
      <c r="AM40">
        <v>0.4148001731166614</v>
      </c>
      <c r="AN40">
        <v>1</v>
      </c>
      <c r="AO40">
        <v>0.50741682738877114</v>
      </c>
      <c r="AP40">
        <v>0.38986714418546392</v>
      </c>
      <c r="AQ40">
        <v>0.32649594424086698</v>
      </c>
      <c r="AR40">
        <v>0.2589334537510154</v>
      </c>
      <c r="AS40">
        <v>0.24206782996382739</v>
      </c>
      <c r="AT40">
        <v>6.3671156098142639E-2</v>
      </c>
      <c r="AU40">
        <v>3.1408356445051563E-2</v>
      </c>
      <c r="AV40">
        <v>3.6605377608764741E-2</v>
      </c>
      <c r="AW40">
        <v>0.13289237342120611</v>
      </c>
      <c r="AX40">
        <v>0.14302260647066731</v>
      </c>
      <c r="AY40">
        <v>0.143905876543097</v>
      </c>
      <c r="AZ40">
        <v>7.6122271913737868E-2</v>
      </c>
      <c r="BA40">
        <v>1.7298406797524979E-2</v>
      </c>
      <c r="BB40">
        <v>5.0083896609668603E-2</v>
      </c>
      <c r="BC40">
        <v>2.6091947536313921E-2</v>
      </c>
    </row>
    <row r="41" spans="1:55" x14ac:dyDescent="0.35">
      <c r="A41" s="1" t="s">
        <v>39</v>
      </c>
      <c r="B41">
        <v>-4.9817980906431206E-3</v>
      </c>
      <c r="C41">
        <v>-4.2984848395400031E-2</v>
      </c>
      <c r="D41">
        <v>-5.4350850689243009E-2</v>
      </c>
      <c r="E41">
        <v>-4.8063116311830682E-2</v>
      </c>
      <c r="F41">
        <v>-4.513451949397939E-2</v>
      </c>
      <c r="G41">
        <v>-4.3803468603684899E-2</v>
      </c>
      <c r="H41">
        <v>-1.477116046946879E-2</v>
      </c>
      <c r="I41">
        <v>-1.8128389827132631E-2</v>
      </c>
      <c r="J41">
        <v>1.946006350503706E-2</v>
      </c>
      <c r="K41">
        <v>-5.7384068862345247E-2</v>
      </c>
      <c r="L41">
        <v>-1.6067238204416578E-2</v>
      </c>
      <c r="M41">
        <v>8.9245471352980082E-2</v>
      </c>
      <c r="N41">
        <v>1.835224655672418E-2</v>
      </c>
      <c r="O41">
        <v>7.8740593005301993E-2</v>
      </c>
      <c r="P41">
        <v>0.1864544244756432</v>
      </c>
      <c r="Q41">
        <v>8.2903701252947437E-2</v>
      </c>
      <c r="R41">
        <v>9.1084083420684331E-2</v>
      </c>
      <c r="S41">
        <v>0.15294457837156339</v>
      </c>
      <c r="T41">
        <v>0.14749840403198561</v>
      </c>
      <c r="U41">
        <v>7.9159516243365799E-2</v>
      </c>
      <c r="V41">
        <v>0.1094503074961575</v>
      </c>
      <c r="W41">
        <v>0.17643038253940871</v>
      </c>
      <c r="X41">
        <v>5.392087186464764E-2</v>
      </c>
      <c r="Y41">
        <v>3.6379317584612061E-2</v>
      </c>
      <c r="Z41">
        <v>7.980703441669218E-2</v>
      </c>
      <c r="AA41">
        <v>0.19106225469057261</v>
      </c>
      <c r="AB41">
        <v>0.24205897954877439</v>
      </c>
      <c r="AC41">
        <v>0.30379130545237382</v>
      </c>
      <c r="AD41">
        <v>0.29713486336917277</v>
      </c>
      <c r="AE41">
        <v>0.159440418973996</v>
      </c>
      <c r="AF41">
        <v>0.1807497319458273</v>
      </c>
      <c r="AG41">
        <v>0.2489325548170197</v>
      </c>
      <c r="AH41">
        <v>0.1890100004283731</v>
      </c>
      <c r="AI41">
        <v>0.19353811547853611</v>
      </c>
      <c r="AJ41">
        <v>0.2089339362834052</v>
      </c>
      <c r="AK41">
        <v>0.30903177305674528</v>
      </c>
      <c r="AL41">
        <v>0.30918493792889801</v>
      </c>
      <c r="AM41">
        <v>0.41049340984466021</v>
      </c>
      <c r="AN41">
        <v>0.50741682738877114</v>
      </c>
      <c r="AO41">
        <v>1</v>
      </c>
      <c r="AP41">
        <v>0.5054218381061083</v>
      </c>
      <c r="AQ41">
        <v>0.28780039127934759</v>
      </c>
      <c r="AR41">
        <v>0.29334231689104262</v>
      </c>
      <c r="AS41">
        <v>0.31056468186046798</v>
      </c>
      <c r="AT41">
        <v>0.1961143651263729</v>
      </c>
      <c r="AU41">
        <v>8.5359390245078048E-2</v>
      </c>
      <c r="AV41">
        <v>0.12878898833373681</v>
      </c>
      <c r="AW41">
        <v>0.26690478793019229</v>
      </c>
      <c r="AX41">
        <v>0.18563458837289759</v>
      </c>
      <c r="AY41">
        <v>0.16073536416505549</v>
      </c>
      <c r="AZ41">
        <v>0.21662915178460121</v>
      </c>
      <c r="BA41">
        <v>0.1044174402222013</v>
      </c>
      <c r="BB41">
        <v>8.0314115436843872E-2</v>
      </c>
      <c r="BC41">
        <v>0.17375340946750881</v>
      </c>
    </row>
    <row r="42" spans="1:55" x14ac:dyDescent="0.35">
      <c r="A42" s="1" t="s">
        <v>40</v>
      </c>
      <c r="B42">
        <v>1.4760052638520489E-2</v>
      </c>
      <c r="C42">
        <v>-5.9933004294662508E-2</v>
      </c>
      <c r="D42">
        <v>-7.4065055346172942E-2</v>
      </c>
      <c r="E42">
        <v>-0.10317722081984319</v>
      </c>
      <c r="F42">
        <v>-8.3196145957615417E-2</v>
      </c>
      <c r="G42">
        <v>-7.0475232907508387E-2</v>
      </c>
      <c r="H42">
        <v>-1.018973918124905E-2</v>
      </c>
      <c r="I42">
        <v>2.652614568097807E-2</v>
      </c>
      <c r="J42">
        <v>0.14723114975747759</v>
      </c>
      <c r="K42">
        <v>2.1060196966490891E-2</v>
      </c>
      <c r="L42">
        <v>4.0741241848906477E-2</v>
      </c>
      <c r="M42">
        <v>0.10736717212816151</v>
      </c>
      <c r="N42">
        <v>-7.9354837479588797E-2</v>
      </c>
      <c r="O42">
        <v>2.4003744168262099E-2</v>
      </c>
      <c r="P42">
        <v>0.19123799242575371</v>
      </c>
      <c r="Q42">
        <v>0.1163875383014004</v>
      </c>
      <c r="R42">
        <v>5.7218564539327048E-2</v>
      </c>
      <c r="S42">
        <v>0.12930626526128261</v>
      </c>
      <c r="T42">
        <v>0.19367984554241249</v>
      </c>
      <c r="U42">
        <v>0.1012634027903279</v>
      </c>
      <c r="V42">
        <v>0.1781750575445368</v>
      </c>
      <c r="W42">
        <v>0.22117709784427031</v>
      </c>
      <c r="X42">
        <v>3.3694183352746758E-2</v>
      </c>
      <c r="Y42">
        <v>1.412095899358623E-2</v>
      </c>
      <c r="Z42">
        <v>0.1092114269168922</v>
      </c>
      <c r="AA42">
        <v>0.21331108034419011</v>
      </c>
      <c r="AB42">
        <v>0.28906159823944011</v>
      </c>
      <c r="AC42">
        <v>0.37308327089329979</v>
      </c>
      <c r="AD42">
        <v>0.33165857478306321</v>
      </c>
      <c r="AE42">
        <v>0.21506525976240681</v>
      </c>
      <c r="AF42">
        <v>0.24956694017845341</v>
      </c>
      <c r="AG42">
        <v>0.31406064764291308</v>
      </c>
      <c r="AH42">
        <v>0.196079019661618</v>
      </c>
      <c r="AI42">
        <v>0.24310145909571451</v>
      </c>
      <c r="AJ42">
        <v>0.21922573879516741</v>
      </c>
      <c r="AK42">
        <v>0.35173442194121701</v>
      </c>
      <c r="AL42">
        <v>0.32142528619347482</v>
      </c>
      <c r="AM42">
        <v>0.40260066607292277</v>
      </c>
      <c r="AN42">
        <v>0.38986714418546392</v>
      </c>
      <c r="AO42">
        <v>0.5054218381061083</v>
      </c>
      <c r="AP42">
        <v>1</v>
      </c>
      <c r="AQ42">
        <v>0.32862849662790927</v>
      </c>
      <c r="AR42">
        <v>0.3733850783583732</v>
      </c>
      <c r="AS42">
        <v>0.49745873401803758</v>
      </c>
      <c r="AT42">
        <v>0.27890841917279691</v>
      </c>
      <c r="AU42">
        <v>0.1086350415420915</v>
      </c>
      <c r="AV42">
        <v>0.20799672638141681</v>
      </c>
      <c r="AW42">
        <v>0.33236427233690041</v>
      </c>
      <c r="AX42">
        <v>0.20544212759070521</v>
      </c>
      <c r="AY42">
        <v>0.155757893116417</v>
      </c>
      <c r="AZ42">
        <v>0.22055033003384039</v>
      </c>
      <c r="BA42">
        <v>0.22662863689608301</v>
      </c>
      <c r="BB42">
        <v>8.3563601955638195E-2</v>
      </c>
      <c r="BC42">
        <v>0.1479559136532527</v>
      </c>
    </row>
    <row r="43" spans="1:55" x14ac:dyDescent="0.35">
      <c r="A43" s="1" t="s">
        <v>41</v>
      </c>
      <c r="B43">
        <v>3.689392419019786E-3</v>
      </c>
      <c r="C43">
        <v>-3.2062459842536403E-2</v>
      </c>
      <c r="D43">
        <v>9.255974330887028E-3</v>
      </c>
      <c r="E43">
        <v>2.484855435956316E-3</v>
      </c>
      <c r="F43">
        <v>-4.3121994403112207E-2</v>
      </c>
      <c r="G43">
        <v>-3.7375039122943543E-2</v>
      </c>
      <c r="H43">
        <v>-4.6352815471617757E-2</v>
      </c>
      <c r="I43">
        <v>-1.924268857995259E-2</v>
      </c>
      <c r="J43">
        <v>-7.5072387324721782E-2</v>
      </c>
      <c r="K43">
        <v>-1.7690112286905889E-2</v>
      </c>
      <c r="L43">
        <v>4.1811555665824222E-2</v>
      </c>
      <c r="M43">
        <v>0.1286243277036809</v>
      </c>
      <c r="N43">
        <v>1.3102151359692759E-2</v>
      </c>
      <c r="O43">
        <v>0.14247954535461249</v>
      </c>
      <c r="P43">
        <v>7.1632581530651787E-2</v>
      </c>
      <c r="Q43">
        <v>-4.3381778848460298E-2</v>
      </c>
      <c r="R43">
        <v>4.1789906966572601E-2</v>
      </c>
      <c r="S43">
        <v>0.11605195731650959</v>
      </c>
      <c r="T43">
        <v>2.6849750257169451E-2</v>
      </c>
      <c r="U43">
        <v>8.0257952822739204E-2</v>
      </c>
      <c r="V43">
        <v>7.3139366403830161E-2</v>
      </c>
      <c r="W43">
        <v>0.108370519455392</v>
      </c>
      <c r="X43">
        <v>3.1623400842595323E-2</v>
      </c>
      <c r="Y43">
        <v>2.0177707113167648E-2</v>
      </c>
      <c r="Z43">
        <v>-7.3309858585867763E-3</v>
      </c>
      <c r="AA43">
        <v>4.3455261328461572E-2</v>
      </c>
      <c r="AB43">
        <v>0.10474539799619741</v>
      </c>
      <c r="AC43">
        <v>9.0230412613093502E-2</v>
      </c>
      <c r="AD43">
        <v>7.9492888433635167E-2</v>
      </c>
      <c r="AE43">
        <v>8.1928894545950523E-2</v>
      </c>
      <c r="AF43">
        <v>7.1505517651117137E-2</v>
      </c>
      <c r="AG43">
        <v>0.1160969235784967</v>
      </c>
      <c r="AH43">
        <v>8.7485424149709681E-2</v>
      </c>
      <c r="AI43">
        <v>0.1461093511470582</v>
      </c>
      <c r="AJ43">
        <v>0.2369186833769697</v>
      </c>
      <c r="AK43">
        <v>0.16002698231912041</v>
      </c>
      <c r="AL43">
        <v>0.16144060314955039</v>
      </c>
      <c r="AM43">
        <v>0.26998555204839442</v>
      </c>
      <c r="AN43">
        <v>0.32649594424086698</v>
      </c>
      <c r="AO43">
        <v>0.28780039127934759</v>
      </c>
      <c r="AP43">
        <v>0.32862849662790927</v>
      </c>
      <c r="AQ43">
        <v>1</v>
      </c>
      <c r="AR43">
        <v>0.58723740572037753</v>
      </c>
      <c r="AS43">
        <v>0.42230081062997288</v>
      </c>
      <c r="AT43">
        <v>2.5006107812398221E-2</v>
      </c>
      <c r="AU43">
        <v>8.0496556012257248E-3</v>
      </c>
      <c r="AV43">
        <v>2.542963433808117E-2</v>
      </c>
      <c r="AW43">
        <v>4.7905718697673898E-2</v>
      </c>
      <c r="AX43">
        <v>0.14927871342277019</v>
      </c>
      <c r="AY43">
        <v>0.1713189833000936</v>
      </c>
      <c r="AZ43">
        <v>-1.9093415550724521E-2</v>
      </c>
      <c r="BA43">
        <v>-0.1135286635130428</v>
      </c>
      <c r="BB43">
        <v>-4.0242208654303342E-2</v>
      </c>
      <c r="BC43">
        <v>-6.312503013285356E-2</v>
      </c>
    </row>
    <row r="44" spans="1:55" x14ac:dyDescent="0.35">
      <c r="A44" s="1" t="s">
        <v>42</v>
      </c>
      <c r="B44">
        <v>5.2403754439382048E-2</v>
      </c>
      <c r="C44">
        <v>8.0503387731842139E-4</v>
      </c>
      <c r="D44">
        <v>2.785888977918104E-2</v>
      </c>
      <c r="E44">
        <v>-1.1226058235595899E-2</v>
      </c>
      <c r="F44">
        <v>-4.1021735849438773E-2</v>
      </c>
      <c r="G44">
        <v>-3.879673468041954E-2</v>
      </c>
      <c r="H44">
        <v>2.3287352313075588E-3</v>
      </c>
      <c r="I44">
        <v>7.1054978391610398E-3</v>
      </c>
      <c r="J44">
        <v>2.0985756491838072E-2</v>
      </c>
      <c r="K44">
        <v>2.409406973220592E-2</v>
      </c>
      <c r="L44">
        <v>4.2887420185754817E-2</v>
      </c>
      <c r="M44">
        <v>4.8117371549927138E-2</v>
      </c>
      <c r="N44">
        <v>-4.9876886991275333E-3</v>
      </c>
      <c r="O44">
        <v>6.9849458073682452E-2</v>
      </c>
      <c r="P44">
        <v>6.7849832573104868E-2</v>
      </c>
      <c r="Q44">
        <v>1.6371593364395521E-2</v>
      </c>
      <c r="R44">
        <v>3.4271456193593453E-2</v>
      </c>
      <c r="S44">
        <v>0.1412474918812201</v>
      </c>
      <c r="T44">
        <v>8.4036424585316044E-2</v>
      </c>
      <c r="U44">
        <v>7.8882298576303869E-2</v>
      </c>
      <c r="V44">
        <v>0.102762572980024</v>
      </c>
      <c r="W44">
        <v>0.15926034165242739</v>
      </c>
      <c r="X44">
        <v>2.696424550766378E-2</v>
      </c>
      <c r="Y44">
        <v>2.9347959885930201E-2</v>
      </c>
      <c r="Z44">
        <v>3.0226347896826E-2</v>
      </c>
      <c r="AA44">
        <v>7.393589125061252E-2</v>
      </c>
      <c r="AB44">
        <v>0.1388221568885416</v>
      </c>
      <c r="AC44">
        <v>0.14780052743505129</v>
      </c>
      <c r="AD44">
        <v>0.13492146292270851</v>
      </c>
      <c r="AE44">
        <v>0.12070721692419339</v>
      </c>
      <c r="AF44">
        <v>0.1292748320550246</v>
      </c>
      <c r="AG44">
        <v>0.19477026440934159</v>
      </c>
      <c r="AH44">
        <v>0.1575656495027504</v>
      </c>
      <c r="AI44">
        <v>0.15315418710170289</v>
      </c>
      <c r="AJ44">
        <v>0.22521506822173809</v>
      </c>
      <c r="AK44">
        <v>0.13750129060111169</v>
      </c>
      <c r="AL44">
        <v>0.18377372920455179</v>
      </c>
      <c r="AM44">
        <v>0.2015734309111574</v>
      </c>
      <c r="AN44">
        <v>0.2589334537510154</v>
      </c>
      <c r="AO44">
        <v>0.29334231689104262</v>
      </c>
      <c r="AP44">
        <v>0.3733850783583732</v>
      </c>
      <c r="AQ44">
        <v>0.58723740572037753</v>
      </c>
      <c r="AR44">
        <v>1</v>
      </c>
      <c r="AS44">
        <v>0.5555658706171589</v>
      </c>
      <c r="AT44">
        <v>0.13619178951925431</v>
      </c>
      <c r="AU44">
        <v>8.5468746918906754E-2</v>
      </c>
      <c r="AV44">
        <v>0.13654090834338839</v>
      </c>
      <c r="AW44">
        <v>0.17945006884161899</v>
      </c>
      <c r="AX44">
        <v>0.2325379712103145</v>
      </c>
      <c r="AY44">
        <v>0.23111049316171131</v>
      </c>
      <c r="AZ44">
        <v>8.2933884363459248E-2</v>
      </c>
      <c r="BA44">
        <v>2.099871019400671E-2</v>
      </c>
      <c r="BB44">
        <v>3.0966312367328969E-2</v>
      </c>
      <c r="BC44">
        <v>-3.6011752676771251E-2</v>
      </c>
    </row>
    <row r="45" spans="1:55" x14ac:dyDescent="0.35">
      <c r="A45" s="1" t="s">
        <v>43</v>
      </c>
      <c r="B45">
        <v>6.2299915515895811E-4</v>
      </c>
      <c r="C45">
        <v>-4.5979798078863874E-3</v>
      </c>
      <c r="D45">
        <v>-1.672603574992464E-2</v>
      </c>
      <c r="E45">
        <v>-2.0366681806575991E-2</v>
      </c>
      <c r="F45">
        <v>-2.4280481382050679E-2</v>
      </c>
      <c r="G45">
        <v>-3.3107966872277253E-2</v>
      </c>
      <c r="H45">
        <v>-3.9492590723165287E-3</v>
      </c>
      <c r="I45">
        <v>1.6014052820905868E-2</v>
      </c>
      <c r="J45">
        <v>9.8773314474685167E-2</v>
      </c>
      <c r="K45">
        <v>5.3461677940073532E-2</v>
      </c>
      <c r="L45">
        <v>7.8886240135068092E-2</v>
      </c>
      <c r="M45">
        <v>7.1389999260330239E-2</v>
      </c>
      <c r="N45">
        <v>-2.6173206869958339E-2</v>
      </c>
      <c r="O45">
        <v>2.4326456458566119E-2</v>
      </c>
      <c r="P45">
        <v>5.6546157989891009E-2</v>
      </c>
      <c r="Q45">
        <v>8.3970077689253408E-2</v>
      </c>
      <c r="R45">
        <v>3.5292601199647958E-2</v>
      </c>
      <c r="S45">
        <v>0.1151415197826027</v>
      </c>
      <c r="T45">
        <v>0.1163888280116817</v>
      </c>
      <c r="U45">
        <v>5.089896545440286E-2</v>
      </c>
      <c r="V45">
        <v>0.12689268390922759</v>
      </c>
      <c r="W45">
        <v>0.1910948552879064</v>
      </c>
      <c r="X45">
        <v>-3.6809643433468099E-3</v>
      </c>
      <c r="Y45">
        <v>8.6378573061417999E-3</v>
      </c>
      <c r="Z45">
        <v>8.3531170818473222E-2</v>
      </c>
      <c r="AA45">
        <v>0.1187318356317809</v>
      </c>
      <c r="AB45">
        <v>0.21202873331098229</v>
      </c>
      <c r="AC45">
        <v>0.22386080393260921</v>
      </c>
      <c r="AD45">
        <v>0.18852906045820611</v>
      </c>
      <c r="AE45">
        <v>0.17902270099186121</v>
      </c>
      <c r="AF45">
        <v>0.20748328641201591</v>
      </c>
      <c r="AG45">
        <v>0.28810610566304568</v>
      </c>
      <c r="AH45">
        <v>0.1906410737997945</v>
      </c>
      <c r="AI45">
        <v>0.22626349583767441</v>
      </c>
      <c r="AJ45">
        <v>0.19760859308978501</v>
      </c>
      <c r="AK45">
        <v>0.2086514937687205</v>
      </c>
      <c r="AL45">
        <v>0.24106477924432601</v>
      </c>
      <c r="AM45">
        <v>0.27278716732742209</v>
      </c>
      <c r="AN45">
        <v>0.24206782996382739</v>
      </c>
      <c r="AO45">
        <v>0.31056468186046798</v>
      </c>
      <c r="AP45">
        <v>0.49745873401803758</v>
      </c>
      <c r="AQ45">
        <v>0.42230081062997288</v>
      </c>
      <c r="AR45">
        <v>0.5555658706171589</v>
      </c>
      <c r="AS45">
        <v>1</v>
      </c>
      <c r="AT45">
        <v>0.31490441935428948</v>
      </c>
      <c r="AU45">
        <v>0.19898906547223699</v>
      </c>
      <c r="AV45">
        <v>0.34859985666200438</v>
      </c>
      <c r="AW45">
        <v>0.36441830861654428</v>
      </c>
      <c r="AX45">
        <v>0.4099352845304654</v>
      </c>
      <c r="AY45">
        <v>0.36598063015618848</v>
      </c>
      <c r="AZ45">
        <v>0.29149992615772652</v>
      </c>
      <c r="BA45">
        <v>0.1742724082302595</v>
      </c>
      <c r="BB45">
        <v>6.2330251506096668E-2</v>
      </c>
      <c r="BC45">
        <v>0.12665057932279389</v>
      </c>
    </row>
    <row r="46" spans="1:55" x14ac:dyDescent="0.35">
      <c r="A46" s="1" t="s">
        <v>44</v>
      </c>
      <c r="B46">
        <v>2.149690683255626E-2</v>
      </c>
      <c r="C46">
        <v>1.6273445867169601E-2</v>
      </c>
      <c r="D46">
        <v>4.2727878356242387E-2</v>
      </c>
      <c r="E46">
        <v>-2.305079744346248E-2</v>
      </c>
      <c r="F46">
        <v>5.7457036151732532E-2</v>
      </c>
      <c r="G46">
        <v>-3.2067725976076711E-2</v>
      </c>
      <c r="H46">
        <v>1.433589680315684E-2</v>
      </c>
      <c r="I46">
        <v>4.3519789395906429E-2</v>
      </c>
      <c r="J46">
        <v>0.19448404167861019</v>
      </c>
      <c r="K46">
        <v>4.1245328089586801E-2</v>
      </c>
      <c r="L46">
        <v>3.8394190010486219E-3</v>
      </c>
      <c r="M46">
        <v>2.766067037335115E-2</v>
      </c>
      <c r="N46">
        <v>-3.0218218949547071E-2</v>
      </c>
      <c r="O46">
        <v>2.63538844395808E-2</v>
      </c>
      <c r="P46">
        <v>5.422104885575451E-2</v>
      </c>
      <c r="Q46">
        <v>0.19729381898243531</v>
      </c>
      <c r="R46">
        <v>-2.362233218319524E-2</v>
      </c>
      <c r="S46">
        <v>6.4980146234843147E-2</v>
      </c>
      <c r="T46">
        <v>0.15474138571527549</v>
      </c>
      <c r="U46">
        <v>-1.4448553132872429E-2</v>
      </c>
      <c r="V46">
        <v>8.9960182822979753E-2</v>
      </c>
      <c r="W46">
        <v>0.1326296846288039</v>
      </c>
      <c r="X46">
        <v>-2.4397604216748789E-2</v>
      </c>
      <c r="Y46">
        <v>7.182452638299093E-2</v>
      </c>
      <c r="Z46">
        <v>9.6640982002887482E-2</v>
      </c>
      <c r="AA46">
        <v>0.17380961003001311</v>
      </c>
      <c r="AB46">
        <v>0.20074483276137289</v>
      </c>
      <c r="AC46">
        <v>0.32226993360602552</v>
      </c>
      <c r="AD46">
        <v>0.31975532057315892</v>
      </c>
      <c r="AE46">
        <v>9.9826284197001985E-2</v>
      </c>
      <c r="AF46">
        <v>0.1745786111293062</v>
      </c>
      <c r="AG46">
        <v>0.17428610474959549</v>
      </c>
      <c r="AH46">
        <v>7.4595342981699411E-2</v>
      </c>
      <c r="AI46">
        <v>0.1186195403363285</v>
      </c>
      <c r="AJ46">
        <v>0.11492394559421661</v>
      </c>
      <c r="AK46">
        <v>0.11605425320485541</v>
      </c>
      <c r="AL46">
        <v>0.18032613106556991</v>
      </c>
      <c r="AM46">
        <v>0.19480030151780839</v>
      </c>
      <c r="AN46">
        <v>6.3671156098142639E-2</v>
      </c>
      <c r="AO46">
        <v>0.1961143651263729</v>
      </c>
      <c r="AP46">
        <v>0.27890841917279691</v>
      </c>
      <c r="AQ46">
        <v>2.5006107812398221E-2</v>
      </c>
      <c r="AR46">
        <v>0.13619178951925431</v>
      </c>
      <c r="AS46">
        <v>0.31490441935428948</v>
      </c>
      <c r="AT46">
        <v>1</v>
      </c>
      <c r="AU46">
        <v>0.47591011010654638</v>
      </c>
      <c r="AV46">
        <v>0.44410832762103841</v>
      </c>
      <c r="AW46">
        <v>0.34743393593567468</v>
      </c>
      <c r="AX46">
        <v>0.32954536482331132</v>
      </c>
      <c r="AY46">
        <v>0.2078397428091277</v>
      </c>
      <c r="AZ46">
        <v>0.30498576262083821</v>
      </c>
      <c r="BA46">
        <v>0.25523969461366641</v>
      </c>
      <c r="BB46">
        <v>0.13531044361384409</v>
      </c>
      <c r="BC46">
        <v>0.24256604064973919</v>
      </c>
    </row>
    <row r="47" spans="1:55" x14ac:dyDescent="0.35">
      <c r="A47" s="1" t="s">
        <v>45</v>
      </c>
      <c r="B47">
        <v>1.024990068265263E-2</v>
      </c>
      <c r="C47">
        <v>6.0009902430375968E-2</v>
      </c>
      <c r="D47">
        <v>8.029241148112215E-2</v>
      </c>
      <c r="E47">
        <v>6.3199490559329316E-2</v>
      </c>
      <c r="F47">
        <v>0.1026785321552983</v>
      </c>
      <c r="G47">
        <v>3.2712944724059931E-2</v>
      </c>
      <c r="H47">
        <v>1.14929226312509E-2</v>
      </c>
      <c r="I47">
        <v>4.1681473263742587E-2</v>
      </c>
      <c r="J47">
        <v>4.6328679674652901E-2</v>
      </c>
      <c r="K47">
        <v>2.4683110030005059E-2</v>
      </c>
      <c r="L47">
        <v>-1.168932644820723E-2</v>
      </c>
      <c r="M47">
        <v>5.1891573675848887E-2</v>
      </c>
      <c r="N47">
        <v>2.2200673248705421E-2</v>
      </c>
      <c r="O47">
        <v>3.483575148389037E-2</v>
      </c>
      <c r="P47">
        <v>4.9626052869293287E-2</v>
      </c>
      <c r="Q47">
        <v>0.10994941022715481</v>
      </c>
      <c r="R47">
        <v>-1.1443014799860511E-2</v>
      </c>
      <c r="S47">
        <v>3.737334699660136E-3</v>
      </c>
      <c r="T47">
        <v>-6.7281450829456268E-5</v>
      </c>
      <c r="U47">
        <v>-4.4433330315000123E-2</v>
      </c>
      <c r="V47">
        <v>4.6806440980652238E-2</v>
      </c>
      <c r="W47">
        <v>0.1092962908084347</v>
      </c>
      <c r="X47">
        <v>-1.7568636785245249E-2</v>
      </c>
      <c r="Y47">
        <v>6.568208485243833E-2</v>
      </c>
      <c r="Z47">
        <v>0.1156787797261923</v>
      </c>
      <c r="AA47">
        <v>0.1096566379460657</v>
      </c>
      <c r="AB47">
        <v>0.1413355939562454</v>
      </c>
      <c r="AC47">
        <v>0.15209045976254959</v>
      </c>
      <c r="AD47">
        <v>0.14081762787149801</v>
      </c>
      <c r="AE47">
        <v>7.7526257955835384E-2</v>
      </c>
      <c r="AF47">
        <v>0.1127192800928536</v>
      </c>
      <c r="AG47">
        <v>4.7873758907740448E-2</v>
      </c>
      <c r="AH47">
        <v>2.248441785491256E-2</v>
      </c>
      <c r="AI47">
        <v>7.063297667556781E-2</v>
      </c>
      <c r="AJ47">
        <v>8.3558135380892032E-2</v>
      </c>
      <c r="AK47">
        <v>4.3323378478147392E-2</v>
      </c>
      <c r="AL47">
        <v>8.2210928171029637E-2</v>
      </c>
      <c r="AM47">
        <v>0.12904042775139579</v>
      </c>
      <c r="AN47">
        <v>3.1408356445051563E-2</v>
      </c>
      <c r="AO47">
        <v>8.5359390245078048E-2</v>
      </c>
      <c r="AP47">
        <v>0.1086350415420915</v>
      </c>
      <c r="AQ47">
        <v>8.0496556012257248E-3</v>
      </c>
      <c r="AR47">
        <v>8.5468746918906754E-2</v>
      </c>
      <c r="AS47">
        <v>0.19898906547223699</v>
      </c>
      <c r="AT47">
        <v>0.47591011010654638</v>
      </c>
      <c r="AU47">
        <v>1</v>
      </c>
      <c r="AV47">
        <v>0.48325358745978242</v>
      </c>
      <c r="AW47">
        <v>0.34913834017817408</v>
      </c>
      <c r="AX47">
        <v>0.42651271517282219</v>
      </c>
      <c r="AY47">
        <v>0.26135430975175872</v>
      </c>
      <c r="AZ47">
        <v>0.1661658819280819</v>
      </c>
      <c r="BA47">
        <v>3.5512633460392587E-2</v>
      </c>
      <c r="BB47">
        <v>2.8275132493843731E-2</v>
      </c>
      <c r="BC47">
        <v>0.1080952975276763</v>
      </c>
    </row>
    <row r="48" spans="1:55" x14ac:dyDescent="0.35">
      <c r="A48" s="1" t="s">
        <v>46</v>
      </c>
      <c r="B48">
        <v>-7.647856582507967E-5</v>
      </c>
      <c r="C48">
        <v>-2.2195735795778292E-2</v>
      </c>
      <c r="D48">
        <v>4.9874134915671949E-2</v>
      </c>
      <c r="E48">
        <v>1.3709045604729081E-2</v>
      </c>
      <c r="F48">
        <v>5.1049405056463312E-2</v>
      </c>
      <c r="G48">
        <v>-9.7092079752154045E-2</v>
      </c>
      <c r="H48">
        <v>1.3105747611274501E-2</v>
      </c>
      <c r="I48">
        <v>5.2330079079796532E-2</v>
      </c>
      <c r="J48">
        <v>9.36867635861586E-2</v>
      </c>
      <c r="K48">
        <v>6.0490145168402953E-2</v>
      </c>
      <c r="L48">
        <v>2.4201087672741321E-2</v>
      </c>
      <c r="M48">
        <v>5.401691172675914E-2</v>
      </c>
      <c r="N48">
        <v>-6.1424466435494589E-2</v>
      </c>
      <c r="O48">
        <v>-1.40185531042232E-3</v>
      </c>
      <c r="P48">
        <v>3.0086080893434831E-2</v>
      </c>
      <c r="Q48">
        <v>0.1167773395528255</v>
      </c>
      <c r="R48">
        <v>3.9073344570727999E-3</v>
      </c>
      <c r="S48">
        <v>1.329270926180178E-2</v>
      </c>
      <c r="T48">
        <v>5.2701535226139837E-2</v>
      </c>
      <c r="U48">
        <v>-6.5892148082488519E-3</v>
      </c>
      <c r="V48">
        <v>5.5817093872070907E-2</v>
      </c>
      <c r="W48">
        <v>0.14138676727324651</v>
      </c>
      <c r="X48">
        <v>1.7651637080127531E-2</v>
      </c>
      <c r="Y48">
        <v>2.56820616467145E-2</v>
      </c>
      <c r="Z48">
        <v>0.15271571596398589</v>
      </c>
      <c r="AA48">
        <v>9.7098578965003429E-2</v>
      </c>
      <c r="AB48">
        <v>0.17082462082982169</v>
      </c>
      <c r="AC48">
        <v>0.21664219400783741</v>
      </c>
      <c r="AD48">
        <v>0.17010448355315749</v>
      </c>
      <c r="AE48">
        <v>0.15476016732505329</v>
      </c>
      <c r="AF48">
        <v>0.18545412521855281</v>
      </c>
      <c r="AG48">
        <v>0.1376165268636545</v>
      </c>
      <c r="AH48">
        <v>4.50834620938418E-2</v>
      </c>
      <c r="AI48">
        <v>9.4834403014809707E-2</v>
      </c>
      <c r="AJ48">
        <v>0.1044751365845917</v>
      </c>
      <c r="AK48">
        <v>5.4680039074075128E-2</v>
      </c>
      <c r="AL48">
        <v>9.7419353380392038E-2</v>
      </c>
      <c r="AM48">
        <v>0.1030129243168018</v>
      </c>
      <c r="AN48">
        <v>3.6605377608764741E-2</v>
      </c>
      <c r="AO48">
        <v>0.12878898833373681</v>
      </c>
      <c r="AP48">
        <v>0.20799672638141681</v>
      </c>
      <c r="AQ48">
        <v>2.542963433808117E-2</v>
      </c>
      <c r="AR48">
        <v>0.13654090834338839</v>
      </c>
      <c r="AS48">
        <v>0.34859985666200438</v>
      </c>
      <c r="AT48">
        <v>0.44410832762103841</v>
      </c>
      <c r="AU48">
        <v>0.48325358745978242</v>
      </c>
      <c r="AV48">
        <v>1</v>
      </c>
      <c r="AW48">
        <v>0.43833829871476582</v>
      </c>
      <c r="AX48">
        <v>0.63809922731859348</v>
      </c>
      <c r="AY48">
        <v>0.59273628389743305</v>
      </c>
      <c r="AZ48">
        <v>0.47204459396408133</v>
      </c>
      <c r="BA48">
        <v>0.33269054759364691</v>
      </c>
      <c r="BB48">
        <v>-3.5402110507485783E-2</v>
      </c>
      <c r="BC48">
        <v>0.1739532198921443</v>
      </c>
    </row>
    <row r="49" spans="1:55" x14ac:dyDescent="0.35">
      <c r="A49" s="1" t="s">
        <v>47</v>
      </c>
      <c r="B49">
        <v>9.7121090416782078E-3</v>
      </c>
      <c r="C49">
        <v>3.6942806704460797E-2</v>
      </c>
      <c r="D49">
        <v>-2.286403221945325E-2</v>
      </c>
      <c r="E49">
        <v>7.8890305279823835E-3</v>
      </c>
      <c r="F49">
        <v>6.2337242072979027E-2</v>
      </c>
      <c r="G49">
        <v>4.907314274634135E-2</v>
      </c>
      <c r="H49">
        <v>1.64007297237161E-2</v>
      </c>
      <c r="I49">
        <v>2.141939253939407E-2</v>
      </c>
      <c r="J49">
        <v>8.6273164221737891E-2</v>
      </c>
      <c r="K49">
        <v>-2.0506532096268072E-3</v>
      </c>
      <c r="L49">
        <v>3.28982718739213E-3</v>
      </c>
      <c r="M49">
        <v>6.530590017128482E-2</v>
      </c>
      <c r="N49">
        <v>-1.3074185367808451E-2</v>
      </c>
      <c r="O49">
        <v>5.063726779021476E-3</v>
      </c>
      <c r="P49">
        <v>0.13237849400022211</v>
      </c>
      <c r="Q49">
        <v>0.14984733264338859</v>
      </c>
      <c r="R49">
        <v>3.7007474972328272E-2</v>
      </c>
      <c r="S49">
        <v>8.6250072836402139E-2</v>
      </c>
      <c r="T49">
        <v>7.0180102616599196E-2</v>
      </c>
      <c r="U49">
        <v>1.5294259857431859E-2</v>
      </c>
      <c r="V49">
        <v>0.10358441814466141</v>
      </c>
      <c r="W49">
        <v>0.1624734253590159</v>
      </c>
      <c r="X49">
        <v>-8.2543577990544428E-3</v>
      </c>
      <c r="Y49">
        <v>2.7284061156647409E-2</v>
      </c>
      <c r="Z49">
        <v>0.1125784150329473</v>
      </c>
      <c r="AA49">
        <v>0.2017910423242921</v>
      </c>
      <c r="AB49">
        <v>0.22871552579489601</v>
      </c>
      <c r="AC49">
        <v>0.28491933822779791</v>
      </c>
      <c r="AD49">
        <v>0.28121852894638882</v>
      </c>
      <c r="AE49">
        <v>0.13922180144452481</v>
      </c>
      <c r="AF49">
        <v>0.18550157457556729</v>
      </c>
      <c r="AG49">
        <v>0.20764581821324421</v>
      </c>
      <c r="AH49">
        <v>9.7701549237332611E-2</v>
      </c>
      <c r="AI49">
        <v>5.7116706134369047E-2</v>
      </c>
      <c r="AJ49">
        <v>0.102479776759615</v>
      </c>
      <c r="AK49">
        <v>0.1730103614578431</v>
      </c>
      <c r="AL49">
        <v>0.169537342492596</v>
      </c>
      <c r="AM49">
        <v>0.17108792294378911</v>
      </c>
      <c r="AN49">
        <v>0.13289237342120611</v>
      </c>
      <c r="AO49">
        <v>0.26690478793019229</v>
      </c>
      <c r="AP49">
        <v>0.33236427233690041</v>
      </c>
      <c r="AQ49">
        <v>4.7905718697673898E-2</v>
      </c>
      <c r="AR49">
        <v>0.17945006884161899</v>
      </c>
      <c r="AS49">
        <v>0.36441830861654428</v>
      </c>
      <c r="AT49">
        <v>0.34743393593567468</v>
      </c>
      <c r="AU49">
        <v>0.34913834017817408</v>
      </c>
      <c r="AV49">
        <v>0.43833829871476582</v>
      </c>
      <c r="AW49">
        <v>1</v>
      </c>
      <c r="AX49">
        <v>0.53238022379860084</v>
      </c>
      <c r="AY49">
        <v>0.39650462685585153</v>
      </c>
      <c r="AZ49">
        <v>0.43739499871873949</v>
      </c>
      <c r="BA49">
        <v>0.3119393461012418</v>
      </c>
      <c r="BB49">
        <v>0.15130830845899729</v>
      </c>
      <c r="BC49">
        <v>0.37118190892857877</v>
      </c>
    </row>
    <row r="50" spans="1:55" x14ac:dyDescent="0.35">
      <c r="A50" s="1" t="s">
        <v>48</v>
      </c>
      <c r="B50">
        <v>7.2988377080444638E-4</v>
      </c>
      <c r="C50">
        <v>-8.1411746263638819E-3</v>
      </c>
      <c r="D50">
        <v>8.5655258767800471E-3</v>
      </c>
      <c r="E50">
        <v>2.693046335115229E-2</v>
      </c>
      <c r="F50">
        <v>2.702445994548534E-2</v>
      </c>
      <c r="G50">
        <v>-3.3039596939350838E-2</v>
      </c>
      <c r="H50">
        <v>-5.5532829332645257E-2</v>
      </c>
      <c r="I50">
        <v>-3.5475395757342022E-2</v>
      </c>
      <c r="J50">
        <v>-4.5228502203473978E-2</v>
      </c>
      <c r="K50">
        <v>-2.0748283928699669E-2</v>
      </c>
      <c r="L50">
        <v>-4.9411979942370527E-5</v>
      </c>
      <c r="M50">
        <v>7.0011927121389914E-2</v>
      </c>
      <c r="N50">
        <v>3.5325208971845608E-2</v>
      </c>
      <c r="O50">
        <v>7.1195845099274013E-2</v>
      </c>
      <c r="P50">
        <v>4.1117174563904853E-2</v>
      </c>
      <c r="Q50">
        <v>4.8519105667422568E-2</v>
      </c>
      <c r="R50">
        <v>-2.2674305216457499E-4</v>
      </c>
      <c r="S50">
        <v>7.2687363749309189E-2</v>
      </c>
      <c r="T50">
        <v>-6.0750936199684804E-3</v>
      </c>
      <c r="U50">
        <v>-1.185995873043493E-2</v>
      </c>
      <c r="V50">
        <v>3.0762553582420259E-2</v>
      </c>
      <c r="W50">
        <v>0.1247952081105162</v>
      </c>
      <c r="X50">
        <v>-2.34770426082434E-2</v>
      </c>
      <c r="Y50">
        <v>6.6497426158579499E-3</v>
      </c>
      <c r="Z50">
        <v>6.1645017496353968E-2</v>
      </c>
      <c r="AA50">
        <v>9.0257206771151025E-2</v>
      </c>
      <c r="AB50">
        <v>0.1384869947903026</v>
      </c>
      <c r="AC50">
        <v>0.15287475801961259</v>
      </c>
      <c r="AD50">
        <v>9.6738897327667092E-2</v>
      </c>
      <c r="AE50">
        <v>0.13083511146844451</v>
      </c>
      <c r="AF50">
        <v>0.15592700226440331</v>
      </c>
      <c r="AG50">
        <v>0.1203822085757313</v>
      </c>
      <c r="AH50">
        <v>3.8102300339352468E-2</v>
      </c>
      <c r="AI50">
        <v>0.10141766221416559</v>
      </c>
      <c r="AJ50">
        <v>0.12373221196665</v>
      </c>
      <c r="AK50">
        <v>9.1377120156578742E-2</v>
      </c>
      <c r="AL50">
        <v>0.1133355553885709</v>
      </c>
      <c r="AM50">
        <v>0.16044277103101209</v>
      </c>
      <c r="AN50">
        <v>0.14302260647066731</v>
      </c>
      <c r="AO50">
        <v>0.18563458837289759</v>
      </c>
      <c r="AP50">
        <v>0.20544212759070521</v>
      </c>
      <c r="AQ50">
        <v>0.14927871342277019</v>
      </c>
      <c r="AR50">
        <v>0.2325379712103145</v>
      </c>
      <c r="AS50">
        <v>0.4099352845304654</v>
      </c>
      <c r="AT50">
        <v>0.32954536482331132</v>
      </c>
      <c r="AU50">
        <v>0.42651271517282219</v>
      </c>
      <c r="AV50">
        <v>0.63809922731859348</v>
      </c>
      <c r="AW50">
        <v>0.53238022379860084</v>
      </c>
      <c r="AX50">
        <v>1</v>
      </c>
      <c r="AY50">
        <v>0.65124230019907614</v>
      </c>
      <c r="AZ50">
        <v>0.41124118219112848</v>
      </c>
      <c r="BA50">
        <v>0.19870365993987199</v>
      </c>
      <c r="BB50">
        <v>-1.6119556243730661E-2</v>
      </c>
      <c r="BC50">
        <v>8.1312280633123499E-2</v>
      </c>
    </row>
    <row r="51" spans="1:55" x14ac:dyDescent="0.35">
      <c r="A51" s="1" t="s">
        <v>49</v>
      </c>
      <c r="B51">
        <v>2.631468022674362E-2</v>
      </c>
      <c r="C51">
        <v>-5.6119716881265019E-2</v>
      </c>
      <c r="D51">
        <v>-3.045341265617393E-2</v>
      </c>
      <c r="E51">
        <v>-1.9578995363265302E-2</v>
      </c>
      <c r="F51">
        <v>-3.885823560522287E-2</v>
      </c>
      <c r="G51">
        <v>-8.3001895434639802E-2</v>
      </c>
      <c r="H51">
        <v>-7.6675770463288981E-2</v>
      </c>
      <c r="I51">
        <v>-2.9191071101698871E-2</v>
      </c>
      <c r="J51">
        <v>-7.0897538215472275E-2</v>
      </c>
      <c r="K51">
        <v>-6.0899941943455597E-2</v>
      </c>
      <c r="L51">
        <v>-3.1437560846262667E-2</v>
      </c>
      <c r="M51">
        <v>7.3020601588887568E-2</v>
      </c>
      <c r="N51">
        <v>-1.0806024986374049E-2</v>
      </c>
      <c r="O51">
        <v>8.5921711667607134E-2</v>
      </c>
      <c r="P51">
        <v>3.3186328586844643E-2</v>
      </c>
      <c r="Q51">
        <v>-2.902774452281839E-3</v>
      </c>
      <c r="R51">
        <v>-1.4082833703263509E-2</v>
      </c>
      <c r="S51">
        <v>6.293535746673283E-2</v>
      </c>
      <c r="T51">
        <v>-1.3164757123508239E-2</v>
      </c>
      <c r="U51">
        <v>6.2930808207096629E-3</v>
      </c>
      <c r="V51">
        <v>2.1191263746740061E-2</v>
      </c>
      <c r="W51">
        <v>0.12571590960167309</v>
      </c>
      <c r="X51">
        <v>4.8893021147511602E-2</v>
      </c>
      <c r="Y51">
        <v>1.2621606817394781E-2</v>
      </c>
      <c r="Z51">
        <v>6.0067213914065998E-2</v>
      </c>
      <c r="AA51">
        <v>3.9430054148053832E-2</v>
      </c>
      <c r="AB51">
        <v>0.1171613054652588</v>
      </c>
      <c r="AC51">
        <v>0.14030468993796941</v>
      </c>
      <c r="AD51">
        <v>5.5946965564517767E-2</v>
      </c>
      <c r="AE51">
        <v>0.11233390763093171</v>
      </c>
      <c r="AF51">
        <v>8.5663556819842418E-2</v>
      </c>
      <c r="AG51">
        <v>0.1231187928154141</v>
      </c>
      <c r="AH51">
        <v>6.4311028067974285E-2</v>
      </c>
      <c r="AI51">
        <v>9.0425962879561547E-2</v>
      </c>
      <c r="AJ51">
        <v>0.1182602016983839</v>
      </c>
      <c r="AK51">
        <v>3.396840694856821E-2</v>
      </c>
      <c r="AL51">
        <v>1.30051471548457E-3</v>
      </c>
      <c r="AM51">
        <v>5.6991469512767338E-2</v>
      </c>
      <c r="AN51">
        <v>0.143905876543097</v>
      </c>
      <c r="AO51">
        <v>0.16073536416505549</v>
      </c>
      <c r="AP51">
        <v>0.155757893116417</v>
      </c>
      <c r="AQ51">
        <v>0.1713189833000936</v>
      </c>
      <c r="AR51">
        <v>0.23111049316171131</v>
      </c>
      <c r="AS51">
        <v>0.36598063015618848</v>
      </c>
      <c r="AT51">
        <v>0.2078397428091277</v>
      </c>
      <c r="AU51">
        <v>0.26135430975175872</v>
      </c>
      <c r="AV51">
        <v>0.59273628389743305</v>
      </c>
      <c r="AW51">
        <v>0.39650462685585153</v>
      </c>
      <c r="AX51">
        <v>0.65124230019907614</v>
      </c>
      <c r="AY51">
        <v>1</v>
      </c>
      <c r="AZ51">
        <v>0.52384735368119473</v>
      </c>
      <c r="BA51">
        <v>0.27407882689999469</v>
      </c>
      <c r="BB51">
        <v>-8.0291915657226473E-2</v>
      </c>
      <c r="BC51">
        <v>9.374671678220764E-2</v>
      </c>
    </row>
    <row r="52" spans="1:55" x14ac:dyDescent="0.35">
      <c r="A52" s="1" t="s">
        <v>50</v>
      </c>
      <c r="B52">
        <v>3.7679321671772281E-3</v>
      </c>
      <c r="C52">
        <v>-6.5337922568003248E-2</v>
      </c>
      <c r="D52">
        <v>-7.8197255851494396E-2</v>
      </c>
      <c r="E52">
        <v>-7.2831075540700466E-2</v>
      </c>
      <c r="F52">
        <v>-1.192432664713149E-2</v>
      </c>
      <c r="G52">
        <v>-8.1024791254028311E-2</v>
      </c>
      <c r="H52">
        <v>-2.9083176388581329E-2</v>
      </c>
      <c r="I52">
        <v>1.7861400544923859E-2</v>
      </c>
      <c r="J52">
        <v>7.5843481713438493E-2</v>
      </c>
      <c r="K52">
        <v>1.590266712951734E-2</v>
      </c>
      <c r="L52">
        <v>7.4113773618523556E-3</v>
      </c>
      <c r="M52">
        <v>6.4700512770226093E-2</v>
      </c>
      <c r="N52">
        <v>-8.3194328356524933E-3</v>
      </c>
      <c r="O52">
        <v>6.0537855314923179E-2</v>
      </c>
      <c r="P52">
        <v>9.412457905391787E-2</v>
      </c>
      <c r="Q52">
        <v>0.13232897507623179</v>
      </c>
      <c r="R52">
        <v>2.46528355038927E-2</v>
      </c>
      <c r="S52">
        <v>6.8551731516270142E-2</v>
      </c>
      <c r="T52">
        <v>0.1025218614825356</v>
      </c>
      <c r="U52">
        <v>-1.745333057725441E-2</v>
      </c>
      <c r="V52">
        <v>9.5794073285100215E-2</v>
      </c>
      <c r="W52">
        <v>0.15360520506541861</v>
      </c>
      <c r="X52">
        <v>-5.1386836803192005E-4</v>
      </c>
      <c r="Y52">
        <v>1.1767340620726111E-2</v>
      </c>
      <c r="Z52">
        <v>7.7517596682416506E-2</v>
      </c>
      <c r="AA52">
        <v>0.14955845706872389</v>
      </c>
      <c r="AB52">
        <v>0.25761448087739192</v>
      </c>
      <c r="AC52">
        <v>0.29974081373352351</v>
      </c>
      <c r="AD52">
        <v>0.24146081264088071</v>
      </c>
      <c r="AE52">
        <v>0.18012615481574071</v>
      </c>
      <c r="AF52">
        <v>0.17525372150609961</v>
      </c>
      <c r="AG52">
        <v>0.2233006544655784</v>
      </c>
      <c r="AH52">
        <v>8.7289390761239524E-2</v>
      </c>
      <c r="AI52">
        <v>7.3999594765838381E-2</v>
      </c>
      <c r="AJ52">
        <v>5.7756882956145401E-2</v>
      </c>
      <c r="AK52">
        <v>0.12622528998670179</v>
      </c>
      <c r="AL52">
        <v>0.1092461787021929</v>
      </c>
      <c r="AM52">
        <v>9.1785661458928497E-2</v>
      </c>
      <c r="AN52">
        <v>7.6122271913737868E-2</v>
      </c>
      <c r="AO52">
        <v>0.21662915178460121</v>
      </c>
      <c r="AP52">
        <v>0.22055033003384039</v>
      </c>
      <c r="AQ52">
        <v>-1.9093415550724521E-2</v>
      </c>
      <c r="AR52">
        <v>8.2933884363459248E-2</v>
      </c>
      <c r="AS52">
        <v>0.29149992615772652</v>
      </c>
      <c r="AT52">
        <v>0.30498576262083821</v>
      </c>
      <c r="AU52">
        <v>0.1661658819280819</v>
      </c>
      <c r="AV52">
        <v>0.47204459396408133</v>
      </c>
      <c r="AW52">
        <v>0.43739499871873949</v>
      </c>
      <c r="AX52">
        <v>0.41124118219112848</v>
      </c>
      <c r="AY52">
        <v>0.52384735368119473</v>
      </c>
      <c r="AZ52">
        <v>1</v>
      </c>
      <c r="BA52">
        <v>0.58309953143211823</v>
      </c>
      <c r="BB52">
        <v>0.20669931825494389</v>
      </c>
      <c r="BC52">
        <v>0.48096220634474851</v>
      </c>
    </row>
    <row r="53" spans="1:55" x14ac:dyDescent="0.35">
      <c r="A53" s="1" t="s">
        <v>51</v>
      </c>
      <c r="B53">
        <v>-1.65932611208187E-2</v>
      </c>
      <c r="C53">
        <v>-0.1117763108062392</v>
      </c>
      <c r="D53">
        <v>-8.6466310989588666E-2</v>
      </c>
      <c r="E53">
        <v>-0.151212327143599</v>
      </c>
      <c r="F53">
        <v>-0.1058615662321815</v>
      </c>
      <c r="G53">
        <v>-0.1375160753679856</v>
      </c>
      <c r="H53">
        <v>-1.2969051494804861E-2</v>
      </c>
      <c r="I53">
        <v>2.7684257282457981E-2</v>
      </c>
      <c r="J53">
        <v>0.1809136173826105</v>
      </c>
      <c r="K53">
        <v>6.3863501543149251E-2</v>
      </c>
      <c r="L53">
        <v>4.2669333824018052E-2</v>
      </c>
      <c r="M53">
        <v>-1.233220798911251E-2</v>
      </c>
      <c r="N53">
        <v>-0.1070154461217761</v>
      </c>
      <c r="O53">
        <v>-3.2592014327187592E-2</v>
      </c>
      <c r="P53">
        <v>0.1144737465184424</v>
      </c>
      <c r="Q53">
        <v>0.1254807149367943</v>
      </c>
      <c r="R53">
        <v>3.887503889179357E-2</v>
      </c>
      <c r="S53">
        <v>6.4228305424766943E-2</v>
      </c>
      <c r="T53">
        <v>0.2235807821704098</v>
      </c>
      <c r="U53">
        <v>8.5789130760503696E-3</v>
      </c>
      <c r="V53">
        <v>0.1103676722653664</v>
      </c>
      <c r="W53">
        <v>0.14087163038827191</v>
      </c>
      <c r="X53">
        <v>2.077298555012996E-2</v>
      </c>
      <c r="Y53">
        <v>8.1648898786587931E-3</v>
      </c>
      <c r="Z53">
        <v>4.9585841647332457E-2</v>
      </c>
      <c r="AA53">
        <v>0.1097705636842722</v>
      </c>
      <c r="AB53">
        <v>0.18460842657684631</v>
      </c>
      <c r="AC53">
        <v>0.26968008933020998</v>
      </c>
      <c r="AD53">
        <v>0.28527123607936178</v>
      </c>
      <c r="AE53">
        <v>0.19357732902543831</v>
      </c>
      <c r="AF53">
        <v>0.18527864485294651</v>
      </c>
      <c r="AG53">
        <v>0.26728229707262641</v>
      </c>
      <c r="AH53">
        <v>5.6520064085221047E-2</v>
      </c>
      <c r="AI53">
        <v>5.1325053813577173E-2</v>
      </c>
      <c r="AJ53">
        <v>1.119808245609915E-2</v>
      </c>
      <c r="AK53">
        <v>0.12919095887142851</v>
      </c>
      <c r="AL53">
        <v>6.2146585392472989E-2</v>
      </c>
      <c r="AM53">
        <v>8.453844633477911E-3</v>
      </c>
      <c r="AN53">
        <v>1.7298406797524979E-2</v>
      </c>
      <c r="AO53">
        <v>0.1044174402222013</v>
      </c>
      <c r="AP53">
        <v>0.22662863689608301</v>
      </c>
      <c r="AQ53">
        <v>-0.1135286635130428</v>
      </c>
      <c r="AR53">
        <v>2.099871019400671E-2</v>
      </c>
      <c r="AS53">
        <v>0.1742724082302595</v>
      </c>
      <c r="AT53">
        <v>0.25523969461366641</v>
      </c>
      <c r="AU53">
        <v>3.5512633460392587E-2</v>
      </c>
      <c r="AV53">
        <v>0.33269054759364691</v>
      </c>
      <c r="AW53">
        <v>0.3119393461012418</v>
      </c>
      <c r="AX53">
        <v>0.19870365993987199</v>
      </c>
      <c r="AY53">
        <v>0.27407882689999469</v>
      </c>
      <c r="AZ53">
        <v>0.58309953143211823</v>
      </c>
      <c r="BA53">
        <v>1</v>
      </c>
      <c r="BB53">
        <v>0.38915939864979859</v>
      </c>
      <c r="BC53">
        <v>0.28402804744689419</v>
      </c>
    </row>
    <row r="54" spans="1:55" x14ac:dyDescent="0.35">
      <c r="A54" s="1" t="s">
        <v>52</v>
      </c>
      <c r="B54">
        <v>-4.8845242427064547E-2</v>
      </c>
      <c r="C54">
        <v>4.0222487320655843E-3</v>
      </c>
      <c r="D54">
        <v>-1.1389405771066469E-2</v>
      </c>
      <c r="E54">
        <v>-4.3971188503715301E-4</v>
      </c>
      <c r="F54">
        <v>2.8487067162852112E-2</v>
      </c>
      <c r="G54">
        <v>-8.7748372793303268E-3</v>
      </c>
      <c r="H54">
        <v>-1.1424698162650279E-2</v>
      </c>
      <c r="I54">
        <v>3.857655402292217E-2</v>
      </c>
      <c r="J54">
        <v>0.11761152471886881</v>
      </c>
      <c r="K54">
        <v>1.5940442345525382E-2</v>
      </c>
      <c r="L54">
        <v>1.6604682436012111E-2</v>
      </c>
      <c r="M54">
        <v>3.0427863649395991E-2</v>
      </c>
      <c r="N54">
        <v>1.433085029175683E-2</v>
      </c>
      <c r="O54">
        <v>4.4760417281410128E-2</v>
      </c>
      <c r="P54">
        <v>6.525863149639223E-2</v>
      </c>
      <c r="Q54">
        <v>0.11411229036742571</v>
      </c>
      <c r="R54">
        <v>6.7233792205713502E-2</v>
      </c>
      <c r="S54">
        <v>0.10573382443972271</v>
      </c>
      <c r="T54">
        <v>0.1782304783184408</v>
      </c>
      <c r="U54">
        <v>1.5006322405228281E-2</v>
      </c>
      <c r="V54">
        <v>8.1740777374010656E-2</v>
      </c>
      <c r="W54">
        <v>8.4920781933679454E-2</v>
      </c>
      <c r="X54">
        <v>-1.0326891885717299E-2</v>
      </c>
      <c r="Y54">
        <v>7.5897166915311509E-2</v>
      </c>
      <c r="Z54">
        <v>2.8781975262805251E-2</v>
      </c>
      <c r="AA54">
        <v>0.1139492928129309</v>
      </c>
      <c r="AB54">
        <v>6.2675644302568667E-2</v>
      </c>
      <c r="AC54">
        <v>0.1066714018583577</v>
      </c>
      <c r="AD54">
        <v>0.2145621989334936</v>
      </c>
      <c r="AE54">
        <v>0.12104845050686</v>
      </c>
      <c r="AF54">
        <v>0.14628388880993509</v>
      </c>
      <c r="AG54">
        <v>0.13794890084589151</v>
      </c>
      <c r="AH54">
        <v>4.3279975592569126E-3</v>
      </c>
      <c r="AI54">
        <v>3.8795751381751511E-3</v>
      </c>
      <c r="AJ54">
        <v>-2.5437162210582991E-2</v>
      </c>
      <c r="AK54">
        <v>4.7770457790084403E-2</v>
      </c>
      <c r="AL54">
        <v>0.1027119864545061</v>
      </c>
      <c r="AM54">
        <v>5.6156277929413363E-2</v>
      </c>
      <c r="AN54">
        <v>5.0083896609668603E-2</v>
      </c>
      <c r="AO54">
        <v>8.0314115436843872E-2</v>
      </c>
      <c r="AP54">
        <v>8.3563601955638195E-2</v>
      </c>
      <c r="AQ54">
        <v>-4.0242208654303342E-2</v>
      </c>
      <c r="AR54">
        <v>3.0966312367328969E-2</v>
      </c>
      <c r="AS54">
        <v>6.2330251506096668E-2</v>
      </c>
      <c r="AT54">
        <v>0.13531044361384409</v>
      </c>
      <c r="AU54">
        <v>2.8275132493843731E-2</v>
      </c>
      <c r="AV54">
        <v>-3.5402110507485783E-2</v>
      </c>
      <c r="AW54">
        <v>0.15130830845899729</v>
      </c>
      <c r="AX54">
        <v>-1.6119556243730661E-2</v>
      </c>
      <c r="AY54">
        <v>-8.0291915657226473E-2</v>
      </c>
      <c r="AZ54">
        <v>0.20669931825494389</v>
      </c>
      <c r="BA54">
        <v>0.38915939864979859</v>
      </c>
      <c r="BB54">
        <v>1</v>
      </c>
      <c r="BC54">
        <v>0.43219471611330862</v>
      </c>
    </row>
    <row r="55" spans="1:55" x14ac:dyDescent="0.35">
      <c r="A55" s="1" t="s">
        <v>53</v>
      </c>
      <c r="B55">
        <v>-2.6175296724434E-2</v>
      </c>
      <c r="C55">
        <v>8.1044982304721812E-3</v>
      </c>
      <c r="D55">
        <v>-5.3679475141623863E-2</v>
      </c>
      <c r="E55">
        <v>1.491784874712454E-2</v>
      </c>
      <c r="F55">
        <v>7.6221649197339009E-2</v>
      </c>
      <c r="G55">
        <v>1.099253578309402E-2</v>
      </c>
      <c r="H55">
        <v>2.6656163883531141E-2</v>
      </c>
      <c r="I55">
        <v>2.625153820569915E-2</v>
      </c>
      <c r="J55">
        <v>7.6387098982720614E-2</v>
      </c>
      <c r="K55">
        <v>3.0441313065081011E-2</v>
      </c>
      <c r="L55">
        <v>-1.074700651280476E-2</v>
      </c>
      <c r="M55">
        <v>0.16208968229828971</v>
      </c>
      <c r="N55">
        <v>2.7916637763036909E-2</v>
      </c>
      <c r="O55">
        <v>3.1995536970655207E-2</v>
      </c>
      <c r="P55">
        <v>9.6836574506295181E-2</v>
      </c>
      <c r="Q55">
        <v>0.15586327731556979</v>
      </c>
      <c r="R55">
        <v>9.2841805431843311E-2</v>
      </c>
      <c r="S55">
        <v>0.110677976816858</v>
      </c>
      <c r="T55">
        <v>0.11542460584614669</v>
      </c>
      <c r="U55">
        <v>1.0792005263127751E-2</v>
      </c>
      <c r="V55">
        <v>0.1296864859765462</v>
      </c>
      <c r="W55">
        <v>0.1482769978731768</v>
      </c>
      <c r="X55">
        <v>3.5321533662841027E-2</v>
      </c>
      <c r="Y55">
        <v>6.6243624831446288E-2</v>
      </c>
      <c r="Z55">
        <v>0.1006565594754916</v>
      </c>
      <c r="AA55">
        <v>0.19556774312417219</v>
      </c>
      <c r="AB55">
        <v>0.211289359095302</v>
      </c>
      <c r="AC55">
        <v>0.24633868751573121</v>
      </c>
      <c r="AD55">
        <v>0.25234821109867128</v>
      </c>
      <c r="AE55">
        <v>0.1225920451651227</v>
      </c>
      <c r="AF55">
        <v>0.15455385763189419</v>
      </c>
      <c r="AG55">
        <v>0.1904432170188064</v>
      </c>
      <c r="AH55">
        <v>3.7974863953095427E-2</v>
      </c>
      <c r="AI55">
        <v>-8.3604781198440489E-3</v>
      </c>
      <c r="AJ55">
        <v>-1.8975632400012151E-2</v>
      </c>
      <c r="AK55">
        <v>0.1234981705272702</v>
      </c>
      <c r="AL55">
        <v>0.14327807148894939</v>
      </c>
      <c r="AM55">
        <v>0.13854610644784959</v>
      </c>
      <c r="AN55">
        <v>2.6091947536313921E-2</v>
      </c>
      <c r="AO55">
        <v>0.17375340946750881</v>
      </c>
      <c r="AP55">
        <v>0.1479559136532527</v>
      </c>
      <c r="AQ55">
        <v>-6.312503013285356E-2</v>
      </c>
      <c r="AR55">
        <v>-3.6011752676771251E-2</v>
      </c>
      <c r="AS55">
        <v>0.12665057932279389</v>
      </c>
      <c r="AT55">
        <v>0.24256604064973919</v>
      </c>
      <c r="AU55">
        <v>0.1080952975276763</v>
      </c>
      <c r="AV55">
        <v>0.1739532198921443</v>
      </c>
      <c r="AW55">
        <v>0.37118190892857877</v>
      </c>
      <c r="AX55">
        <v>8.1312280633123499E-2</v>
      </c>
      <c r="AY55">
        <v>9.374671678220764E-2</v>
      </c>
      <c r="AZ55">
        <v>0.48096220634474851</v>
      </c>
      <c r="BA55">
        <v>0.28402804744689419</v>
      </c>
      <c r="BB55">
        <v>0.43219471611330862</v>
      </c>
      <c r="BC55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0AE2A-2C76-439E-8C6B-6DE3B1BD8E54}">
  <dimension ref="A1:K37"/>
  <sheetViews>
    <sheetView topLeftCell="A14" workbookViewId="0">
      <selection activeCell="M40" sqref="M40"/>
    </sheetView>
  </sheetViews>
  <sheetFormatPr defaultRowHeight="14.5" x14ac:dyDescent="0.35"/>
  <sheetData>
    <row r="1" spans="1:11" x14ac:dyDescent="0.35">
      <c r="A1" t="s">
        <v>96</v>
      </c>
    </row>
    <row r="2" spans="1:11" x14ac:dyDescent="0.35">
      <c r="C2" t="s">
        <v>91</v>
      </c>
      <c r="K2" t="s">
        <v>125</v>
      </c>
    </row>
    <row r="3" spans="1:11" x14ac:dyDescent="0.35">
      <c r="C3" t="s">
        <v>92</v>
      </c>
      <c r="K3" t="s">
        <v>126</v>
      </c>
    </row>
    <row r="4" spans="1:11" x14ac:dyDescent="0.35">
      <c r="C4" t="s">
        <v>93</v>
      </c>
    </row>
    <row r="5" spans="1:11" x14ac:dyDescent="0.35">
      <c r="C5" t="s">
        <v>94</v>
      </c>
    </row>
    <row r="6" spans="1:11" x14ac:dyDescent="0.35">
      <c r="C6" t="s">
        <v>95</v>
      </c>
    </row>
    <row r="10" spans="1:11" x14ac:dyDescent="0.35">
      <c r="C10" t="s">
        <v>97</v>
      </c>
    </row>
    <row r="11" spans="1:11" x14ac:dyDescent="0.35">
      <c r="C11" t="s">
        <v>98</v>
      </c>
    </row>
    <row r="12" spans="1:11" x14ac:dyDescent="0.35">
      <c r="C12" t="s">
        <v>99</v>
      </c>
    </row>
    <row r="13" spans="1:11" x14ac:dyDescent="0.35">
      <c r="C13" t="s">
        <v>100</v>
      </c>
    </row>
    <row r="14" spans="1:11" x14ac:dyDescent="0.35">
      <c r="C14" t="s">
        <v>101</v>
      </c>
    </row>
    <row r="15" spans="1:11" x14ac:dyDescent="0.35">
      <c r="C15" t="s">
        <v>102</v>
      </c>
    </row>
    <row r="16" spans="1:11" x14ac:dyDescent="0.35">
      <c r="C16" t="s">
        <v>103</v>
      </c>
    </row>
    <row r="17" spans="3:3" x14ac:dyDescent="0.35">
      <c r="C17" t="s">
        <v>104</v>
      </c>
    </row>
    <row r="18" spans="3:3" x14ac:dyDescent="0.35">
      <c r="C18" t="s">
        <v>105</v>
      </c>
    </row>
    <row r="19" spans="3:3" x14ac:dyDescent="0.35">
      <c r="C19" t="s">
        <v>106</v>
      </c>
    </row>
    <row r="20" spans="3:3" x14ac:dyDescent="0.35">
      <c r="C20" t="s">
        <v>107</v>
      </c>
    </row>
    <row r="21" spans="3:3" x14ac:dyDescent="0.35">
      <c r="C21" t="s">
        <v>108</v>
      </c>
    </row>
    <row r="22" spans="3:3" x14ac:dyDescent="0.35">
      <c r="C22" t="s">
        <v>109</v>
      </c>
    </row>
    <row r="23" spans="3:3" x14ac:dyDescent="0.35">
      <c r="C23" t="s">
        <v>110</v>
      </c>
    </row>
    <row r="24" spans="3:3" x14ac:dyDescent="0.35">
      <c r="C24" t="s">
        <v>111</v>
      </c>
    </row>
    <row r="25" spans="3:3" x14ac:dyDescent="0.35">
      <c r="C25" t="s">
        <v>112</v>
      </c>
    </row>
    <row r="26" spans="3:3" x14ac:dyDescent="0.35">
      <c r="C26" t="s">
        <v>113</v>
      </c>
    </row>
    <row r="27" spans="3:3" x14ac:dyDescent="0.35">
      <c r="C27" t="s">
        <v>114</v>
      </c>
    </row>
    <row r="28" spans="3:3" x14ac:dyDescent="0.35">
      <c r="C28" t="s">
        <v>115</v>
      </c>
    </row>
    <row r="29" spans="3:3" x14ac:dyDescent="0.35">
      <c r="C29" t="s">
        <v>116</v>
      </c>
    </row>
    <row r="30" spans="3:3" x14ac:dyDescent="0.35">
      <c r="C30" t="s">
        <v>117</v>
      </c>
    </row>
    <row r="31" spans="3:3" x14ac:dyDescent="0.35">
      <c r="C31" t="s">
        <v>118</v>
      </c>
    </row>
    <row r="32" spans="3:3" x14ac:dyDescent="0.35">
      <c r="C32" t="s">
        <v>119</v>
      </c>
    </row>
    <row r="33" spans="3:3" x14ac:dyDescent="0.35">
      <c r="C33" t="s">
        <v>120</v>
      </c>
    </row>
    <row r="34" spans="3:3" x14ac:dyDescent="0.35">
      <c r="C34" t="s">
        <v>121</v>
      </c>
    </row>
    <row r="35" spans="3:3" x14ac:dyDescent="0.35">
      <c r="C35" t="s">
        <v>122</v>
      </c>
    </row>
    <row r="36" spans="3:3" x14ac:dyDescent="0.35">
      <c r="C36" t="s">
        <v>123</v>
      </c>
    </row>
    <row r="37" spans="3:3" x14ac:dyDescent="0.35">
      <c r="C37" t="s">
        <v>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Sensitivity</vt:lpstr>
      <vt:lpstr>Class_0</vt:lpstr>
      <vt:lpstr>Class_1</vt:lpstr>
      <vt:lpstr>Class_2</vt:lpstr>
      <vt:lpstr>SensitivityFiles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Srinivasan, Srikanth Kaniyanoor</cp:lastModifiedBy>
  <dcterms:created xsi:type="dcterms:W3CDTF">2025-10-04T04:24:12Z</dcterms:created>
  <dcterms:modified xsi:type="dcterms:W3CDTF">2025-10-05T06:34:06Z</dcterms:modified>
</cp:coreProperties>
</file>