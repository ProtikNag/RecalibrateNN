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C2249122-DDAC-4622-B681-68EC3AC2E9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nsitiveLayers" sheetId="4" r:id="rId1"/>
    <sheet name="Class_0" sheetId="1" r:id="rId2"/>
    <sheet name="Class_1" sheetId="2" r:id="rId3"/>
    <sheet name="Class_2" sheetId="3" r:id="rId4"/>
    <sheet name="SensitivityLogsAf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4" l="1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8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" i="4"/>
  <c r="B3" i="4"/>
  <c r="B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<sst xmlns="http://schemas.openxmlformats.org/spreadsheetml/2006/main" count="129" uniqueCount="39">
  <si>
    <t>features.0</t>
  </si>
  <si>
    <t>features.2</t>
  </si>
  <si>
    <t>features.4</t>
  </si>
  <si>
    <t>features.5</t>
  </si>
  <si>
    <t>features.7</t>
  </si>
  <si>
    <t>features.9</t>
  </si>
  <si>
    <t>features.10</t>
  </si>
  <si>
    <t>features.12</t>
  </si>
  <si>
    <t>features.14</t>
  </si>
  <si>
    <t>features.16</t>
  </si>
  <si>
    <t>features.17</t>
  </si>
  <si>
    <t>features.19</t>
  </si>
  <si>
    <t>features.21</t>
  </si>
  <si>
    <t>features.23</t>
  </si>
  <si>
    <t>features.24</t>
  </si>
  <si>
    <t>features.26</t>
  </si>
  <si>
    <t>features.28</t>
  </si>
  <si>
    <t>features.30</t>
  </si>
  <si>
    <t>Deer</t>
  </si>
  <si>
    <t>Horse</t>
  </si>
  <si>
    <t>Zebra</t>
  </si>
  <si>
    <t>Overall corelation</t>
  </si>
  <si>
    <t>Max Corelation layer</t>
  </si>
  <si>
    <t>Location of trained models</t>
  </si>
  <si>
    <t>P1</t>
  </si>
  <si>
    <t>/mnt/sdd/basics/vgg16/</t>
  </si>
  <si>
    <t>/mnt/sdd/basics/vgg16/loss_vgg16_features.10_0.5.pth  /mnt/sdd/basics/vgg16/loss_vgg16_features.24_0.5.pth</t>
  </si>
  <si>
    <t>/mnt/sdd/basics/vgg16/loss_vgg16_features.12_0.5.pth  /mnt/sdd/basics/vgg16/loss_vgg16_features.26_0.5.pth</t>
  </si>
  <si>
    <t>/mnt/sdd/basics/vgg16/loss_vgg16_features.14_0.5.pth  /mnt/sdd/basics/vgg16/loss_vgg16_features.28_0.5.pth</t>
  </si>
  <si>
    <t>/mnt/sdd/basics/vgg16/loss_vgg16_features.17_0.5.pth  /mnt/sdd/basics/vgg16/loss_vgg16_features.5_0.5.pth</t>
  </si>
  <si>
    <t>/mnt/sdd/basics/vgg16/loss_vgg16_features.19_0.5.pth  /mnt/sdd/basics/vgg16/loss_vgg16_features.7_0.5.pth</t>
  </si>
  <si>
    <t>/mnt/sdd/basics/vgg16/loss_vgg16_features.21_0.5.pth</t>
  </si>
  <si>
    <t>0.5 0.6 0.7 0.8 0.9</t>
  </si>
  <si>
    <t>Affects 2 classes</t>
  </si>
  <si>
    <t>Features.17</t>
  </si>
  <si>
    <t>Features.19</t>
  </si>
  <si>
    <t>Features.21</t>
  </si>
  <si>
    <t>Features.23</t>
  </si>
  <si>
    <t>Features.24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</si>
</sst>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7AA8-2261-4ABD-AB0A-03B57EFA8C10}">
  <dimension ref="A1:S9"/>
  <sheetViews>
    <sheetView tabSelected="1" workbookViewId="0">
      <selection activeCell="N17" sqref="N17"/>
    </sheetView>
  </sheetViews>
  <sheetFormatPr defaultRowHeight="14.5" x14ac:dyDescent="0.35"/>
  <cols>
    <col min="1" max="1" width="15.6328125" bestFit="1" customWidth="1"/>
    <col min="2" max="2" width="12.453125" bestFit="1" customWidth="1"/>
    <col min="3" max="3" width="11.81640625" bestFit="1" customWidth="1"/>
    <col min="4" max="4" width="12.453125" bestFit="1" customWidth="1"/>
    <col min="5" max="9" width="11.81640625" bestFit="1" customWidth="1"/>
    <col min="10" max="10" width="12.453125" bestFit="1" customWidth="1"/>
    <col min="11" max="18" width="11.81640625" bestFit="1" customWidth="1"/>
    <col min="19" max="19" width="10.26953125" bestFit="1" customWidth="1"/>
  </cols>
  <sheetData>
    <row r="1" spans="1:19" x14ac:dyDescent="0.35">
      <c r="B1" t="str">
        <f>Class_0!B1</f>
        <v>features.0</v>
      </c>
      <c r="C1" t="str">
        <f>Class_0!C1</f>
        <v>features.2</v>
      </c>
      <c r="D1" t="str">
        <f>Class_0!D1</f>
        <v>features.4</v>
      </c>
      <c r="E1" t="str">
        <f>Class_0!E1</f>
        <v>features.5</v>
      </c>
      <c r="F1" t="str">
        <f>Class_0!F1</f>
        <v>features.7</v>
      </c>
      <c r="G1" t="str">
        <f>Class_0!G1</f>
        <v>features.9</v>
      </c>
      <c r="H1" t="str">
        <f>Class_0!H1</f>
        <v>features.10</v>
      </c>
      <c r="I1" t="str">
        <f>Class_0!I1</f>
        <v>features.12</v>
      </c>
      <c r="J1" t="str">
        <f>Class_0!J1</f>
        <v>features.14</v>
      </c>
      <c r="K1" t="str">
        <f>Class_0!K1</f>
        <v>features.16</v>
      </c>
      <c r="L1" s="2" t="str">
        <f>Class_0!L1</f>
        <v>features.17</v>
      </c>
      <c r="M1" s="2" t="str">
        <f>Class_0!M1</f>
        <v>features.19</v>
      </c>
      <c r="N1" s="2" t="str">
        <f>Class_0!N1</f>
        <v>features.21</v>
      </c>
      <c r="O1" s="2" t="str">
        <f>Class_0!O1</f>
        <v>features.23</v>
      </c>
      <c r="P1" s="2" t="str">
        <f>Class_0!P1</f>
        <v>features.24</v>
      </c>
      <c r="Q1" t="str">
        <f>Class_0!Q1</f>
        <v>features.26</v>
      </c>
      <c r="R1" t="str">
        <f>Class_0!R1</f>
        <v>features.28</v>
      </c>
      <c r="S1" t="str">
        <f>Class_0!S1</f>
        <v>features.30</v>
      </c>
    </row>
    <row r="2" spans="1:19" x14ac:dyDescent="0.35">
      <c r="A2" t="s">
        <v>18</v>
      </c>
      <c r="B2">
        <f>Class_0!B19</f>
        <v>0.10144019733948299</v>
      </c>
      <c r="C2">
        <f>Class_0!C19</f>
        <v>0.2223755856375936</v>
      </c>
      <c r="D2">
        <f>Class_0!D19</f>
        <v>0.18828390525813479</v>
      </c>
      <c r="E2">
        <f>Class_0!E19</f>
        <v>0.24728717766247349</v>
      </c>
      <c r="F2">
        <f>Class_0!F19</f>
        <v>0.25566086538716182</v>
      </c>
      <c r="G2">
        <f>Class_0!G19</f>
        <v>0.19770361482525051</v>
      </c>
      <c r="H2">
        <f>Class_0!H19</f>
        <v>0.2060930710062151</v>
      </c>
      <c r="I2">
        <f>Class_0!I19</f>
        <v>0.14246384421774341</v>
      </c>
      <c r="J2">
        <f>Class_0!J19</f>
        <v>0.13796824700454741</v>
      </c>
      <c r="K2">
        <f>Class_0!K19</f>
        <v>0.17285669794604819</v>
      </c>
      <c r="L2">
        <f>Class_0!L19</f>
        <v>0.27802011675080662</v>
      </c>
      <c r="M2">
        <f>Class_0!M19</f>
        <v>0.32227459674056019</v>
      </c>
      <c r="N2">
        <f>Class_0!N19</f>
        <v>0.31485861071210153</v>
      </c>
      <c r="O2">
        <f>Class_0!O19</f>
        <v>0.40686373672340309</v>
      </c>
      <c r="P2">
        <f>Class_0!P19</f>
        <v>0.41542917441419619</v>
      </c>
      <c r="Q2">
        <f>Class_0!Q19</f>
        <v>0.53441425519317542</v>
      </c>
      <c r="R2">
        <f>Class_0!R19</f>
        <v>0.88699355988855699</v>
      </c>
      <c r="S2">
        <f>Class_0!S19</f>
        <v>1</v>
      </c>
    </row>
    <row r="3" spans="1:19" x14ac:dyDescent="0.35">
      <c r="A3" t="s">
        <v>19</v>
      </c>
      <c r="B3">
        <f>Class_1!B19</f>
        <v>-0.1059901649972782</v>
      </c>
      <c r="C3">
        <f>Class_1!C19</f>
        <v>2.847533752232332E-2</v>
      </c>
      <c r="D3">
        <f>Class_1!D19</f>
        <v>-4.5493052225235456E-3</v>
      </c>
      <c r="E3">
        <f>Class_1!E19</f>
        <v>6.7674097266047006E-2</v>
      </c>
      <c r="F3">
        <f>Class_1!F19</f>
        <v>0.15472171517794331</v>
      </c>
      <c r="G3">
        <f>Class_1!G19</f>
        <v>0.10602577676301971</v>
      </c>
      <c r="H3">
        <f>Class_1!H19</f>
        <v>6.2109113315880683E-2</v>
      </c>
      <c r="I3">
        <f>Class_1!I19</f>
        <v>7.8706588034998665E-3</v>
      </c>
      <c r="J3">
        <f>Class_1!J19</f>
        <v>-9.0862481462898631E-2</v>
      </c>
      <c r="K3">
        <f>Class_1!K19</f>
        <v>-1.8939409861527239E-2</v>
      </c>
      <c r="L3">
        <f>Class_1!L19</f>
        <v>0.17193230764319831</v>
      </c>
      <c r="M3">
        <f>Class_1!M19</f>
        <v>0.27098567276742719</v>
      </c>
      <c r="N3">
        <f>Class_1!N19</f>
        <v>0.40595479748042279</v>
      </c>
      <c r="O3">
        <f>Class_1!O19</f>
        <v>0.17106036414441089</v>
      </c>
      <c r="P3">
        <f>Class_1!P19</f>
        <v>0.50626283061571287</v>
      </c>
      <c r="Q3">
        <f>Class_1!Q19</f>
        <v>0.54760068142934426</v>
      </c>
      <c r="R3">
        <f>Class_1!R19</f>
        <v>0.71523781378661588</v>
      </c>
      <c r="S3">
        <f>Class_1!S19</f>
        <v>1</v>
      </c>
    </row>
    <row r="4" spans="1:19" x14ac:dyDescent="0.35">
      <c r="A4" t="s">
        <v>20</v>
      </c>
      <c r="B4">
        <f>Class_2!B19</f>
        <v>-4.9743897370750252E-2</v>
      </c>
      <c r="C4">
        <f>Class_2!C19</f>
        <v>8.6804963357492951E-2</v>
      </c>
      <c r="D4">
        <f>Class_2!D19</f>
        <v>8.989600626404512E-2</v>
      </c>
      <c r="E4">
        <f>Class_2!E19</f>
        <v>0.1756080596571592</v>
      </c>
      <c r="F4">
        <f>Class_2!F19</f>
        <v>0.15383962289829051</v>
      </c>
      <c r="G4">
        <f>Class_2!G19</f>
        <v>0.22124611992344509</v>
      </c>
      <c r="H4">
        <f>Class_2!H19</f>
        <v>0.2666605383461112</v>
      </c>
      <c r="I4">
        <f>Class_2!I19</f>
        <v>0.2467260902672033</v>
      </c>
      <c r="J4">
        <f>Class_2!J19</f>
        <v>0.26469293349027567</v>
      </c>
      <c r="K4">
        <f>Class_2!K19</f>
        <v>0.26519181525639107</v>
      </c>
      <c r="L4">
        <f>Class_2!L19</f>
        <v>0.27175357850937448</v>
      </c>
      <c r="M4">
        <f>Class_2!M19</f>
        <v>0.40948272471713099</v>
      </c>
      <c r="N4">
        <f>Class_2!N19</f>
        <v>0.15331654904335251</v>
      </c>
      <c r="O4">
        <f>Class_2!O19</f>
        <v>0.24054695410958249</v>
      </c>
      <c r="P4">
        <f>Class_2!P19</f>
        <v>0.42089516362947732</v>
      </c>
      <c r="Q4">
        <f>Class_2!Q19</f>
        <v>0.16029873344302001</v>
      </c>
      <c r="R4">
        <f>Class_2!R19</f>
        <v>0.78256855826323024</v>
      </c>
      <c r="S4">
        <f>Class_2!S19</f>
        <v>1</v>
      </c>
    </row>
    <row r="6" spans="1:19" x14ac:dyDescent="0.35">
      <c r="A6" t="s">
        <v>21</v>
      </c>
      <c r="B6">
        <f>MIN(B2:B4)</f>
        <v>-0.1059901649972782</v>
      </c>
      <c r="C6">
        <f t="shared" ref="C6:R6" si="0">MIN(C2:C4)</f>
        <v>2.847533752232332E-2</v>
      </c>
      <c r="D6">
        <f t="shared" si="0"/>
        <v>-4.5493052225235456E-3</v>
      </c>
      <c r="E6">
        <f t="shared" si="0"/>
        <v>6.7674097266047006E-2</v>
      </c>
      <c r="F6">
        <f t="shared" si="0"/>
        <v>0.15383962289829051</v>
      </c>
      <c r="G6">
        <f t="shared" si="0"/>
        <v>0.10602577676301971</v>
      </c>
      <c r="H6">
        <f t="shared" si="0"/>
        <v>6.2109113315880683E-2</v>
      </c>
      <c r="I6">
        <f t="shared" si="0"/>
        <v>7.8706588034998665E-3</v>
      </c>
      <c r="J6">
        <f t="shared" si="0"/>
        <v>-9.0862481462898631E-2</v>
      </c>
      <c r="K6">
        <f t="shared" si="0"/>
        <v>-1.8939409861527239E-2</v>
      </c>
      <c r="L6">
        <f t="shared" si="0"/>
        <v>0.17193230764319831</v>
      </c>
      <c r="M6">
        <f t="shared" si="0"/>
        <v>0.27098567276742719</v>
      </c>
      <c r="N6">
        <f t="shared" si="0"/>
        <v>0.15331654904335251</v>
      </c>
      <c r="O6">
        <f t="shared" si="0"/>
        <v>0.17106036414441089</v>
      </c>
      <c r="P6">
        <f t="shared" si="0"/>
        <v>0.41542917441419619</v>
      </c>
      <c r="Q6">
        <f t="shared" si="0"/>
        <v>0.16029873344302001</v>
      </c>
      <c r="R6">
        <f t="shared" si="0"/>
        <v>0.71523781378661588</v>
      </c>
    </row>
    <row r="7" spans="1:19" x14ac:dyDescent="0.35">
      <c r="B7" t="b">
        <f t="shared" ref="B7:R7" si="1">IF(AND(B2&gt;0,B3&gt;0,B4&gt;0),TRUE,FALSE)</f>
        <v>0</v>
      </c>
      <c r="C7" t="b">
        <f t="shared" si="1"/>
        <v>1</v>
      </c>
      <c r="D7" t="b">
        <f t="shared" si="1"/>
        <v>0</v>
      </c>
      <c r="E7" t="b">
        <f t="shared" si="1"/>
        <v>1</v>
      </c>
      <c r="F7" t="b">
        <f t="shared" si="1"/>
        <v>1</v>
      </c>
      <c r="G7" t="b">
        <f t="shared" si="1"/>
        <v>1</v>
      </c>
      <c r="H7" t="b">
        <f t="shared" si="1"/>
        <v>1</v>
      </c>
      <c r="I7" t="b">
        <f t="shared" si="1"/>
        <v>1</v>
      </c>
      <c r="J7" t="b">
        <f t="shared" si="1"/>
        <v>0</v>
      </c>
      <c r="K7" t="b">
        <f t="shared" si="1"/>
        <v>0</v>
      </c>
      <c r="L7" t="b">
        <f t="shared" si="1"/>
        <v>1</v>
      </c>
      <c r="M7" t="b">
        <f t="shared" si="1"/>
        <v>1</v>
      </c>
      <c r="N7" t="b">
        <f t="shared" si="1"/>
        <v>1</v>
      </c>
      <c r="O7" t="b">
        <f t="shared" si="1"/>
        <v>1</v>
      </c>
      <c r="P7" t="b">
        <f t="shared" si="1"/>
        <v>1</v>
      </c>
      <c r="Q7" t="b">
        <f t="shared" si="1"/>
        <v>1</v>
      </c>
      <c r="R7" t="b">
        <f t="shared" si="1"/>
        <v>1</v>
      </c>
    </row>
    <row r="8" spans="1:19" x14ac:dyDescent="0.35">
      <c r="A8" t="s">
        <v>22</v>
      </c>
      <c r="B8">
        <f>MAX(B6:R6)</f>
        <v>0.71523781378661588</v>
      </c>
    </row>
    <row r="9" spans="1:19" x14ac:dyDescent="0.35">
      <c r="A9" t="s">
        <v>33</v>
      </c>
      <c r="B9" t="b">
        <f>IF(OR(AND(B2&gt;0,B3&gt;0), AND(B2&gt;0,B4&gt;0), AND(B3&gt;0,B4&gt;0)), TRUE, FALSE)</f>
        <v>0</v>
      </c>
      <c r="C9" t="b">
        <f t="shared" ref="C9:S9" si="2">IF(OR(AND(C2&gt;0,C3&gt;0), AND(C2&gt;0,C4&gt;0), AND(C3&gt;0,C4&gt;0)), TRUE, FALSE)</f>
        <v>1</v>
      </c>
      <c r="D9" t="b">
        <f t="shared" si="2"/>
        <v>1</v>
      </c>
      <c r="E9" t="b">
        <f t="shared" si="2"/>
        <v>1</v>
      </c>
      <c r="F9" t="b">
        <f t="shared" si="2"/>
        <v>1</v>
      </c>
      <c r="G9" t="b">
        <f t="shared" si="2"/>
        <v>1</v>
      </c>
      <c r="H9" t="b">
        <f t="shared" si="2"/>
        <v>1</v>
      </c>
      <c r="I9" t="b">
        <f t="shared" si="2"/>
        <v>1</v>
      </c>
      <c r="J9" t="b">
        <f t="shared" si="2"/>
        <v>1</v>
      </c>
      <c r="K9" t="b">
        <f t="shared" si="2"/>
        <v>1</v>
      </c>
      <c r="L9" t="b">
        <f t="shared" si="2"/>
        <v>1</v>
      </c>
      <c r="M9" t="b">
        <f t="shared" si="2"/>
        <v>1</v>
      </c>
      <c r="N9" t="b">
        <f t="shared" si="2"/>
        <v>1</v>
      </c>
      <c r="O9" t="b">
        <f t="shared" si="2"/>
        <v>1</v>
      </c>
      <c r="P9" t="b">
        <f t="shared" si="2"/>
        <v>1</v>
      </c>
      <c r="Q9" t="b">
        <f t="shared" si="2"/>
        <v>1</v>
      </c>
      <c r="R9" t="b">
        <f t="shared" si="2"/>
        <v>1</v>
      </c>
      <c r="S9" t="b">
        <f t="shared" si="2"/>
        <v>1</v>
      </c>
    </row>
  </sheetData>
  <conditionalFormatting sqref="B6:S6">
    <cfRule type="cellIs" dxfId="2" priority="3" operator="greaterThan">
      <formula>0</formula>
    </cfRule>
  </conditionalFormatting>
  <conditionalFormatting sqref="B9:S9">
    <cfRule type="cellIs" dxfId="1" priority="2" operator="equal">
      <formula>TRUE</formula>
    </cfRule>
  </conditionalFormatting>
  <conditionalFormatting sqref="B7:S7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workbookViewId="0">
      <selection activeCell="B1" sqref="B1"/>
    </sheetView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0</v>
      </c>
      <c r="B2">
        <v>1</v>
      </c>
      <c r="C2">
        <v>0.4151929199254985</v>
      </c>
      <c r="D2">
        <v>0.32484426393970828</v>
      </c>
      <c r="E2">
        <v>0.42973768471651402</v>
      </c>
      <c r="F2">
        <v>0.29760181753640341</v>
      </c>
      <c r="G2">
        <v>0.29762971724316012</v>
      </c>
      <c r="H2">
        <v>0.24057084492594541</v>
      </c>
      <c r="I2">
        <v>0.20942007273748539</v>
      </c>
      <c r="J2">
        <v>0.17225033138142559</v>
      </c>
      <c r="K2">
        <v>0.18706651193339141</v>
      </c>
      <c r="L2">
        <v>0.17056448271671171</v>
      </c>
      <c r="M2">
        <v>0.14175542577517769</v>
      </c>
      <c r="N2">
        <v>9.4389764898854867E-2</v>
      </c>
      <c r="O2">
        <v>0.1176459475154551</v>
      </c>
      <c r="P2">
        <v>0.108961448353477</v>
      </c>
      <c r="Q2">
        <v>7.3013928943410092E-2</v>
      </c>
      <c r="R2">
        <v>0.1058913972133915</v>
      </c>
      <c r="S2">
        <v>0.10144019733948299</v>
      </c>
    </row>
    <row r="3" spans="1:19" x14ac:dyDescent="0.35">
      <c r="A3" s="1" t="s">
        <v>1</v>
      </c>
      <c r="B3">
        <v>0.4151929199254985</v>
      </c>
      <c r="C3">
        <v>1</v>
      </c>
      <c r="D3">
        <v>0.68986715299273571</v>
      </c>
      <c r="E3">
        <v>0.44876514905514292</v>
      </c>
      <c r="F3">
        <v>0.42604351970349941</v>
      </c>
      <c r="G3">
        <v>0.38817958081547599</v>
      </c>
      <c r="H3">
        <v>0.3101992120015617</v>
      </c>
      <c r="I3">
        <v>0.33198694267840601</v>
      </c>
      <c r="J3">
        <v>0.16113380728991741</v>
      </c>
      <c r="K3">
        <v>0.19908715095169621</v>
      </c>
      <c r="L3">
        <v>0.2312771375981541</v>
      </c>
      <c r="M3">
        <v>0.26107213203540869</v>
      </c>
      <c r="N3">
        <v>0.213843069141058</v>
      </c>
      <c r="O3">
        <v>0.2465517298901552</v>
      </c>
      <c r="P3">
        <v>0.20135019535283641</v>
      </c>
      <c r="Q3">
        <v>0.11956871405555999</v>
      </c>
      <c r="R3">
        <v>0.24760021299591831</v>
      </c>
      <c r="S3">
        <v>0.2223755856375936</v>
      </c>
    </row>
    <row r="4" spans="1:19" x14ac:dyDescent="0.35">
      <c r="A4" s="1" t="s">
        <v>2</v>
      </c>
      <c r="B4">
        <v>0.32484426393970828</v>
      </c>
      <c r="C4">
        <v>0.68986715299273571</v>
      </c>
      <c r="D4">
        <v>1</v>
      </c>
      <c r="E4">
        <v>0.41143348555711279</v>
      </c>
      <c r="F4">
        <v>0.38812196823315609</v>
      </c>
      <c r="G4">
        <v>0.35701844642262998</v>
      </c>
      <c r="H4">
        <v>0.29585980326979472</v>
      </c>
      <c r="I4">
        <v>0.30935844907498627</v>
      </c>
      <c r="J4">
        <v>0.11588965922403489</v>
      </c>
      <c r="K4">
        <v>0.1483506007248982</v>
      </c>
      <c r="L4">
        <v>0.187733662865014</v>
      </c>
      <c r="M4">
        <v>0.23358234060415509</v>
      </c>
      <c r="N4">
        <v>0.19724022163620941</v>
      </c>
      <c r="O4">
        <v>0.24267768743781701</v>
      </c>
      <c r="P4">
        <v>0.17013952783688571</v>
      </c>
      <c r="Q4">
        <v>5.869001325070658E-2</v>
      </c>
      <c r="R4">
        <v>0.21440138441595419</v>
      </c>
      <c r="S4">
        <v>0.18828390525813479</v>
      </c>
    </row>
    <row r="5" spans="1:19" x14ac:dyDescent="0.35">
      <c r="A5" s="1" t="s">
        <v>3</v>
      </c>
      <c r="B5">
        <v>0.42973768471651402</v>
      </c>
      <c r="C5">
        <v>0.44876514905514292</v>
      </c>
      <c r="D5">
        <v>0.41143348555711279</v>
      </c>
      <c r="E5">
        <v>1</v>
      </c>
      <c r="F5">
        <v>0.45723544205444439</v>
      </c>
      <c r="G5">
        <v>0.41296698680108712</v>
      </c>
      <c r="H5">
        <v>0.41368009907095749</v>
      </c>
      <c r="I5">
        <v>0.34505052011492349</v>
      </c>
      <c r="J5">
        <v>0.35425198903152483</v>
      </c>
      <c r="K5">
        <v>0.34337406168271573</v>
      </c>
      <c r="L5">
        <v>0.30917488670999882</v>
      </c>
      <c r="M5">
        <v>0.26198213066602483</v>
      </c>
      <c r="N5">
        <v>0.2614917809874876</v>
      </c>
      <c r="O5">
        <v>0.26930802730874892</v>
      </c>
      <c r="P5">
        <v>0.22893677681839431</v>
      </c>
      <c r="Q5">
        <v>0.1748490770033152</v>
      </c>
      <c r="R5">
        <v>0.25535566254171771</v>
      </c>
      <c r="S5">
        <v>0.24728717766247349</v>
      </c>
    </row>
    <row r="6" spans="1:19" x14ac:dyDescent="0.35">
      <c r="A6" s="1" t="s">
        <v>4</v>
      </c>
      <c r="B6">
        <v>0.29760181753640341</v>
      </c>
      <c r="C6">
        <v>0.42604351970349941</v>
      </c>
      <c r="D6">
        <v>0.38812196823315609</v>
      </c>
      <c r="E6">
        <v>0.45723544205444439</v>
      </c>
      <c r="F6">
        <v>1</v>
      </c>
      <c r="G6">
        <v>0.8240572262707897</v>
      </c>
      <c r="H6">
        <v>0.70286330686982135</v>
      </c>
      <c r="I6">
        <v>0.49525140207964891</v>
      </c>
      <c r="J6">
        <v>0.46856186701213742</v>
      </c>
      <c r="K6">
        <v>0.47383011613722342</v>
      </c>
      <c r="L6">
        <v>0.3700499928982332</v>
      </c>
      <c r="M6">
        <v>0.30657296670333201</v>
      </c>
      <c r="N6">
        <v>0.29744039328417748</v>
      </c>
      <c r="O6">
        <v>0.28391587696071641</v>
      </c>
      <c r="P6">
        <v>0.28841852995852713</v>
      </c>
      <c r="Q6">
        <v>0.15889852837911009</v>
      </c>
      <c r="R6">
        <v>0.24648893603081509</v>
      </c>
      <c r="S6">
        <v>0.25566086538716182</v>
      </c>
    </row>
    <row r="7" spans="1:19" x14ac:dyDescent="0.35">
      <c r="A7" s="1" t="s">
        <v>5</v>
      </c>
      <c r="B7">
        <v>0.29762971724316012</v>
      </c>
      <c r="C7">
        <v>0.38817958081547599</v>
      </c>
      <c r="D7">
        <v>0.35701844642262998</v>
      </c>
      <c r="E7">
        <v>0.41296698680108712</v>
      </c>
      <c r="F7">
        <v>0.8240572262707897</v>
      </c>
      <c r="G7">
        <v>1</v>
      </c>
      <c r="H7">
        <v>0.68353319393846412</v>
      </c>
      <c r="I7">
        <v>0.5171873949856628</v>
      </c>
      <c r="J7">
        <v>0.46097495061786631</v>
      </c>
      <c r="K7">
        <v>0.48520858912260462</v>
      </c>
      <c r="L7">
        <v>0.33870106814005319</v>
      </c>
      <c r="M7">
        <v>0.31966748918749871</v>
      </c>
      <c r="N7">
        <v>0.26357717090082311</v>
      </c>
      <c r="O7">
        <v>0.2489970055351462</v>
      </c>
      <c r="P7">
        <v>0.27317423243368161</v>
      </c>
      <c r="Q7">
        <v>0.12073087448356851</v>
      </c>
      <c r="R7">
        <v>0.1915944486786603</v>
      </c>
      <c r="S7">
        <v>0.19770361482525051</v>
      </c>
    </row>
    <row r="8" spans="1:19" x14ac:dyDescent="0.35">
      <c r="A8" s="1" t="s">
        <v>6</v>
      </c>
      <c r="B8">
        <v>0.24057084492594541</v>
      </c>
      <c r="C8">
        <v>0.3101992120015617</v>
      </c>
      <c r="D8">
        <v>0.29585980326979472</v>
      </c>
      <c r="E8">
        <v>0.41368009907095749</v>
      </c>
      <c r="F8">
        <v>0.70286330686982135</v>
      </c>
      <c r="G8">
        <v>0.68353319393846412</v>
      </c>
      <c r="H8">
        <v>1</v>
      </c>
      <c r="I8">
        <v>0.5638402780096583</v>
      </c>
      <c r="J8">
        <v>0.55208224949665874</v>
      </c>
      <c r="K8">
        <v>0.53984217677579649</v>
      </c>
      <c r="L8">
        <v>0.50044008386093453</v>
      </c>
      <c r="M8">
        <v>0.35022025887050501</v>
      </c>
      <c r="N8">
        <v>0.37258289142479573</v>
      </c>
      <c r="O8">
        <v>0.34531341746940558</v>
      </c>
      <c r="P8">
        <v>0.31037491921461507</v>
      </c>
      <c r="Q8">
        <v>0.14859278619017111</v>
      </c>
      <c r="R8">
        <v>0.19314983880913539</v>
      </c>
      <c r="S8">
        <v>0.2060930710062151</v>
      </c>
    </row>
    <row r="9" spans="1:19" x14ac:dyDescent="0.35">
      <c r="A9" s="1" t="s">
        <v>7</v>
      </c>
      <c r="B9">
        <v>0.20942007273748539</v>
      </c>
      <c r="C9">
        <v>0.33198694267840601</v>
      </c>
      <c r="D9">
        <v>0.30935844907498627</v>
      </c>
      <c r="E9">
        <v>0.34505052011492349</v>
      </c>
      <c r="F9">
        <v>0.49525140207964891</v>
      </c>
      <c r="G9">
        <v>0.5171873949856628</v>
      </c>
      <c r="H9">
        <v>0.5638402780096583</v>
      </c>
      <c r="I9">
        <v>1</v>
      </c>
      <c r="J9">
        <v>0.5892579430830085</v>
      </c>
      <c r="K9">
        <v>0.60568596890502835</v>
      </c>
      <c r="L9">
        <v>0.4735770199428862</v>
      </c>
      <c r="M9">
        <v>0.39881643958620783</v>
      </c>
      <c r="N9">
        <v>0.32203165071474521</v>
      </c>
      <c r="O9">
        <v>0.2876441930631578</v>
      </c>
      <c r="P9">
        <v>0.32108225769724408</v>
      </c>
      <c r="Q9">
        <v>0.116777926226475</v>
      </c>
      <c r="R9">
        <v>0.1337889381649344</v>
      </c>
      <c r="S9">
        <v>0.14246384421774341</v>
      </c>
    </row>
    <row r="10" spans="1:19" x14ac:dyDescent="0.35">
      <c r="A10" s="1" t="s">
        <v>8</v>
      </c>
      <c r="B10">
        <v>0.17225033138142559</v>
      </c>
      <c r="C10">
        <v>0.16113380728991741</v>
      </c>
      <c r="D10">
        <v>0.11588965922403489</v>
      </c>
      <c r="E10">
        <v>0.35425198903152483</v>
      </c>
      <c r="F10">
        <v>0.46856186701213742</v>
      </c>
      <c r="G10">
        <v>0.46097495061786631</v>
      </c>
      <c r="H10">
        <v>0.55208224949665874</v>
      </c>
      <c r="I10">
        <v>0.5892579430830085</v>
      </c>
      <c r="J10">
        <v>1</v>
      </c>
      <c r="K10">
        <v>0.82485263103947204</v>
      </c>
      <c r="L10">
        <v>0.61037002697857246</v>
      </c>
      <c r="M10">
        <v>0.44133217037329492</v>
      </c>
      <c r="N10">
        <v>0.44155947953970831</v>
      </c>
      <c r="O10">
        <v>0.3897246351511901</v>
      </c>
      <c r="P10">
        <v>0.41810470464763722</v>
      </c>
      <c r="Q10">
        <v>0.17722502077598989</v>
      </c>
      <c r="R10">
        <v>0.1425636307452669</v>
      </c>
      <c r="S10">
        <v>0.13796824700454741</v>
      </c>
    </row>
    <row r="11" spans="1:19" x14ac:dyDescent="0.35">
      <c r="A11" s="1" t="s">
        <v>9</v>
      </c>
      <c r="B11">
        <v>0.18706651193339141</v>
      </c>
      <c r="C11">
        <v>0.19908715095169621</v>
      </c>
      <c r="D11">
        <v>0.1483506007248982</v>
      </c>
      <c r="E11">
        <v>0.34337406168271573</v>
      </c>
      <c r="F11">
        <v>0.47383011613722342</v>
      </c>
      <c r="G11">
        <v>0.48520858912260462</v>
      </c>
      <c r="H11">
        <v>0.53984217677579649</v>
      </c>
      <c r="I11">
        <v>0.60568596890502835</v>
      </c>
      <c r="J11">
        <v>0.82485263103947204</v>
      </c>
      <c r="K11">
        <v>1</v>
      </c>
      <c r="L11">
        <v>0.62457396789771058</v>
      </c>
      <c r="M11">
        <v>0.46877229549500132</v>
      </c>
      <c r="N11">
        <v>0.43082371183676371</v>
      </c>
      <c r="O11">
        <v>0.35845901728363699</v>
      </c>
      <c r="P11">
        <v>0.42017749183669251</v>
      </c>
      <c r="Q11">
        <v>0.1606864729387513</v>
      </c>
      <c r="R11">
        <v>0.18564339318575651</v>
      </c>
      <c r="S11">
        <v>0.17285669794604819</v>
      </c>
    </row>
    <row r="12" spans="1:19" x14ac:dyDescent="0.35">
      <c r="A12" s="1" t="s">
        <v>10</v>
      </c>
      <c r="B12">
        <v>0.17056448271671171</v>
      </c>
      <c r="C12">
        <v>0.2312771375981541</v>
      </c>
      <c r="D12">
        <v>0.187733662865014</v>
      </c>
      <c r="E12">
        <v>0.30917488670999882</v>
      </c>
      <c r="F12">
        <v>0.3700499928982332</v>
      </c>
      <c r="G12">
        <v>0.33870106814005319</v>
      </c>
      <c r="H12">
        <v>0.50044008386093453</v>
      </c>
      <c r="I12">
        <v>0.4735770199428862</v>
      </c>
      <c r="J12">
        <v>0.61037002697857246</v>
      </c>
      <c r="K12">
        <v>0.62457396789771058</v>
      </c>
      <c r="L12">
        <v>1</v>
      </c>
      <c r="M12">
        <v>0.53586573543182836</v>
      </c>
      <c r="N12">
        <v>0.54483700911748223</v>
      </c>
      <c r="O12">
        <v>0.52155821989230411</v>
      </c>
      <c r="P12">
        <v>0.48451733050676199</v>
      </c>
      <c r="Q12">
        <v>0.21584827676125559</v>
      </c>
      <c r="R12">
        <v>0.32947241937010369</v>
      </c>
      <c r="S12">
        <v>0.27802011675080662</v>
      </c>
    </row>
    <row r="13" spans="1:19" x14ac:dyDescent="0.35">
      <c r="A13" s="1" t="s">
        <v>11</v>
      </c>
      <c r="B13">
        <v>0.14175542577517769</v>
      </c>
      <c r="C13">
        <v>0.26107213203540869</v>
      </c>
      <c r="D13">
        <v>0.23358234060415509</v>
      </c>
      <c r="E13">
        <v>0.26198213066602483</v>
      </c>
      <c r="F13">
        <v>0.30657296670333201</v>
      </c>
      <c r="G13">
        <v>0.31966748918749871</v>
      </c>
      <c r="H13">
        <v>0.35022025887050501</v>
      </c>
      <c r="I13">
        <v>0.39881643958620783</v>
      </c>
      <c r="J13">
        <v>0.44133217037329492</v>
      </c>
      <c r="K13">
        <v>0.46877229549500132</v>
      </c>
      <c r="L13">
        <v>0.53586573543182836</v>
      </c>
      <c r="M13">
        <v>1</v>
      </c>
      <c r="N13">
        <v>0.49341888427670089</v>
      </c>
      <c r="O13">
        <v>0.4814094706510107</v>
      </c>
      <c r="P13">
        <v>0.49334298543624028</v>
      </c>
      <c r="Q13">
        <v>0.22391498337845189</v>
      </c>
      <c r="R13">
        <v>0.33655350146102092</v>
      </c>
      <c r="S13">
        <v>0.32227459674056019</v>
      </c>
    </row>
    <row r="14" spans="1:19" x14ac:dyDescent="0.35">
      <c r="A14" s="1" t="s">
        <v>12</v>
      </c>
      <c r="B14">
        <v>9.4389764898854867E-2</v>
      </c>
      <c r="C14">
        <v>0.213843069141058</v>
      </c>
      <c r="D14">
        <v>0.19724022163620941</v>
      </c>
      <c r="E14">
        <v>0.2614917809874876</v>
      </c>
      <c r="F14">
        <v>0.29744039328417748</v>
      </c>
      <c r="G14">
        <v>0.26357717090082311</v>
      </c>
      <c r="H14">
        <v>0.37258289142479573</v>
      </c>
      <c r="I14">
        <v>0.32203165071474521</v>
      </c>
      <c r="J14">
        <v>0.44155947953970831</v>
      </c>
      <c r="K14">
        <v>0.43082371183676371</v>
      </c>
      <c r="L14">
        <v>0.54483700911748223</v>
      </c>
      <c r="M14">
        <v>0.49341888427670089</v>
      </c>
      <c r="N14">
        <v>1</v>
      </c>
      <c r="O14">
        <v>0.64998001281148488</v>
      </c>
      <c r="P14">
        <v>0.50037616991053613</v>
      </c>
      <c r="Q14">
        <v>0.25284729257702482</v>
      </c>
      <c r="R14">
        <v>0.36437297128156781</v>
      </c>
      <c r="S14">
        <v>0.31485861071210153</v>
      </c>
    </row>
    <row r="15" spans="1:19" x14ac:dyDescent="0.35">
      <c r="A15" s="1" t="s">
        <v>13</v>
      </c>
      <c r="B15">
        <v>0.1176459475154551</v>
      </c>
      <c r="C15">
        <v>0.2465517298901552</v>
      </c>
      <c r="D15">
        <v>0.24267768743781701</v>
      </c>
      <c r="E15">
        <v>0.26930802730874892</v>
      </c>
      <c r="F15">
        <v>0.28391587696071641</v>
      </c>
      <c r="G15">
        <v>0.2489970055351462</v>
      </c>
      <c r="H15">
        <v>0.34531341746940558</v>
      </c>
      <c r="I15">
        <v>0.2876441930631578</v>
      </c>
      <c r="J15">
        <v>0.3897246351511901</v>
      </c>
      <c r="K15">
        <v>0.35845901728363699</v>
      </c>
      <c r="L15">
        <v>0.52155821989230411</v>
      </c>
      <c r="M15">
        <v>0.4814094706510107</v>
      </c>
      <c r="N15">
        <v>0.64998001281148488</v>
      </c>
      <c r="O15">
        <v>1</v>
      </c>
      <c r="P15">
        <v>0.42362886833530772</v>
      </c>
      <c r="Q15">
        <v>0.2658840775079605</v>
      </c>
      <c r="R15">
        <v>0.42907208610356468</v>
      </c>
      <c r="S15">
        <v>0.40686373672340309</v>
      </c>
    </row>
    <row r="16" spans="1:19" x14ac:dyDescent="0.35">
      <c r="A16" s="1" t="s">
        <v>14</v>
      </c>
      <c r="B16">
        <v>0.108961448353477</v>
      </c>
      <c r="C16">
        <v>0.20135019535283641</v>
      </c>
      <c r="D16">
        <v>0.17013952783688571</v>
      </c>
      <c r="E16">
        <v>0.22893677681839431</v>
      </c>
      <c r="F16">
        <v>0.28841852995852713</v>
      </c>
      <c r="G16">
        <v>0.27317423243368161</v>
      </c>
      <c r="H16">
        <v>0.31037491921461507</v>
      </c>
      <c r="I16">
        <v>0.32108225769724408</v>
      </c>
      <c r="J16">
        <v>0.41810470464763722</v>
      </c>
      <c r="K16">
        <v>0.42017749183669251</v>
      </c>
      <c r="L16">
        <v>0.48451733050676199</v>
      </c>
      <c r="M16">
        <v>0.49334298543624028</v>
      </c>
      <c r="N16">
        <v>0.50037616991053613</v>
      </c>
      <c r="O16">
        <v>0.42362886833530772</v>
      </c>
      <c r="P16">
        <v>1</v>
      </c>
      <c r="Q16">
        <v>0.35508118525768451</v>
      </c>
      <c r="R16">
        <v>0.4382402514745769</v>
      </c>
      <c r="S16">
        <v>0.41542917441419619</v>
      </c>
    </row>
    <row r="17" spans="1:19" x14ac:dyDescent="0.35">
      <c r="A17" s="1" t="s">
        <v>15</v>
      </c>
      <c r="B17">
        <v>7.3013928943410092E-2</v>
      </c>
      <c r="C17">
        <v>0.11956871405555999</v>
      </c>
      <c r="D17">
        <v>5.869001325070658E-2</v>
      </c>
      <c r="E17">
        <v>0.1748490770033152</v>
      </c>
      <c r="F17">
        <v>0.15889852837911009</v>
      </c>
      <c r="G17">
        <v>0.12073087448356851</v>
      </c>
      <c r="H17">
        <v>0.14859278619017111</v>
      </c>
      <c r="I17">
        <v>0.116777926226475</v>
      </c>
      <c r="J17">
        <v>0.17722502077598989</v>
      </c>
      <c r="K17">
        <v>0.1606864729387513</v>
      </c>
      <c r="L17">
        <v>0.21584827676125559</v>
      </c>
      <c r="M17">
        <v>0.22391498337845189</v>
      </c>
      <c r="N17">
        <v>0.25284729257702482</v>
      </c>
      <c r="O17">
        <v>0.2658840775079605</v>
      </c>
      <c r="P17">
        <v>0.35508118525768451</v>
      </c>
      <c r="Q17">
        <v>1</v>
      </c>
      <c r="R17">
        <v>0.4904353119102241</v>
      </c>
      <c r="S17">
        <v>0.53441425519317542</v>
      </c>
    </row>
    <row r="18" spans="1:19" x14ac:dyDescent="0.35">
      <c r="A18" s="1" t="s">
        <v>16</v>
      </c>
      <c r="B18">
        <v>0.1058913972133915</v>
      </c>
      <c r="C18">
        <v>0.24760021299591831</v>
      </c>
      <c r="D18">
        <v>0.21440138441595419</v>
      </c>
      <c r="E18">
        <v>0.25535566254171771</v>
      </c>
      <c r="F18">
        <v>0.24648893603081509</v>
      </c>
      <c r="G18">
        <v>0.1915944486786603</v>
      </c>
      <c r="H18">
        <v>0.19314983880913539</v>
      </c>
      <c r="I18">
        <v>0.1337889381649344</v>
      </c>
      <c r="J18">
        <v>0.1425636307452669</v>
      </c>
      <c r="K18">
        <v>0.18564339318575651</v>
      </c>
      <c r="L18">
        <v>0.32947241937010369</v>
      </c>
      <c r="M18">
        <v>0.33655350146102092</v>
      </c>
      <c r="N18">
        <v>0.36437297128156781</v>
      </c>
      <c r="O18">
        <v>0.42907208610356468</v>
      </c>
      <c r="P18">
        <v>0.4382402514745769</v>
      </c>
      <c r="Q18">
        <v>0.4904353119102241</v>
      </c>
      <c r="R18">
        <v>1</v>
      </c>
      <c r="S18">
        <v>0.88699355988855699</v>
      </c>
    </row>
    <row r="19" spans="1:19" x14ac:dyDescent="0.35">
      <c r="A19" s="1" t="s">
        <v>17</v>
      </c>
      <c r="B19">
        <v>0.10144019733948299</v>
      </c>
      <c r="C19">
        <v>0.2223755856375936</v>
      </c>
      <c r="D19">
        <v>0.18828390525813479</v>
      </c>
      <c r="E19">
        <v>0.24728717766247349</v>
      </c>
      <c r="F19">
        <v>0.25566086538716182</v>
      </c>
      <c r="G19">
        <v>0.19770361482525051</v>
      </c>
      <c r="H19">
        <v>0.2060930710062151</v>
      </c>
      <c r="I19">
        <v>0.14246384421774341</v>
      </c>
      <c r="J19">
        <v>0.13796824700454741</v>
      </c>
      <c r="K19">
        <v>0.17285669794604819</v>
      </c>
      <c r="L19">
        <v>0.27802011675080662</v>
      </c>
      <c r="M19">
        <v>0.32227459674056019</v>
      </c>
      <c r="N19">
        <v>0.31485861071210153</v>
      </c>
      <c r="O19">
        <v>0.40686373672340309</v>
      </c>
      <c r="P19">
        <v>0.41542917441419619</v>
      </c>
      <c r="Q19">
        <v>0.53441425519317542</v>
      </c>
      <c r="R19">
        <v>0.88699355988855699</v>
      </c>
      <c r="S1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0</v>
      </c>
      <c r="B2">
        <v>1</v>
      </c>
      <c r="C2">
        <v>0.29373459138862729</v>
      </c>
      <c r="D2">
        <v>0.25745241961066923</v>
      </c>
      <c r="E2">
        <v>0.20159646679578491</v>
      </c>
      <c r="F2">
        <v>0.25285243097271459</v>
      </c>
      <c r="G2">
        <v>0.27985143946314112</v>
      </c>
      <c r="H2">
        <v>0.30590596845220119</v>
      </c>
      <c r="I2">
        <v>0.22318016236927979</v>
      </c>
      <c r="J2">
        <v>0.2457108125032535</v>
      </c>
      <c r="K2">
        <v>0.219597225749848</v>
      </c>
      <c r="L2">
        <v>8.2559581820906655E-2</v>
      </c>
      <c r="M2">
        <v>7.7791023396144632E-2</v>
      </c>
      <c r="N2">
        <v>-1.8453496125094618E-2</v>
      </c>
      <c r="O2">
        <v>-3.9726358269612412E-2</v>
      </c>
      <c r="P2">
        <v>-3.2675900317984417E-2</v>
      </c>
      <c r="Q2">
        <v>-8.693584484169592E-2</v>
      </c>
      <c r="R2">
        <v>-5.874232432025215E-2</v>
      </c>
      <c r="S2">
        <v>-0.1059901649972782</v>
      </c>
    </row>
    <row r="3" spans="1:19" x14ac:dyDescent="0.35">
      <c r="A3" s="1" t="s">
        <v>1</v>
      </c>
      <c r="B3">
        <v>0.29373459138862729</v>
      </c>
      <c r="C3">
        <v>1</v>
      </c>
      <c r="D3">
        <v>0.63105558021243102</v>
      </c>
      <c r="E3">
        <v>0.34298447125474502</v>
      </c>
      <c r="F3">
        <v>0.27210658785869918</v>
      </c>
      <c r="G3">
        <v>0.2339794541319497</v>
      </c>
      <c r="H3">
        <v>0.16262635820492041</v>
      </c>
      <c r="I3">
        <v>0.13374908511009109</v>
      </c>
      <c r="J3">
        <v>0.1110166278381121</v>
      </c>
      <c r="K3">
        <v>0.15066582044397539</v>
      </c>
      <c r="L3">
        <v>0.1829668557490694</v>
      </c>
      <c r="M3">
        <v>0.19888006173555081</v>
      </c>
      <c r="N3">
        <v>9.4754368534777408E-2</v>
      </c>
      <c r="O3">
        <v>-0.1160994521776141</v>
      </c>
      <c r="P3">
        <v>9.5761712352212314E-2</v>
      </c>
      <c r="Q3">
        <v>-6.8628069903087429E-3</v>
      </c>
      <c r="R3">
        <v>1.730014182295942E-3</v>
      </c>
      <c r="S3">
        <v>2.847533752232332E-2</v>
      </c>
    </row>
    <row r="4" spans="1:19" x14ac:dyDescent="0.35">
      <c r="A4" s="1" t="s">
        <v>2</v>
      </c>
      <c r="B4">
        <v>0.25745241961066923</v>
      </c>
      <c r="C4">
        <v>0.63105558021243102</v>
      </c>
      <c r="D4">
        <v>1</v>
      </c>
      <c r="E4">
        <v>0.43087383621401548</v>
      </c>
      <c r="F4">
        <v>0.2491719874978679</v>
      </c>
      <c r="G4">
        <v>0.24304409625679149</v>
      </c>
      <c r="H4">
        <v>0.17099466358501811</v>
      </c>
      <c r="I4">
        <v>0.12581770029216091</v>
      </c>
      <c r="J4">
        <v>0.10868479921373531</v>
      </c>
      <c r="K4">
        <v>0.1024753946757896</v>
      </c>
      <c r="L4">
        <v>0.17106742249726811</v>
      </c>
      <c r="M4">
        <v>0.1165901526062135</v>
      </c>
      <c r="N4">
        <v>6.2970976208046342E-2</v>
      </c>
      <c r="O4">
        <v>-9.3344758451843618E-2</v>
      </c>
      <c r="P4">
        <v>5.1419769485755509E-2</v>
      </c>
      <c r="Q4">
        <v>-2.4970657898275371E-2</v>
      </c>
      <c r="R4">
        <v>-1.1305206888416561E-2</v>
      </c>
      <c r="S4">
        <v>-4.5493052225235456E-3</v>
      </c>
    </row>
    <row r="5" spans="1:19" x14ac:dyDescent="0.35">
      <c r="A5" s="1" t="s">
        <v>3</v>
      </c>
      <c r="B5">
        <v>0.20159646679578491</v>
      </c>
      <c r="C5">
        <v>0.34298447125474502</v>
      </c>
      <c r="D5">
        <v>0.43087383621401548</v>
      </c>
      <c r="E5">
        <v>1</v>
      </c>
      <c r="F5">
        <v>0.28642749474967383</v>
      </c>
      <c r="G5">
        <v>0.14085170352794121</v>
      </c>
      <c r="H5">
        <v>0.1067370564761308</v>
      </c>
      <c r="I5">
        <v>0.1220366743050908</v>
      </c>
      <c r="J5">
        <v>8.9662736187049688E-2</v>
      </c>
      <c r="K5">
        <v>4.2182547106271041E-2</v>
      </c>
      <c r="L5">
        <v>0.18911379518861901</v>
      </c>
      <c r="M5">
        <v>6.120757536342452E-2</v>
      </c>
      <c r="N5">
        <v>0.13043238916552211</v>
      </c>
      <c r="O5">
        <v>-1.2713544850298001E-2</v>
      </c>
      <c r="P5">
        <v>0.1168331665639861</v>
      </c>
      <c r="Q5">
        <v>1.996916282909279E-3</v>
      </c>
      <c r="R5">
        <v>4.0029887745490697E-2</v>
      </c>
      <c r="S5">
        <v>6.7674097266047006E-2</v>
      </c>
    </row>
    <row r="6" spans="1:19" x14ac:dyDescent="0.35">
      <c r="A6" s="1" t="s">
        <v>4</v>
      </c>
      <c r="B6">
        <v>0.25285243097271459</v>
      </c>
      <c r="C6">
        <v>0.27210658785869918</v>
      </c>
      <c r="D6">
        <v>0.2491719874978679</v>
      </c>
      <c r="E6">
        <v>0.28642749474967383</v>
      </c>
      <c r="F6">
        <v>1</v>
      </c>
      <c r="G6">
        <v>0.58859065786243359</v>
      </c>
      <c r="H6">
        <v>0.38741279802254008</v>
      </c>
      <c r="I6">
        <v>0.34666382945711749</v>
      </c>
      <c r="J6">
        <v>0.38968955374471231</v>
      </c>
      <c r="K6">
        <v>0.28517473491760048</v>
      </c>
      <c r="L6">
        <v>0.19387385518373049</v>
      </c>
      <c r="M6">
        <v>0.37373927200728768</v>
      </c>
      <c r="N6">
        <v>0.26268716615262627</v>
      </c>
      <c r="O6">
        <v>9.690999163504849E-3</v>
      </c>
      <c r="P6">
        <v>0.18474872837492781</v>
      </c>
      <c r="Q6">
        <v>0.13432719903069809</v>
      </c>
      <c r="R6">
        <v>8.6407793394240859E-2</v>
      </c>
      <c r="S6">
        <v>0.15472171517794331</v>
      </c>
    </row>
    <row r="7" spans="1:19" x14ac:dyDescent="0.35">
      <c r="A7" s="1" t="s">
        <v>5</v>
      </c>
      <c r="B7">
        <v>0.27985143946314112</v>
      </c>
      <c r="C7">
        <v>0.2339794541319497</v>
      </c>
      <c r="D7">
        <v>0.24304409625679149</v>
      </c>
      <c r="E7">
        <v>0.14085170352794121</v>
      </c>
      <c r="F7">
        <v>0.58859065786243359</v>
      </c>
      <c r="G7">
        <v>1</v>
      </c>
      <c r="H7">
        <v>0.6312777216762</v>
      </c>
      <c r="I7">
        <v>0.5177300809464247</v>
      </c>
      <c r="J7">
        <v>0.44051216136201687</v>
      </c>
      <c r="K7">
        <v>0.53191658828467314</v>
      </c>
      <c r="L7">
        <v>0.23158875905536619</v>
      </c>
      <c r="M7">
        <v>0.34150484618345872</v>
      </c>
      <c r="N7">
        <v>0.14065165648643899</v>
      </c>
      <c r="O7">
        <v>8.6678522862598348E-2</v>
      </c>
      <c r="P7">
        <v>0.2175128414890197</v>
      </c>
      <c r="Q7">
        <v>0.1144030209160584</v>
      </c>
      <c r="R7">
        <v>0.1100206128653021</v>
      </c>
      <c r="S7">
        <v>0.10602577676301971</v>
      </c>
    </row>
    <row r="8" spans="1:19" x14ac:dyDescent="0.35">
      <c r="A8" s="1" t="s">
        <v>6</v>
      </c>
      <c r="B8">
        <v>0.30590596845220119</v>
      </c>
      <c r="C8">
        <v>0.16262635820492041</v>
      </c>
      <c r="D8">
        <v>0.17099466358501811</v>
      </c>
      <c r="E8">
        <v>0.1067370564761308</v>
      </c>
      <c r="F8">
        <v>0.38741279802254008</v>
      </c>
      <c r="G8">
        <v>0.6312777216762</v>
      </c>
      <c r="H8">
        <v>1</v>
      </c>
      <c r="I8">
        <v>0.57939980192349128</v>
      </c>
      <c r="J8">
        <v>0.47841462941714719</v>
      </c>
      <c r="K8">
        <v>0.65904339648997989</v>
      </c>
      <c r="L8">
        <v>0.2695127578186019</v>
      </c>
      <c r="M8">
        <v>0.2251890457125019</v>
      </c>
      <c r="N8">
        <v>6.5290104330564994E-2</v>
      </c>
      <c r="O8">
        <v>0.10422982914961</v>
      </c>
      <c r="P8">
        <v>0.2322754857129754</v>
      </c>
      <c r="Q8">
        <v>6.029756764656518E-2</v>
      </c>
      <c r="R8">
        <v>0.184673712451872</v>
      </c>
      <c r="S8">
        <v>6.2109113315880683E-2</v>
      </c>
    </row>
    <row r="9" spans="1:19" x14ac:dyDescent="0.35">
      <c r="A9" s="1" t="s">
        <v>7</v>
      </c>
      <c r="B9">
        <v>0.22318016236927979</v>
      </c>
      <c r="C9">
        <v>0.13374908511009109</v>
      </c>
      <c r="D9">
        <v>0.12581770029216091</v>
      </c>
      <c r="E9">
        <v>0.1220366743050908</v>
      </c>
      <c r="F9">
        <v>0.34666382945711749</v>
      </c>
      <c r="G9">
        <v>0.5177300809464247</v>
      </c>
      <c r="H9">
        <v>0.57939980192349128</v>
      </c>
      <c r="I9">
        <v>1</v>
      </c>
      <c r="J9">
        <v>0.44464204293066972</v>
      </c>
      <c r="K9">
        <v>0.55256602646826769</v>
      </c>
      <c r="L9">
        <v>0.28780461085542441</v>
      </c>
      <c r="M9">
        <v>0.1886798323877526</v>
      </c>
      <c r="N9">
        <v>0.1422349499429014</v>
      </c>
      <c r="O9">
        <v>0.14777132652502969</v>
      </c>
      <c r="P9">
        <v>0.17150836086465421</v>
      </c>
      <c r="Q9">
        <v>3.7645592869971323E-2</v>
      </c>
      <c r="R9">
        <v>0.12735782294618961</v>
      </c>
      <c r="S9">
        <v>7.8706588034998665E-3</v>
      </c>
    </row>
    <row r="10" spans="1:19" x14ac:dyDescent="0.35">
      <c r="A10" s="1" t="s">
        <v>8</v>
      </c>
      <c r="B10">
        <v>0.2457108125032535</v>
      </c>
      <c r="C10">
        <v>0.1110166278381121</v>
      </c>
      <c r="D10">
        <v>0.10868479921373531</v>
      </c>
      <c r="E10">
        <v>8.9662736187049688E-2</v>
      </c>
      <c r="F10">
        <v>0.38968955374471231</v>
      </c>
      <c r="G10">
        <v>0.44051216136201687</v>
      </c>
      <c r="H10">
        <v>0.47841462941714719</v>
      </c>
      <c r="I10">
        <v>0.44464204293066972</v>
      </c>
      <c r="J10">
        <v>1</v>
      </c>
      <c r="K10">
        <v>0.61989767245815253</v>
      </c>
      <c r="L10">
        <v>0.13870925214635291</v>
      </c>
      <c r="M10">
        <v>0.27672544254991371</v>
      </c>
      <c r="N10">
        <v>3.3882261205367498E-2</v>
      </c>
      <c r="O10">
        <v>5.6188925038844158E-2</v>
      </c>
      <c r="P10">
        <v>3.5238307926339543E-2</v>
      </c>
      <c r="Q10">
        <v>-0.1108664627568951</v>
      </c>
      <c r="R10">
        <v>6.8126141011045457E-2</v>
      </c>
      <c r="S10">
        <v>-9.0862481462898631E-2</v>
      </c>
    </row>
    <row r="11" spans="1:19" x14ac:dyDescent="0.35">
      <c r="A11" s="1" t="s">
        <v>9</v>
      </c>
      <c r="B11">
        <v>0.219597225749848</v>
      </c>
      <c r="C11">
        <v>0.15066582044397539</v>
      </c>
      <c r="D11">
        <v>0.1024753946757896</v>
      </c>
      <c r="E11">
        <v>4.2182547106271041E-2</v>
      </c>
      <c r="F11">
        <v>0.28517473491760048</v>
      </c>
      <c r="G11">
        <v>0.53191658828467314</v>
      </c>
      <c r="H11">
        <v>0.65904339648997989</v>
      </c>
      <c r="I11">
        <v>0.55256602646826769</v>
      </c>
      <c r="J11">
        <v>0.61989767245815253</v>
      </c>
      <c r="K11">
        <v>1</v>
      </c>
      <c r="L11">
        <v>0.24442313694597931</v>
      </c>
      <c r="M11">
        <v>0.28101582014385812</v>
      </c>
      <c r="N11">
        <v>6.0984669736472867E-2</v>
      </c>
      <c r="O11">
        <v>0.1348383873321459</v>
      </c>
      <c r="P11">
        <v>0.16786805393350429</v>
      </c>
      <c r="Q11">
        <v>-3.4800095437120329E-2</v>
      </c>
      <c r="R11">
        <v>0.13036692290280011</v>
      </c>
      <c r="S11">
        <v>-1.8939409861527239E-2</v>
      </c>
    </row>
    <row r="12" spans="1:19" x14ac:dyDescent="0.35">
      <c r="A12" s="1" t="s">
        <v>10</v>
      </c>
      <c r="B12">
        <v>8.2559581820906655E-2</v>
      </c>
      <c r="C12">
        <v>0.1829668557490694</v>
      </c>
      <c r="D12">
        <v>0.17106742249726811</v>
      </c>
      <c r="E12">
        <v>0.18911379518861901</v>
      </c>
      <c r="F12">
        <v>0.19387385518373049</v>
      </c>
      <c r="G12">
        <v>0.23158875905536619</v>
      </c>
      <c r="H12">
        <v>0.2695127578186019</v>
      </c>
      <c r="I12">
        <v>0.28780461085542441</v>
      </c>
      <c r="J12">
        <v>0.13870925214635291</v>
      </c>
      <c r="K12">
        <v>0.24442313694597931</v>
      </c>
      <c r="L12">
        <v>1</v>
      </c>
      <c r="M12">
        <v>0.19941992171657749</v>
      </c>
      <c r="N12">
        <v>0.35893376761567519</v>
      </c>
      <c r="O12">
        <v>0.183972081979871</v>
      </c>
      <c r="P12">
        <v>0.29038041214661731</v>
      </c>
      <c r="Q12">
        <v>0.16006425242310529</v>
      </c>
      <c r="R12">
        <v>0.1695304911775683</v>
      </c>
      <c r="S12">
        <v>0.17193230764319831</v>
      </c>
    </row>
    <row r="13" spans="1:19" x14ac:dyDescent="0.35">
      <c r="A13" s="1" t="s">
        <v>11</v>
      </c>
      <c r="B13">
        <v>7.7791023396144632E-2</v>
      </c>
      <c r="C13">
        <v>0.19888006173555081</v>
      </c>
      <c r="D13">
        <v>0.1165901526062135</v>
      </c>
      <c r="E13">
        <v>6.120757536342452E-2</v>
      </c>
      <c r="F13">
        <v>0.37373927200728768</v>
      </c>
      <c r="G13">
        <v>0.34150484618345872</v>
      </c>
      <c r="H13">
        <v>0.2251890457125019</v>
      </c>
      <c r="I13">
        <v>0.1886798323877526</v>
      </c>
      <c r="J13">
        <v>0.27672544254991371</v>
      </c>
      <c r="K13">
        <v>0.28101582014385812</v>
      </c>
      <c r="L13">
        <v>0.19941992171657749</v>
      </c>
      <c r="M13">
        <v>1</v>
      </c>
      <c r="N13">
        <v>0.30216333840506637</v>
      </c>
      <c r="O13">
        <v>4.4331746178589227E-3</v>
      </c>
      <c r="P13">
        <v>0.30258296765930892</v>
      </c>
      <c r="Q13">
        <v>0.31861494615714803</v>
      </c>
      <c r="R13">
        <v>0.2479512954752934</v>
      </c>
      <c r="S13">
        <v>0.27098567276742719</v>
      </c>
    </row>
    <row r="14" spans="1:19" x14ac:dyDescent="0.35">
      <c r="A14" s="1" t="s">
        <v>12</v>
      </c>
      <c r="B14">
        <v>-1.8453496125094618E-2</v>
      </c>
      <c r="C14">
        <v>9.4754368534777408E-2</v>
      </c>
      <c r="D14">
        <v>6.2970976208046342E-2</v>
      </c>
      <c r="E14">
        <v>0.13043238916552211</v>
      </c>
      <c r="F14">
        <v>0.26268716615262627</v>
      </c>
      <c r="G14">
        <v>0.14065165648643899</v>
      </c>
      <c r="H14">
        <v>6.5290104330564994E-2</v>
      </c>
      <c r="I14">
        <v>0.1422349499429014</v>
      </c>
      <c r="J14">
        <v>3.3882261205367498E-2</v>
      </c>
      <c r="K14">
        <v>6.0984669736472867E-2</v>
      </c>
      <c r="L14">
        <v>0.35893376761567519</v>
      </c>
      <c r="M14">
        <v>0.30216333840506637</v>
      </c>
      <c r="N14">
        <v>1</v>
      </c>
      <c r="O14">
        <v>0.1759417356569935</v>
      </c>
      <c r="P14">
        <v>0.40484502069800338</v>
      </c>
      <c r="Q14">
        <v>0.33840776047758853</v>
      </c>
      <c r="R14">
        <v>0.34542584694688672</v>
      </c>
      <c r="S14">
        <v>0.40595479748042279</v>
      </c>
    </row>
    <row r="15" spans="1:19" x14ac:dyDescent="0.35">
      <c r="A15" s="1" t="s">
        <v>13</v>
      </c>
      <c r="B15">
        <v>-3.9726358269612412E-2</v>
      </c>
      <c r="C15">
        <v>-0.1160994521776141</v>
      </c>
      <c r="D15">
        <v>-9.3344758451843618E-2</v>
      </c>
      <c r="E15">
        <v>-1.2713544850298001E-2</v>
      </c>
      <c r="F15">
        <v>9.690999163504849E-3</v>
      </c>
      <c r="G15">
        <v>8.6678522862598348E-2</v>
      </c>
      <c r="H15">
        <v>0.10422982914961</v>
      </c>
      <c r="I15">
        <v>0.14777132652502969</v>
      </c>
      <c r="J15">
        <v>5.6188925038844158E-2</v>
      </c>
      <c r="K15">
        <v>0.1348383873321459</v>
      </c>
      <c r="L15">
        <v>0.183972081979871</v>
      </c>
      <c r="M15">
        <v>4.4331746178589227E-3</v>
      </c>
      <c r="N15">
        <v>0.1759417356569935</v>
      </c>
      <c r="O15">
        <v>1</v>
      </c>
      <c r="P15">
        <v>0.1632489094489365</v>
      </c>
      <c r="Q15">
        <v>0.182321442593327</v>
      </c>
      <c r="R15">
        <v>0.12974094178612969</v>
      </c>
      <c r="S15">
        <v>0.17106036414441089</v>
      </c>
    </row>
    <row r="16" spans="1:19" x14ac:dyDescent="0.35">
      <c r="A16" s="1" t="s">
        <v>14</v>
      </c>
      <c r="B16">
        <v>-3.2675900317984417E-2</v>
      </c>
      <c r="C16">
        <v>9.5761712352212314E-2</v>
      </c>
      <c r="D16">
        <v>5.1419769485755509E-2</v>
      </c>
      <c r="E16">
        <v>0.1168331665639861</v>
      </c>
      <c r="F16">
        <v>0.18474872837492781</v>
      </c>
      <c r="G16">
        <v>0.2175128414890197</v>
      </c>
      <c r="H16">
        <v>0.2322754857129754</v>
      </c>
      <c r="I16">
        <v>0.17150836086465421</v>
      </c>
      <c r="J16">
        <v>3.5238307926339543E-2</v>
      </c>
      <c r="K16">
        <v>0.16786805393350429</v>
      </c>
      <c r="L16">
        <v>0.29038041214661731</v>
      </c>
      <c r="M16">
        <v>0.30258296765930892</v>
      </c>
      <c r="N16">
        <v>0.40484502069800338</v>
      </c>
      <c r="O16">
        <v>0.1632489094489365</v>
      </c>
      <c r="P16">
        <v>1</v>
      </c>
      <c r="Q16">
        <v>0.36900776019647952</v>
      </c>
      <c r="R16">
        <v>0.41351769543774752</v>
      </c>
      <c r="S16">
        <v>0.50626283061571287</v>
      </c>
    </row>
    <row r="17" spans="1:19" x14ac:dyDescent="0.35">
      <c r="A17" s="1" t="s">
        <v>15</v>
      </c>
      <c r="B17">
        <v>-8.693584484169592E-2</v>
      </c>
      <c r="C17">
        <v>-6.8628069903087429E-3</v>
      </c>
      <c r="D17">
        <v>-2.4970657898275371E-2</v>
      </c>
      <c r="E17">
        <v>1.996916282909279E-3</v>
      </c>
      <c r="F17">
        <v>0.13432719903069809</v>
      </c>
      <c r="G17">
        <v>0.1144030209160584</v>
      </c>
      <c r="H17">
        <v>6.029756764656518E-2</v>
      </c>
      <c r="I17">
        <v>3.7645592869971323E-2</v>
      </c>
      <c r="J17">
        <v>-0.1108664627568951</v>
      </c>
      <c r="K17">
        <v>-3.4800095437120329E-2</v>
      </c>
      <c r="L17">
        <v>0.16006425242310529</v>
      </c>
      <c r="M17">
        <v>0.31861494615714803</v>
      </c>
      <c r="N17">
        <v>0.33840776047758853</v>
      </c>
      <c r="O17">
        <v>0.182321442593327</v>
      </c>
      <c r="P17">
        <v>0.36900776019647952</v>
      </c>
      <c r="Q17">
        <v>1</v>
      </c>
      <c r="R17">
        <v>0.48175729895685671</v>
      </c>
      <c r="S17">
        <v>0.54760068142934426</v>
      </c>
    </row>
    <row r="18" spans="1:19" x14ac:dyDescent="0.35">
      <c r="A18" s="1" t="s">
        <v>16</v>
      </c>
      <c r="B18">
        <v>-5.874232432025215E-2</v>
      </c>
      <c r="C18">
        <v>1.730014182295942E-3</v>
      </c>
      <c r="D18">
        <v>-1.1305206888416561E-2</v>
      </c>
      <c r="E18">
        <v>4.0029887745490697E-2</v>
      </c>
      <c r="F18">
        <v>8.6407793394240859E-2</v>
      </c>
      <c r="G18">
        <v>0.1100206128653021</v>
      </c>
      <c r="H18">
        <v>0.184673712451872</v>
      </c>
      <c r="I18">
        <v>0.12735782294618961</v>
      </c>
      <c r="J18">
        <v>6.8126141011045457E-2</v>
      </c>
      <c r="K18">
        <v>0.13036692290280011</v>
      </c>
      <c r="L18">
        <v>0.1695304911775683</v>
      </c>
      <c r="M18">
        <v>0.2479512954752934</v>
      </c>
      <c r="N18">
        <v>0.34542584694688672</v>
      </c>
      <c r="O18">
        <v>0.12974094178612969</v>
      </c>
      <c r="P18">
        <v>0.41351769543774752</v>
      </c>
      <c r="Q18">
        <v>0.48175729895685671</v>
      </c>
      <c r="R18">
        <v>1</v>
      </c>
      <c r="S18">
        <v>0.71523781378661588</v>
      </c>
    </row>
    <row r="19" spans="1:19" x14ac:dyDescent="0.35">
      <c r="A19" s="1" t="s">
        <v>17</v>
      </c>
      <c r="B19">
        <v>-0.1059901649972782</v>
      </c>
      <c r="C19">
        <v>2.847533752232332E-2</v>
      </c>
      <c r="D19">
        <v>-4.5493052225235456E-3</v>
      </c>
      <c r="E19">
        <v>6.7674097266047006E-2</v>
      </c>
      <c r="F19">
        <v>0.15472171517794331</v>
      </c>
      <c r="G19">
        <v>0.10602577676301971</v>
      </c>
      <c r="H19">
        <v>6.2109113315880683E-2</v>
      </c>
      <c r="I19">
        <v>7.8706588034998665E-3</v>
      </c>
      <c r="J19">
        <v>-9.0862481462898631E-2</v>
      </c>
      <c r="K19">
        <v>-1.8939409861527239E-2</v>
      </c>
      <c r="L19">
        <v>0.17193230764319831</v>
      </c>
      <c r="M19">
        <v>0.27098567276742719</v>
      </c>
      <c r="N19">
        <v>0.40595479748042279</v>
      </c>
      <c r="O19">
        <v>0.17106036414441089</v>
      </c>
      <c r="P19">
        <v>0.50626283061571287</v>
      </c>
      <c r="Q19">
        <v>0.54760068142934426</v>
      </c>
      <c r="R19">
        <v>0.71523781378661588</v>
      </c>
      <c r="S1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0</v>
      </c>
      <c r="B2">
        <v>1</v>
      </c>
      <c r="C2">
        <v>-8.6712228462496155E-2</v>
      </c>
      <c r="D2">
        <v>-0.10641143673465631</v>
      </c>
      <c r="E2">
        <v>-3.686922383847247E-3</v>
      </c>
      <c r="F2">
        <v>9.5669621947270852E-3</v>
      </c>
      <c r="G2">
        <v>-2.5290657993870161E-2</v>
      </c>
      <c r="H2">
        <v>-0.12391104319488321</v>
      </c>
      <c r="I2">
        <v>-0.10485600443848291</v>
      </c>
      <c r="J2">
        <v>-0.1198402541104464</v>
      </c>
      <c r="K2">
        <v>-0.11003064076819979</v>
      </c>
      <c r="L2">
        <v>-8.4560584156285326E-2</v>
      </c>
      <c r="M2">
        <v>-6.6810080334259059E-2</v>
      </c>
      <c r="N2">
        <v>-8.8222241976176938E-2</v>
      </c>
      <c r="O2">
        <v>-5.3886539084946922E-2</v>
      </c>
      <c r="P2">
        <v>-4.580094394164113E-2</v>
      </c>
      <c r="Q2">
        <v>8.2260655804144697E-2</v>
      </c>
      <c r="R2">
        <v>-7.2656045860508015E-2</v>
      </c>
      <c r="S2">
        <v>-4.9743897370750252E-2</v>
      </c>
    </row>
    <row r="3" spans="1:19" x14ac:dyDescent="0.35">
      <c r="A3" s="1" t="s">
        <v>1</v>
      </c>
      <c r="B3">
        <v>-8.6712228462496155E-2</v>
      </c>
      <c r="C3">
        <v>1</v>
      </c>
      <c r="D3">
        <v>0.77389023527592504</v>
      </c>
      <c r="E3">
        <v>0.50447819199930533</v>
      </c>
      <c r="F3">
        <v>0.2024318873749833</v>
      </c>
      <c r="G3">
        <v>0.21504496383112751</v>
      </c>
      <c r="H3">
        <v>9.0080296498434381E-2</v>
      </c>
      <c r="I3">
        <v>1.008023934844731E-2</v>
      </c>
      <c r="J3">
        <v>0.1282104981652476</v>
      </c>
      <c r="K3">
        <v>0.13393666759189149</v>
      </c>
      <c r="L3">
        <v>0.1708008148281164</v>
      </c>
      <c r="M3">
        <v>0.2140121571332147</v>
      </c>
      <c r="N3">
        <v>0.17906014850608709</v>
      </c>
      <c r="O3">
        <v>0.21445624799972909</v>
      </c>
      <c r="P3">
        <v>0.2374452483227486</v>
      </c>
      <c r="Q3">
        <v>0.1108271996548639</v>
      </c>
      <c r="R3">
        <v>0.17064200831622561</v>
      </c>
      <c r="S3">
        <v>8.6804963357492951E-2</v>
      </c>
    </row>
    <row r="4" spans="1:19" x14ac:dyDescent="0.35">
      <c r="A4" s="1" t="s">
        <v>2</v>
      </c>
      <c r="B4">
        <v>-0.10641143673465631</v>
      </c>
      <c r="C4">
        <v>0.77389023527592504</v>
      </c>
      <c r="D4">
        <v>1</v>
      </c>
      <c r="E4">
        <v>0.55858942031503378</v>
      </c>
      <c r="F4">
        <v>0.22119186150985601</v>
      </c>
      <c r="G4">
        <v>0.19099452302634229</v>
      </c>
      <c r="H4">
        <v>5.1141492388364268E-2</v>
      </c>
      <c r="I4">
        <v>-1.2723925985860141E-2</v>
      </c>
      <c r="J4">
        <v>0.12531898359605961</v>
      </c>
      <c r="K4">
        <v>0.1067894717962263</v>
      </c>
      <c r="L4">
        <v>0.16095832406427699</v>
      </c>
      <c r="M4">
        <v>0.23327166445183689</v>
      </c>
      <c r="N4">
        <v>0.1754813480867416</v>
      </c>
      <c r="O4">
        <v>0.21156709646211491</v>
      </c>
      <c r="P4">
        <v>0.25785362227643333</v>
      </c>
      <c r="Q4">
        <v>0.13522904760291929</v>
      </c>
      <c r="R4">
        <v>0.19332074423461659</v>
      </c>
      <c r="S4">
        <v>8.989600626404512E-2</v>
      </c>
    </row>
    <row r="5" spans="1:19" x14ac:dyDescent="0.35">
      <c r="A5" s="1" t="s">
        <v>3</v>
      </c>
      <c r="B5">
        <v>-3.686922383847247E-3</v>
      </c>
      <c r="C5">
        <v>0.50447819199930533</v>
      </c>
      <c r="D5">
        <v>0.55858942031503378</v>
      </c>
      <c r="E5">
        <v>1</v>
      </c>
      <c r="F5">
        <v>0.32620124456808802</v>
      </c>
      <c r="G5">
        <v>0.26973116481691362</v>
      </c>
      <c r="H5">
        <v>8.890039380427732E-2</v>
      </c>
      <c r="I5">
        <v>4.874128503971039E-2</v>
      </c>
      <c r="J5">
        <v>0.20098084420868881</v>
      </c>
      <c r="K5">
        <v>0.16146871618510589</v>
      </c>
      <c r="L5">
        <v>0.21727117694242551</v>
      </c>
      <c r="M5">
        <v>0.38254954795550439</v>
      </c>
      <c r="N5">
        <v>0.29285178407117302</v>
      </c>
      <c r="O5">
        <v>0.34600242769569262</v>
      </c>
      <c r="P5">
        <v>0.3415744412204007</v>
      </c>
      <c r="Q5">
        <v>0.22224372281107119</v>
      </c>
      <c r="R5">
        <v>0.32170235821099907</v>
      </c>
      <c r="S5">
        <v>0.1756080596571592</v>
      </c>
    </row>
    <row r="6" spans="1:19" x14ac:dyDescent="0.35">
      <c r="A6" s="1" t="s">
        <v>4</v>
      </c>
      <c r="B6">
        <v>9.5669621947270852E-3</v>
      </c>
      <c r="C6">
        <v>0.2024318873749833</v>
      </c>
      <c r="D6">
        <v>0.22119186150985601</v>
      </c>
      <c r="E6">
        <v>0.32620124456808802</v>
      </c>
      <c r="F6">
        <v>1</v>
      </c>
      <c r="G6">
        <v>0.763389440485434</v>
      </c>
      <c r="H6">
        <v>0.35544569715295948</v>
      </c>
      <c r="I6">
        <v>0.22546388093865311</v>
      </c>
      <c r="J6">
        <v>0.21747645178542191</v>
      </c>
      <c r="K6">
        <v>0.2168714014285032</v>
      </c>
      <c r="L6">
        <v>0.21998574072210161</v>
      </c>
      <c r="M6">
        <v>0.27599567363618599</v>
      </c>
      <c r="N6">
        <v>0.1509542392358601</v>
      </c>
      <c r="O6">
        <v>0.21556103846173361</v>
      </c>
      <c r="P6">
        <v>0.21886297125743831</v>
      </c>
      <c r="Q6">
        <v>0.20334275610847391</v>
      </c>
      <c r="R6">
        <v>0.17507017878532699</v>
      </c>
      <c r="S6">
        <v>0.15383962289829051</v>
      </c>
    </row>
    <row r="7" spans="1:19" x14ac:dyDescent="0.35">
      <c r="A7" s="1" t="s">
        <v>5</v>
      </c>
      <c r="B7">
        <v>-2.5290657993870161E-2</v>
      </c>
      <c r="C7">
        <v>0.21504496383112751</v>
      </c>
      <c r="D7">
        <v>0.19099452302634229</v>
      </c>
      <c r="E7">
        <v>0.26973116481691362</v>
      </c>
      <c r="F7">
        <v>0.763389440485434</v>
      </c>
      <c r="G7">
        <v>1</v>
      </c>
      <c r="H7">
        <v>0.50834172825541368</v>
      </c>
      <c r="I7">
        <v>0.31078320967833872</v>
      </c>
      <c r="J7">
        <v>0.30099536359481971</v>
      </c>
      <c r="K7">
        <v>0.33640543009241453</v>
      </c>
      <c r="L7">
        <v>0.29462164589974599</v>
      </c>
      <c r="M7">
        <v>0.3399315499061506</v>
      </c>
      <c r="N7">
        <v>0.24284353519429591</v>
      </c>
      <c r="O7">
        <v>0.27085347420108141</v>
      </c>
      <c r="P7">
        <v>0.26917011627148069</v>
      </c>
      <c r="Q7">
        <v>0.1438768358379911</v>
      </c>
      <c r="R7">
        <v>0.2469939064003828</v>
      </c>
      <c r="S7">
        <v>0.22124611992344509</v>
      </c>
    </row>
    <row r="8" spans="1:19" x14ac:dyDescent="0.35">
      <c r="A8" s="1" t="s">
        <v>6</v>
      </c>
      <c r="B8">
        <v>-0.12391104319488321</v>
      </c>
      <c r="C8">
        <v>9.0080296498434381E-2</v>
      </c>
      <c r="D8">
        <v>5.1141492388364268E-2</v>
      </c>
      <c r="E8">
        <v>8.890039380427732E-2</v>
      </c>
      <c r="F8">
        <v>0.35544569715295948</v>
      </c>
      <c r="G8">
        <v>0.50834172825541368</v>
      </c>
      <c r="H8">
        <v>1</v>
      </c>
      <c r="I8">
        <v>0.70852546773536518</v>
      </c>
      <c r="J8">
        <v>0.59611399782603813</v>
      </c>
      <c r="K8">
        <v>0.64952452027609875</v>
      </c>
      <c r="L8">
        <v>0.41694652925363168</v>
      </c>
      <c r="M8">
        <v>0.33967370849558692</v>
      </c>
      <c r="N8">
        <v>0.36317485330371269</v>
      </c>
      <c r="O8">
        <v>0.35395623919134911</v>
      </c>
      <c r="P8">
        <v>0.26578317243432542</v>
      </c>
      <c r="Q8">
        <v>-5.1804388217327427E-2</v>
      </c>
      <c r="R8">
        <v>0.31616625295722112</v>
      </c>
      <c r="S8">
        <v>0.2666605383461112</v>
      </c>
    </row>
    <row r="9" spans="1:19" x14ac:dyDescent="0.35">
      <c r="A9" s="1" t="s">
        <v>7</v>
      </c>
      <c r="B9">
        <v>-0.10485600443848291</v>
      </c>
      <c r="C9">
        <v>1.008023934844731E-2</v>
      </c>
      <c r="D9">
        <v>-1.2723925985860141E-2</v>
      </c>
      <c r="E9">
        <v>4.874128503971039E-2</v>
      </c>
      <c r="F9">
        <v>0.22546388093865311</v>
      </c>
      <c r="G9">
        <v>0.31078320967833872</v>
      </c>
      <c r="H9">
        <v>0.70852546773536518</v>
      </c>
      <c r="I9">
        <v>1</v>
      </c>
      <c r="J9">
        <v>0.60539628204603724</v>
      </c>
      <c r="K9">
        <v>0.62626200521108055</v>
      </c>
      <c r="L9">
        <v>0.43073703046640771</v>
      </c>
      <c r="M9">
        <v>0.26107388354982358</v>
      </c>
      <c r="N9">
        <v>0.28722245949461328</v>
      </c>
      <c r="O9">
        <v>0.31597349186202789</v>
      </c>
      <c r="P9">
        <v>0.1994742674594672</v>
      </c>
      <c r="Q9">
        <v>-4.4809465900077193E-2</v>
      </c>
      <c r="R9">
        <v>0.28419926152721769</v>
      </c>
      <c r="S9">
        <v>0.2467260902672033</v>
      </c>
    </row>
    <row r="10" spans="1:19" x14ac:dyDescent="0.35">
      <c r="A10" s="1" t="s">
        <v>8</v>
      </c>
      <c r="B10">
        <v>-0.1198402541104464</v>
      </c>
      <c r="C10">
        <v>0.1282104981652476</v>
      </c>
      <c r="D10">
        <v>0.12531898359605961</v>
      </c>
      <c r="E10">
        <v>0.20098084420868881</v>
      </c>
      <c r="F10">
        <v>0.21747645178542191</v>
      </c>
      <c r="G10">
        <v>0.30099536359481971</v>
      </c>
      <c r="H10">
        <v>0.59611399782603813</v>
      </c>
      <c r="I10">
        <v>0.60539628204603724</v>
      </c>
      <c r="J10">
        <v>1</v>
      </c>
      <c r="K10">
        <v>0.79058815242795777</v>
      </c>
      <c r="L10">
        <v>0.56674826466587613</v>
      </c>
      <c r="M10">
        <v>0.44217895802093632</v>
      </c>
      <c r="N10">
        <v>0.36886244379586602</v>
      </c>
      <c r="O10">
        <v>0.4402979639735532</v>
      </c>
      <c r="P10">
        <v>0.29958919874730849</v>
      </c>
      <c r="Q10">
        <v>-4.0733817176221267E-3</v>
      </c>
      <c r="R10">
        <v>0.31152919404066159</v>
      </c>
      <c r="S10">
        <v>0.26469293349027567</v>
      </c>
    </row>
    <row r="11" spans="1:19" x14ac:dyDescent="0.35">
      <c r="A11" s="1" t="s">
        <v>9</v>
      </c>
      <c r="B11">
        <v>-0.11003064076819979</v>
      </c>
      <c r="C11">
        <v>0.13393666759189149</v>
      </c>
      <c r="D11">
        <v>0.1067894717962263</v>
      </c>
      <c r="E11">
        <v>0.16146871618510589</v>
      </c>
      <c r="F11">
        <v>0.2168714014285032</v>
      </c>
      <c r="G11">
        <v>0.33640543009241453</v>
      </c>
      <c r="H11">
        <v>0.64952452027609875</v>
      </c>
      <c r="I11">
        <v>0.62626200521108055</v>
      </c>
      <c r="J11">
        <v>0.79058815242795777</v>
      </c>
      <c r="K11">
        <v>1</v>
      </c>
      <c r="L11">
        <v>0.56831159563809686</v>
      </c>
      <c r="M11">
        <v>0.4362494648342054</v>
      </c>
      <c r="N11">
        <v>0.41844770027874728</v>
      </c>
      <c r="O11">
        <v>0.43534455412244311</v>
      </c>
      <c r="P11">
        <v>0.32791973127037533</v>
      </c>
      <c r="Q11">
        <v>-2.6528110004013922E-2</v>
      </c>
      <c r="R11">
        <v>0.33590497253005458</v>
      </c>
      <c r="S11">
        <v>0.26519181525639107</v>
      </c>
    </row>
    <row r="12" spans="1:19" x14ac:dyDescent="0.35">
      <c r="A12" s="1" t="s">
        <v>10</v>
      </c>
      <c r="B12">
        <v>-8.4560584156285326E-2</v>
      </c>
      <c r="C12">
        <v>0.1708008148281164</v>
      </c>
      <c r="D12">
        <v>0.16095832406427699</v>
      </c>
      <c r="E12">
        <v>0.21727117694242551</v>
      </c>
      <c r="F12">
        <v>0.21998574072210161</v>
      </c>
      <c r="G12">
        <v>0.29462164589974599</v>
      </c>
      <c r="H12">
        <v>0.41694652925363168</v>
      </c>
      <c r="I12">
        <v>0.43073703046640771</v>
      </c>
      <c r="J12">
        <v>0.56674826466587613</v>
      </c>
      <c r="K12">
        <v>0.56831159563809686</v>
      </c>
      <c r="L12">
        <v>1</v>
      </c>
      <c r="M12">
        <v>0.58969973947964627</v>
      </c>
      <c r="N12">
        <v>0.47073141675306479</v>
      </c>
      <c r="O12">
        <v>0.53469026514378348</v>
      </c>
      <c r="P12">
        <v>0.47702437702528427</v>
      </c>
      <c r="Q12">
        <v>0.15594796142300471</v>
      </c>
      <c r="R12">
        <v>0.37489263745531681</v>
      </c>
      <c r="S12">
        <v>0.27175357850937448</v>
      </c>
    </row>
    <row r="13" spans="1:19" x14ac:dyDescent="0.35">
      <c r="A13" s="1" t="s">
        <v>11</v>
      </c>
      <c r="B13">
        <v>-6.6810080334259059E-2</v>
      </c>
      <c r="C13">
        <v>0.2140121571332147</v>
      </c>
      <c r="D13">
        <v>0.23327166445183689</v>
      </c>
      <c r="E13">
        <v>0.38254954795550439</v>
      </c>
      <c r="F13">
        <v>0.27599567363618599</v>
      </c>
      <c r="G13">
        <v>0.3399315499061506</v>
      </c>
      <c r="H13">
        <v>0.33967370849558692</v>
      </c>
      <c r="I13">
        <v>0.26107388354982358</v>
      </c>
      <c r="J13">
        <v>0.44217895802093632</v>
      </c>
      <c r="K13">
        <v>0.4362494648342054</v>
      </c>
      <c r="L13">
        <v>0.58969973947964627</v>
      </c>
      <c r="M13">
        <v>1</v>
      </c>
      <c r="N13">
        <v>0.54413226341953158</v>
      </c>
      <c r="O13">
        <v>0.57004047920794609</v>
      </c>
      <c r="P13">
        <v>0.72554930815478802</v>
      </c>
      <c r="Q13">
        <v>0.34033617009860101</v>
      </c>
      <c r="R13">
        <v>0.54252193848434094</v>
      </c>
      <c r="S13">
        <v>0.40948272471713099</v>
      </c>
    </row>
    <row r="14" spans="1:19" x14ac:dyDescent="0.35">
      <c r="A14" s="1" t="s">
        <v>12</v>
      </c>
      <c r="B14">
        <v>-8.8222241976176938E-2</v>
      </c>
      <c r="C14">
        <v>0.17906014850608709</v>
      </c>
      <c r="D14">
        <v>0.1754813480867416</v>
      </c>
      <c r="E14">
        <v>0.29285178407117302</v>
      </c>
      <c r="F14">
        <v>0.1509542392358601</v>
      </c>
      <c r="G14">
        <v>0.24284353519429591</v>
      </c>
      <c r="H14">
        <v>0.36317485330371269</v>
      </c>
      <c r="I14">
        <v>0.28722245949461328</v>
      </c>
      <c r="J14">
        <v>0.36886244379586602</v>
      </c>
      <c r="K14">
        <v>0.41844770027874728</v>
      </c>
      <c r="L14">
        <v>0.47073141675306479</v>
      </c>
      <c r="M14">
        <v>0.54413226341953158</v>
      </c>
      <c r="N14">
        <v>1</v>
      </c>
      <c r="O14">
        <v>0.75070241993579134</v>
      </c>
      <c r="P14">
        <v>0.52684828778841708</v>
      </c>
      <c r="Q14">
        <v>0.15197549998511289</v>
      </c>
      <c r="R14">
        <v>0.3682435201175891</v>
      </c>
      <c r="S14">
        <v>0.15331654904335251</v>
      </c>
    </row>
    <row r="15" spans="1:19" x14ac:dyDescent="0.35">
      <c r="A15" s="1" t="s">
        <v>13</v>
      </c>
      <c r="B15">
        <v>-5.3886539084946922E-2</v>
      </c>
      <c r="C15">
        <v>0.21445624799972909</v>
      </c>
      <c r="D15">
        <v>0.21156709646211491</v>
      </c>
      <c r="E15">
        <v>0.34600242769569262</v>
      </c>
      <c r="F15">
        <v>0.21556103846173361</v>
      </c>
      <c r="G15">
        <v>0.27085347420108141</v>
      </c>
      <c r="H15">
        <v>0.35395623919134911</v>
      </c>
      <c r="I15">
        <v>0.31597349186202789</v>
      </c>
      <c r="J15">
        <v>0.4402979639735532</v>
      </c>
      <c r="K15">
        <v>0.43534455412244311</v>
      </c>
      <c r="L15">
        <v>0.53469026514378348</v>
      </c>
      <c r="M15">
        <v>0.57004047920794609</v>
      </c>
      <c r="N15">
        <v>0.75070241993579134</v>
      </c>
      <c r="O15">
        <v>1</v>
      </c>
      <c r="P15">
        <v>0.56189834183740883</v>
      </c>
      <c r="Q15">
        <v>0.26073863275693471</v>
      </c>
      <c r="R15">
        <v>0.44813222609388131</v>
      </c>
      <c r="S15">
        <v>0.24054695410958249</v>
      </c>
    </row>
    <row r="16" spans="1:19" x14ac:dyDescent="0.35">
      <c r="A16" s="1" t="s">
        <v>14</v>
      </c>
      <c r="B16">
        <v>-4.580094394164113E-2</v>
      </c>
      <c r="C16">
        <v>0.2374452483227486</v>
      </c>
      <c r="D16">
        <v>0.25785362227643333</v>
      </c>
      <c r="E16">
        <v>0.3415744412204007</v>
      </c>
      <c r="F16">
        <v>0.21886297125743831</v>
      </c>
      <c r="G16">
        <v>0.26917011627148069</v>
      </c>
      <c r="H16">
        <v>0.26578317243432542</v>
      </c>
      <c r="I16">
        <v>0.1994742674594672</v>
      </c>
      <c r="J16">
        <v>0.29958919874730849</v>
      </c>
      <c r="K16">
        <v>0.32791973127037533</v>
      </c>
      <c r="L16">
        <v>0.47702437702528427</v>
      </c>
      <c r="M16">
        <v>0.72554930815478802</v>
      </c>
      <c r="N16">
        <v>0.52684828778841708</v>
      </c>
      <c r="O16">
        <v>0.56189834183740883</v>
      </c>
      <c r="P16">
        <v>1</v>
      </c>
      <c r="Q16">
        <v>0.50799746195883833</v>
      </c>
      <c r="R16">
        <v>0.58030146843453279</v>
      </c>
      <c r="S16">
        <v>0.42089516362947732</v>
      </c>
    </row>
    <row r="17" spans="1:19" x14ac:dyDescent="0.35">
      <c r="A17" s="1" t="s">
        <v>15</v>
      </c>
      <c r="B17">
        <v>8.2260655804144697E-2</v>
      </c>
      <c r="C17">
        <v>0.1108271996548639</v>
      </c>
      <c r="D17">
        <v>0.13522904760291929</v>
      </c>
      <c r="E17">
        <v>0.22224372281107119</v>
      </c>
      <c r="F17">
        <v>0.20334275610847391</v>
      </c>
      <c r="G17">
        <v>0.1438768358379911</v>
      </c>
      <c r="H17">
        <v>-5.1804388217327427E-2</v>
      </c>
      <c r="I17">
        <v>-4.4809465900077193E-2</v>
      </c>
      <c r="J17">
        <v>-4.0733817176221267E-3</v>
      </c>
      <c r="K17">
        <v>-2.6528110004013922E-2</v>
      </c>
      <c r="L17">
        <v>0.15594796142300471</v>
      </c>
      <c r="M17">
        <v>0.34033617009860101</v>
      </c>
      <c r="N17">
        <v>0.15197549998511289</v>
      </c>
      <c r="O17">
        <v>0.26073863275693471</v>
      </c>
      <c r="P17">
        <v>0.50799746195883833</v>
      </c>
      <c r="Q17">
        <v>1</v>
      </c>
      <c r="R17">
        <v>0.29330449552571658</v>
      </c>
      <c r="S17">
        <v>0.16029873344302001</v>
      </c>
    </row>
    <row r="18" spans="1:19" x14ac:dyDescent="0.35">
      <c r="A18" s="1" t="s">
        <v>16</v>
      </c>
      <c r="B18">
        <v>-7.2656045860508015E-2</v>
      </c>
      <c r="C18">
        <v>0.17064200831622561</v>
      </c>
      <c r="D18">
        <v>0.19332074423461659</v>
      </c>
      <c r="E18">
        <v>0.32170235821099907</v>
      </c>
      <c r="F18">
        <v>0.17507017878532699</v>
      </c>
      <c r="G18">
        <v>0.2469939064003828</v>
      </c>
      <c r="H18">
        <v>0.31616625295722112</v>
      </c>
      <c r="I18">
        <v>0.28419926152721769</v>
      </c>
      <c r="J18">
        <v>0.31152919404066159</v>
      </c>
      <c r="K18">
        <v>0.33590497253005458</v>
      </c>
      <c r="L18">
        <v>0.37489263745531681</v>
      </c>
      <c r="M18">
        <v>0.54252193848434094</v>
      </c>
      <c r="N18">
        <v>0.3682435201175891</v>
      </c>
      <c r="O18">
        <v>0.44813222609388131</v>
      </c>
      <c r="P18">
        <v>0.58030146843453279</v>
      </c>
      <c r="Q18">
        <v>0.29330449552571658</v>
      </c>
      <c r="R18">
        <v>1</v>
      </c>
      <c r="S18">
        <v>0.78256855826323024</v>
      </c>
    </row>
    <row r="19" spans="1:19" x14ac:dyDescent="0.35">
      <c r="A19" s="1" t="s">
        <v>17</v>
      </c>
      <c r="B19">
        <v>-4.9743897370750252E-2</v>
      </c>
      <c r="C19">
        <v>8.6804963357492951E-2</v>
      </c>
      <c r="D19">
        <v>8.989600626404512E-2</v>
      </c>
      <c r="E19">
        <v>0.1756080596571592</v>
      </c>
      <c r="F19">
        <v>0.15383962289829051</v>
      </c>
      <c r="G19">
        <v>0.22124611992344509</v>
      </c>
      <c r="H19">
        <v>0.2666605383461112</v>
      </c>
      <c r="I19">
        <v>0.2467260902672033</v>
      </c>
      <c r="J19">
        <v>0.26469293349027567</v>
      </c>
      <c r="K19">
        <v>0.26519181525639107</v>
      </c>
      <c r="L19">
        <v>0.27175357850937448</v>
      </c>
      <c r="M19">
        <v>0.40948272471713099</v>
      </c>
      <c r="N19">
        <v>0.15331654904335251</v>
      </c>
      <c r="O19">
        <v>0.24054695410958249</v>
      </c>
      <c r="P19">
        <v>0.42089516362947732</v>
      </c>
      <c r="Q19">
        <v>0.16029873344302001</v>
      </c>
      <c r="R19">
        <v>0.78256855826323024</v>
      </c>
      <c r="S1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D577-6471-4494-B7DA-C301029FAF32}">
  <dimension ref="A1:F16"/>
  <sheetViews>
    <sheetView workbookViewId="0">
      <selection activeCell="J11" sqref="J11"/>
    </sheetView>
  </sheetViews>
  <sheetFormatPr defaultRowHeight="14.5" x14ac:dyDescent="0.35"/>
  <sheetData>
    <row r="1" spans="1:6" x14ac:dyDescent="0.35">
      <c r="B1" t="s">
        <v>23</v>
      </c>
    </row>
    <row r="2" spans="1:6" x14ac:dyDescent="0.35">
      <c r="A2" t="s">
        <v>24</v>
      </c>
      <c r="B2" t="s">
        <v>25</v>
      </c>
      <c r="F2" t="s">
        <v>26</v>
      </c>
    </row>
    <row r="3" spans="1:6" x14ac:dyDescent="0.35">
      <c r="F3" t="s">
        <v>27</v>
      </c>
    </row>
    <row r="4" spans="1:6" x14ac:dyDescent="0.35">
      <c r="B4" t="s">
        <v>32</v>
      </c>
      <c r="F4" t="s">
        <v>28</v>
      </c>
    </row>
    <row r="5" spans="1:6" x14ac:dyDescent="0.35">
      <c r="F5" t="s">
        <v>29</v>
      </c>
    </row>
    <row r="6" spans="1:6" x14ac:dyDescent="0.35">
      <c r="F6" t="s">
        <v>30</v>
      </c>
    </row>
    <row r="7" spans="1:6" x14ac:dyDescent="0.35">
      <c r="F7" t="s">
        <v>31</v>
      </c>
    </row>
    <row r="12" spans="1:6" x14ac:dyDescent="0.35">
      <c r="F12" s="2" t="s">
        <v>34</v>
      </c>
    </row>
    <row r="13" spans="1:6" x14ac:dyDescent="0.35">
      <c r="F13" t="s">
        <v>35</v>
      </c>
    </row>
    <row r="14" spans="1:6" x14ac:dyDescent="0.35">
      <c r="F14" t="s">
        <v>36</v>
      </c>
    </row>
    <row r="15" spans="1:6" x14ac:dyDescent="0.35">
      <c r="F15" t="s">
        <v>37</v>
      </c>
    </row>
    <row r="16" spans="1:6" x14ac:dyDescent="0.35"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SensitiveLayers</vt:lpstr>
      <vt:lpstr>Class_0</vt:lpstr>
      <vt:lpstr>Class_1</vt:lpstr>
      <vt:lpstr>Class_2</vt:lpstr>
      <vt:lpstr>SensitivityLogsAfter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2025-10-04T02:51:35Z</dcterms:created>
  <dcterms:modified xsi:type="dcterms:W3CDTF">2025-10-04T06:13:47Z</dcterms:modified>
</cp:coreProperties>
</file>