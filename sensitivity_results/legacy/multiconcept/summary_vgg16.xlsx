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rikant1\Downloads\results\sensitivity_summmary\Updatedsummary\mnetsmall\"/>
    </mc:Choice>
  </mc:AlternateContent>
  <xr:revisionPtr revIDLastSave="0" documentId="13_ncr:1_{CDEF4303-BEB5-45FE-BF70-AB6AC00C396D}" xr6:coauthVersionLast="47" xr6:coauthVersionMax="47" xr10:uidLastSave="{00000000-0000-0000-0000-000000000000}"/>
  <bookViews>
    <workbookView xWindow="28680" yWindow="-120" windowWidth="29040" windowHeight="15720" firstSheet="10" activeTab="16" xr2:uid="{00000000-000D-0000-FFFF-FFFF00000000}"/>
  </bookViews>
  <sheets>
    <sheet name="vgg16_Class_0_all" sheetId="1" r:id="rId1"/>
    <sheet name="vgg16_Class_1_all" sheetId="2" r:id="rId2"/>
    <sheet name="vgg16_Class_2_all" sheetId="3" r:id="rId3"/>
    <sheet name="vgg16_Class_0_bg" sheetId="4" r:id="rId4"/>
    <sheet name="vgg16_Class_1_bg" sheetId="5" r:id="rId5"/>
    <sheet name="vgg16_Class_2_bg" sheetId="6" r:id="rId6"/>
    <sheet name="vgg16_Class_0_coat" sheetId="7" r:id="rId7"/>
    <sheet name="vgg16_Class_1_coat" sheetId="8" r:id="rId8"/>
    <sheet name="vgg16_Class_2_coat" sheetId="9" r:id="rId9"/>
    <sheet name="vgg16_Class_0_face" sheetId="10" r:id="rId10"/>
    <sheet name="vgg16_Class_1_face" sheetId="11" r:id="rId11"/>
    <sheet name="vgg16_Class_2_face" sheetId="12" r:id="rId12"/>
    <sheet name="vgg16_Class_0_legs" sheetId="13" r:id="rId13"/>
    <sheet name="vgg16_Class_1_legs" sheetId="14" r:id="rId14"/>
    <sheet name="vgg16_Class_2_legs" sheetId="15" r:id="rId15"/>
    <sheet name="Summary" sheetId="16" r:id="rId16"/>
    <sheet name="PValue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" i="16" l="1"/>
  <c r="Q7" i="16"/>
  <c r="Q4" i="16"/>
  <c r="Q3" i="16"/>
  <c r="Q2" i="16"/>
  <c r="Q14" i="16"/>
  <c r="Q13" i="16"/>
  <c r="Q12" i="16"/>
  <c r="Q10" i="16"/>
  <c r="Q9" i="16"/>
  <c r="Q8" i="16"/>
  <c r="Q6" i="16"/>
  <c r="Q5" i="16"/>
  <c r="D28" i="16"/>
  <c r="M27" i="16"/>
  <c r="I27" i="16"/>
  <c r="P26" i="16"/>
  <c r="O26" i="16"/>
  <c r="N26" i="16"/>
  <c r="M26" i="16"/>
  <c r="L26" i="16"/>
  <c r="K26" i="16"/>
  <c r="J26" i="16"/>
  <c r="I26" i="16"/>
  <c r="H26" i="16"/>
  <c r="G26" i="16"/>
  <c r="F26" i="16"/>
  <c r="E26" i="16"/>
  <c r="D26" i="16"/>
  <c r="C26" i="16"/>
  <c r="L25" i="16"/>
  <c r="H25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P23" i="16"/>
  <c r="O23" i="16"/>
  <c r="N23" i="16"/>
  <c r="M23" i="16"/>
  <c r="L23" i="16"/>
  <c r="L27" i="16" s="1"/>
  <c r="K23" i="16"/>
  <c r="J23" i="16"/>
  <c r="I23" i="16"/>
  <c r="H23" i="16"/>
  <c r="G23" i="16"/>
  <c r="F23" i="16"/>
  <c r="E23" i="16"/>
  <c r="E25" i="16" s="1"/>
  <c r="D23" i="16"/>
  <c r="C23" i="16"/>
  <c r="P22" i="16"/>
  <c r="P28" i="16" s="1"/>
  <c r="O22" i="16"/>
  <c r="O28" i="16" s="1"/>
  <c r="N22" i="16"/>
  <c r="N28" i="16" s="1"/>
  <c r="M22" i="16"/>
  <c r="M28" i="16" s="1"/>
  <c r="L22" i="16"/>
  <c r="L28" i="16" s="1"/>
  <c r="K22" i="16"/>
  <c r="K28" i="16" s="1"/>
  <c r="J22" i="16"/>
  <c r="J28" i="16" s="1"/>
  <c r="I22" i="16"/>
  <c r="I28" i="16" s="1"/>
  <c r="H22" i="16"/>
  <c r="H28" i="16" s="1"/>
  <c r="G22" i="16"/>
  <c r="G28" i="16" s="1"/>
  <c r="F22" i="16"/>
  <c r="F28" i="16" s="1"/>
  <c r="E22" i="16"/>
  <c r="E27" i="16" s="1"/>
  <c r="D22" i="16"/>
  <c r="D27" i="16" s="1"/>
  <c r="C22" i="16"/>
  <c r="C28" i="16" s="1"/>
  <c r="B28" i="16"/>
  <c r="B27" i="16"/>
  <c r="B26" i="16"/>
  <c r="B25" i="16"/>
  <c r="B24" i="16"/>
  <c r="B23" i="16"/>
  <c r="B22" i="16"/>
  <c r="C25" i="16" l="1"/>
  <c r="F25" i="16"/>
  <c r="F27" i="16"/>
  <c r="G25" i="16"/>
  <c r="G27" i="16"/>
  <c r="C27" i="16"/>
  <c r="D25" i="16"/>
  <c r="E28" i="16"/>
  <c r="H27" i="16"/>
  <c r="J27" i="16"/>
  <c r="I25" i="16"/>
  <c r="J25" i="16"/>
  <c r="K25" i="16"/>
  <c r="K27" i="16"/>
  <c r="M25" i="16"/>
  <c r="N25" i="16"/>
  <c r="N27" i="16"/>
  <c r="O25" i="16"/>
  <c r="O27" i="16"/>
  <c r="P25" i="16"/>
  <c r="P27" i="16"/>
</calcChain>
</file>

<file path=xl/sharedStrings.xml><?xml version="1.0" encoding="utf-8"?>
<sst xmlns="http://schemas.openxmlformats.org/spreadsheetml/2006/main" count="1134" uniqueCount="115">
  <si>
    <t>Layer</t>
  </si>
  <si>
    <t>Positive Sensitivity</t>
  </si>
  <si>
    <t>Negative Sensitivity</t>
  </si>
  <si>
    <t>Proportion of Positive Sensitivity</t>
  </si>
  <si>
    <t>Binomial P-value (Positive)</t>
  </si>
  <si>
    <t>Binomial P-value (Negative)</t>
  </si>
  <si>
    <t>Binomial P-value (Two-sided)</t>
  </si>
  <si>
    <t>Z-test P-value (Positive)</t>
  </si>
  <si>
    <t>Z-test P-value (Negative)</t>
  </si>
  <si>
    <t>Z-test P-value (Two-sided)</t>
  </si>
  <si>
    <t>Hypothesis Test Result</t>
  </si>
  <si>
    <t>features.0</t>
  </si>
  <si>
    <t>features.2</t>
  </si>
  <si>
    <t>features.4</t>
  </si>
  <si>
    <t>features.5</t>
  </si>
  <si>
    <t>features.7</t>
  </si>
  <si>
    <t>features.9</t>
  </si>
  <si>
    <t>features.10</t>
  </si>
  <si>
    <t>features.12</t>
  </si>
  <si>
    <t>features.14</t>
  </si>
  <si>
    <t>features.16</t>
  </si>
  <si>
    <t>features.17</t>
  </si>
  <si>
    <t>features.19</t>
  </si>
  <si>
    <t>features.21</t>
  </si>
  <si>
    <t>features.23</t>
  </si>
  <si>
    <t>features.24</t>
  </si>
  <si>
    <t>features.26</t>
  </si>
  <si>
    <t>features.28</t>
  </si>
  <si>
    <t>features.30</t>
  </si>
  <si>
    <t>Approximation sensitive</t>
  </si>
  <si>
    <t>Class_0_all_Hypothesis Test Result</t>
  </si>
  <si>
    <t>Class_1_all_Hypothesis Test Result</t>
  </si>
  <si>
    <t>Class_2_all_Hypothesis Test Result</t>
  </si>
  <si>
    <t>Class_0_bg_Hypothesis Test Result</t>
  </si>
  <si>
    <t>Class_1_bg_Hypothesis Test Result</t>
  </si>
  <si>
    <t>Class_2_bg_Hypothesis Test Result</t>
  </si>
  <si>
    <t>Class_0_coat_Hypothesis Test Result</t>
  </si>
  <si>
    <t>Class_1_coat_Hypothesis Test Result</t>
  </si>
  <si>
    <t>Class_2_coat_Hypothesis Test Result</t>
  </si>
  <si>
    <t>Class_0_face_Hypothesis Test Result</t>
  </si>
  <si>
    <t>Class_1_face_Hypothesis Test Result</t>
  </si>
  <si>
    <t>Class_2_face_Hypothesis Test Result</t>
  </si>
  <si>
    <t>Class_0_legs_Hypothesis Test Result</t>
  </si>
  <si>
    <t>Class_1_legs_Hypothesis Test Result</t>
  </si>
  <si>
    <t>Class_2_legs_Hypothesis Test Result</t>
  </si>
  <si>
    <t>Class_0_all_Binomial P-value (Positive)</t>
  </si>
  <si>
    <t>Class_0_all_Binomial P-value (Negative)</t>
  </si>
  <si>
    <t>Class_0_all_Z-test P-value (Positive)</t>
  </si>
  <si>
    <t>Class_0_all_Z-test P-value (Negative)</t>
  </si>
  <si>
    <t>Class_1_all_Binomial P-value (Positive)</t>
  </si>
  <si>
    <t>Class_1_all_Binomial P-value (Negative)</t>
  </si>
  <si>
    <t>Class_1_all_Z-test P-value (Positive)</t>
  </si>
  <si>
    <t>Class_1_all_Z-test P-value (Negative)</t>
  </si>
  <si>
    <t>Class_2_all_Binomial P-value (Positive)</t>
  </si>
  <si>
    <t>Class_2_all_Binomial P-value (Negative)</t>
  </si>
  <si>
    <t>Class_2_all_Z-test P-value (Positive)</t>
  </si>
  <si>
    <t>Class_2_all_Z-test P-value (Negative)</t>
  </si>
  <si>
    <t>Class_0_bg_Binomial P-value (Positive)</t>
  </si>
  <si>
    <t>Class_0_bg_Binomial P-value (Negative)</t>
  </si>
  <si>
    <t>Class_0_bg_Z-test P-value (Positive)</t>
  </si>
  <si>
    <t>Class_0_bg_Z-test P-value (Negative)</t>
  </si>
  <si>
    <t>Class_1_bg_Binomial P-value (Positive)</t>
  </si>
  <si>
    <t>Class_1_bg_Binomial P-value (Negative)</t>
  </si>
  <si>
    <t>Class_1_bg_Z-test P-value (Positive)</t>
  </si>
  <si>
    <t>Class_1_bg_Z-test P-value (Negative)</t>
  </si>
  <si>
    <t>Class_2_bg_Binomial P-value (Positive)</t>
  </si>
  <si>
    <t>Class_2_bg_Binomial P-value (Negative)</t>
  </si>
  <si>
    <t>Class_2_bg_Z-test P-value (Positive)</t>
  </si>
  <si>
    <t>Class_2_bg_Z-test P-value (Negative)</t>
  </si>
  <si>
    <t>Class_0_coat_Binomial P-value (Positive)</t>
  </si>
  <si>
    <t>Class_0_coat_Binomial P-value (Negative)</t>
  </si>
  <si>
    <t>Class_0_coat_Z-test P-value (Positive)</t>
  </si>
  <si>
    <t>Class_0_coat_Z-test P-value (Negative)</t>
  </si>
  <si>
    <t>Class_1_coat_Binomial P-value (Positive)</t>
  </si>
  <si>
    <t>Class_1_coat_Binomial P-value (Negative)</t>
  </si>
  <si>
    <t>Class_1_coat_Z-test P-value (Positive)</t>
  </si>
  <si>
    <t>Class_1_coat_Z-test P-value (Negative)</t>
  </si>
  <si>
    <t>Class_2_coat_Binomial P-value (Positive)</t>
  </si>
  <si>
    <t>Class_2_coat_Binomial P-value (Negative)</t>
  </si>
  <si>
    <t>Class_2_coat_Z-test P-value (Positive)</t>
  </si>
  <si>
    <t>Class_2_coat_Z-test P-value (Negative)</t>
  </si>
  <si>
    <t>Class_0_face_Binomial P-value (Positive)</t>
  </si>
  <si>
    <t>Class_0_face_Binomial P-value (Negative)</t>
  </si>
  <si>
    <t>Class_0_face_Z-test P-value (Positive)</t>
  </si>
  <si>
    <t>Class_0_face_Z-test P-value (Negative)</t>
  </si>
  <si>
    <t>Class_1_face_Binomial P-value (Positive)</t>
  </si>
  <si>
    <t>Class_1_face_Binomial P-value (Negative)</t>
  </si>
  <si>
    <t>Class_1_face_Z-test P-value (Positive)</t>
  </si>
  <si>
    <t>Class_1_face_Z-test P-value (Negative)</t>
  </si>
  <si>
    <t>Class_2_face_Binomial P-value (Positive)</t>
  </si>
  <si>
    <t>Class_2_face_Binomial P-value (Negative)</t>
  </si>
  <si>
    <t>Class_2_face_Z-test P-value (Positive)</t>
  </si>
  <si>
    <t>Class_2_face_Z-test P-value (Negative)</t>
  </si>
  <si>
    <t>Class_0_legs_Binomial P-value (Positive)</t>
  </si>
  <si>
    <t>Class_0_legs_Binomial P-value (Negative)</t>
  </si>
  <si>
    <t>Class_0_legs_Z-test P-value (Positive)</t>
  </si>
  <si>
    <t>Class_0_legs_Z-test P-value (Negative)</t>
  </si>
  <si>
    <t>Class_1_legs_Binomial P-value (Positive)</t>
  </si>
  <si>
    <t>Class_1_legs_Binomial P-value (Negative)</t>
  </si>
  <si>
    <t>Class_1_legs_Z-test P-value (Positive)</t>
  </si>
  <si>
    <t>Class_1_legs_Z-test P-value (Negative)</t>
  </si>
  <si>
    <t>Class_2_legs_Binomial P-value (Positive)</t>
  </si>
  <si>
    <t>Class_2_legs_Binomial P-value (Negative)</t>
  </si>
  <si>
    <t>Class_2_legs_Z-test P-value (Positive)</t>
  </si>
  <si>
    <t>Class_2_legs_Z-test P-value (Negative)</t>
  </si>
  <si>
    <t>Sum</t>
  </si>
  <si>
    <t>Row count</t>
  </si>
  <si>
    <t>Purity Index</t>
  </si>
  <si>
    <t>CSI</t>
  </si>
  <si>
    <t>Block1</t>
  </si>
  <si>
    <t>Block2</t>
  </si>
  <si>
    <t>Block3</t>
  </si>
  <si>
    <t>Block4</t>
  </si>
  <si>
    <t>Block5</t>
  </si>
  <si>
    <t xml:space="preserve"> (Conv2d)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</si>
</sst>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0" fontId="0" fillId="4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C27" sqref="C27"/>
    </sheetView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538</v>
      </c>
      <c r="C2" s="2">
        <v>166</v>
      </c>
      <c r="D2" s="2">
        <v>0.76420454545454541</v>
      </c>
      <c r="E2" s="2">
        <v>5.9628957811031605E-47</v>
      </c>
      <c r="F2" s="2">
        <v>1</v>
      </c>
      <c r="G2" s="2">
        <v>1.1925791562206321E-46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586</v>
      </c>
      <c r="C3" s="2">
        <v>118</v>
      </c>
      <c r="D3" s="2">
        <v>0.83238636363636365</v>
      </c>
      <c r="E3" s="2">
        <v>9.9456408634682228E-76</v>
      </c>
      <c r="F3" s="2">
        <v>1</v>
      </c>
      <c r="G3" s="2">
        <v>1.9891281726936451E-75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587</v>
      </c>
      <c r="C4" s="2">
        <v>117</v>
      </c>
      <c r="D4" s="2">
        <v>0.83380681818181823</v>
      </c>
      <c r="E4" s="2">
        <v>1.9942195158585969E-76</v>
      </c>
      <c r="F4" s="2">
        <v>1</v>
      </c>
      <c r="G4" s="2">
        <v>3.9884390317171932E-76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629</v>
      </c>
      <c r="C5" s="2">
        <v>75</v>
      </c>
      <c r="D5" s="2">
        <v>0.89346590909090906</v>
      </c>
      <c r="E5" s="2">
        <v>3.3687294616113379E-110</v>
      </c>
      <c r="F5" s="2">
        <v>1</v>
      </c>
      <c r="G5" s="2">
        <v>6.737458923222677E-110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681</v>
      </c>
      <c r="C6" s="2">
        <v>23</v>
      </c>
      <c r="D6" s="2">
        <v>0.96732954545454541</v>
      </c>
      <c r="E6" s="2">
        <v>1.0319786181859531E-169</v>
      </c>
      <c r="F6" s="2">
        <v>1</v>
      </c>
      <c r="G6" s="2">
        <v>2.0639572363719061E-169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683</v>
      </c>
      <c r="C7" s="2">
        <v>21</v>
      </c>
      <c r="D7" s="2">
        <v>0.97017045454545459</v>
      </c>
      <c r="E7" s="2">
        <v>1.117537562774113E-172</v>
      </c>
      <c r="F7" s="2">
        <v>1</v>
      </c>
      <c r="G7" s="2">
        <v>2.2350751255482261E-172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669</v>
      </c>
      <c r="C8" s="2">
        <v>35</v>
      </c>
      <c r="D8" s="2">
        <v>0.95028409090909094</v>
      </c>
      <c r="E8" s="2">
        <v>2.375499723161504E-153</v>
      </c>
      <c r="F8" s="2">
        <v>1</v>
      </c>
      <c r="G8" s="2">
        <v>4.750999446323007E-153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614</v>
      </c>
      <c r="C9" s="2">
        <v>90</v>
      </c>
      <c r="D9" s="2">
        <v>0.87215909090909094</v>
      </c>
      <c r="E9" s="2">
        <v>4.6823633021019584E-97</v>
      </c>
      <c r="F9" s="2">
        <v>1</v>
      </c>
      <c r="G9" s="2">
        <v>9.3647266042039168E-97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564</v>
      </c>
      <c r="C10" s="2">
        <v>140</v>
      </c>
      <c r="D10" s="2">
        <v>0.80113636363636365</v>
      </c>
      <c r="E10" s="2">
        <v>1.9304614207791681E-61</v>
      </c>
      <c r="F10" s="2">
        <v>1</v>
      </c>
      <c r="G10" s="2">
        <v>3.8609228415583348E-61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481</v>
      </c>
      <c r="C11" s="2">
        <v>223</v>
      </c>
      <c r="D11" s="2">
        <v>0.68323863636363635</v>
      </c>
      <c r="E11" s="2">
        <v>5.7444478971644066E-23</v>
      </c>
      <c r="F11" s="2">
        <v>1</v>
      </c>
      <c r="G11" s="2">
        <v>1.1488895794328811E-22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21</v>
      </c>
      <c r="B12" s="2">
        <v>616</v>
      </c>
      <c r="C12" s="2">
        <v>88</v>
      </c>
      <c r="D12" s="2">
        <v>0.875</v>
      </c>
      <c r="E12" s="2">
        <v>9.8573896760042079E-99</v>
      </c>
      <c r="F12" s="2">
        <v>1</v>
      </c>
      <c r="G12" s="2">
        <v>1.9714779352008419E-98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651</v>
      </c>
      <c r="C13" s="2">
        <v>53</v>
      </c>
      <c r="D13" s="2">
        <v>0.92471590909090906</v>
      </c>
      <c r="E13" s="2">
        <v>3.3886224594721331E-132</v>
      </c>
      <c r="F13" s="2">
        <v>1</v>
      </c>
      <c r="G13" s="2">
        <v>6.777244918944265E-132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601</v>
      </c>
      <c r="C14" s="2">
        <v>103</v>
      </c>
      <c r="D14" s="2">
        <v>0.85369318181818177</v>
      </c>
      <c r="E14" s="2">
        <v>1.122046647098312E-86</v>
      </c>
      <c r="F14" s="2">
        <v>1</v>
      </c>
      <c r="G14" s="2">
        <v>2.2440932941966239E-86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662</v>
      </c>
      <c r="C15" s="2">
        <v>42</v>
      </c>
      <c r="D15" s="2">
        <v>0.94034090909090906</v>
      </c>
      <c r="E15" s="2">
        <v>1.027366975828463E-144</v>
      </c>
      <c r="F15" s="2">
        <v>1</v>
      </c>
      <c r="G15" s="2">
        <v>2.0547339516569251E-144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667</v>
      </c>
      <c r="C16" s="2">
        <v>37</v>
      </c>
      <c r="D16" s="2">
        <v>0.94744318181818177</v>
      </c>
      <c r="E16" s="2">
        <v>7.9964358221981858E-151</v>
      </c>
      <c r="F16" s="2">
        <v>1</v>
      </c>
      <c r="G16" s="2">
        <v>1.5992871644396369E-150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699</v>
      </c>
      <c r="C17" s="2">
        <v>5</v>
      </c>
      <c r="D17" s="2">
        <v>0.99289772727272729</v>
      </c>
      <c r="E17" s="2">
        <v>1.7001674144718879E-200</v>
      </c>
      <c r="F17" s="2">
        <v>1</v>
      </c>
      <c r="G17" s="2">
        <v>3.4003348289437747E-200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701</v>
      </c>
      <c r="C18" s="2">
        <v>3</v>
      </c>
      <c r="D18" s="2">
        <v>0.99573863636363635</v>
      </c>
      <c r="E18" s="2">
        <v>6.9096200754625612E-205</v>
      </c>
      <c r="F18" s="2">
        <v>1</v>
      </c>
      <c r="G18" s="2">
        <v>1.3819240150925121E-204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474</v>
      </c>
      <c r="C2" s="2">
        <v>230</v>
      </c>
      <c r="D2" s="2">
        <v>0.67329545454545459</v>
      </c>
      <c r="E2" s="2">
        <v>1.097977112383042E-20</v>
      </c>
      <c r="F2" s="2">
        <v>1</v>
      </c>
      <c r="G2" s="2">
        <v>2.195954224766083E-20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626</v>
      </c>
      <c r="C3" s="2">
        <v>78</v>
      </c>
      <c r="D3" s="2">
        <v>0.88920454545454541</v>
      </c>
      <c r="E3" s="2">
        <v>1.839012604623091E-107</v>
      </c>
      <c r="F3" s="2">
        <v>1</v>
      </c>
      <c r="G3" s="2">
        <v>3.6780252092461831E-107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664</v>
      </c>
      <c r="C4" s="2">
        <v>40</v>
      </c>
      <c r="D4" s="2">
        <v>0.94318181818181823</v>
      </c>
      <c r="E4" s="2">
        <v>4.0049764702122049E-147</v>
      </c>
      <c r="F4" s="2">
        <v>1</v>
      </c>
      <c r="G4" s="2">
        <v>8.0099529404244098E-147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648</v>
      </c>
      <c r="C5" s="2">
        <v>56</v>
      </c>
      <c r="D5" s="2">
        <v>0.92045454545454541</v>
      </c>
      <c r="E5" s="2">
        <v>5.6257607611593558E-129</v>
      </c>
      <c r="F5" s="2">
        <v>1</v>
      </c>
      <c r="G5" s="2">
        <v>1.125152152231871E-128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613</v>
      </c>
      <c r="C6" s="2">
        <v>91</v>
      </c>
      <c r="D6" s="2">
        <v>0.87073863636363635</v>
      </c>
      <c r="E6" s="2">
        <v>3.1662095471866539E-96</v>
      </c>
      <c r="F6" s="2">
        <v>1</v>
      </c>
      <c r="G6" s="2">
        <v>6.3324190943733078E-96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584</v>
      </c>
      <c r="C7" s="2">
        <v>120</v>
      </c>
      <c r="D7" s="2">
        <v>0.82954545454545459</v>
      </c>
      <c r="E7" s="2">
        <v>2.3998560594315532E-74</v>
      </c>
      <c r="F7" s="2">
        <v>1</v>
      </c>
      <c r="G7" s="2">
        <v>4.7997121188631064E-74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520</v>
      </c>
      <c r="C8" s="2">
        <v>184</v>
      </c>
      <c r="D8" s="2">
        <v>0.73863636363636365</v>
      </c>
      <c r="E8" s="2">
        <v>2.755242345259783E-38</v>
      </c>
      <c r="F8" s="2">
        <v>1</v>
      </c>
      <c r="G8" s="2">
        <v>5.510484690519566E-38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518</v>
      </c>
      <c r="C9" s="2">
        <v>186</v>
      </c>
      <c r="D9" s="2">
        <v>0.73579545454545459</v>
      </c>
      <c r="E9" s="2">
        <v>2.178335365085946E-37</v>
      </c>
      <c r="F9" s="2">
        <v>1</v>
      </c>
      <c r="G9" s="2">
        <v>4.356670730171892E-37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565</v>
      </c>
      <c r="C10" s="2">
        <v>139</v>
      </c>
      <c r="D10" s="2">
        <v>0.80255681818181823</v>
      </c>
      <c r="E10" s="2">
        <v>4.7695483598372971E-62</v>
      </c>
      <c r="F10" s="2">
        <v>1</v>
      </c>
      <c r="G10" s="2">
        <v>9.5390967196745942E-62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541</v>
      </c>
      <c r="C11" s="2">
        <v>163</v>
      </c>
      <c r="D11" s="2">
        <v>0.76846590909090906</v>
      </c>
      <c r="E11" s="2">
        <v>1.6835630691730059E-48</v>
      </c>
      <c r="F11" s="2">
        <v>1</v>
      </c>
      <c r="G11" s="2">
        <v>3.3671261383460117E-48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21</v>
      </c>
      <c r="B12" s="2">
        <v>673</v>
      </c>
      <c r="C12" s="2">
        <v>31</v>
      </c>
      <c r="D12" s="2">
        <v>0.95596590909090906</v>
      </c>
      <c r="E12" s="2">
        <v>1.4586047453265601E-158</v>
      </c>
      <c r="F12" s="2">
        <v>1</v>
      </c>
      <c r="G12" s="2">
        <v>2.9172094906531202E-158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678</v>
      </c>
      <c r="C13" s="2">
        <v>26</v>
      </c>
      <c r="D13" s="2">
        <v>0.96306818181818177</v>
      </c>
      <c r="E13" s="2">
        <v>2.089901580498296E-165</v>
      </c>
      <c r="F13" s="2">
        <v>1</v>
      </c>
      <c r="G13" s="2">
        <v>4.179803160996591E-165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611</v>
      </c>
      <c r="C14" s="2">
        <v>93</v>
      </c>
      <c r="D14" s="2">
        <v>0.86789772727272729</v>
      </c>
      <c r="E14" s="2">
        <v>1.3944129081349429E-94</v>
      </c>
      <c r="F14" s="2">
        <v>1</v>
      </c>
      <c r="G14" s="2">
        <v>2.7888258162698858E-94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632</v>
      </c>
      <c r="C15" s="2">
        <v>72</v>
      </c>
      <c r="D15" s="2">
        <v>0.89772727272727271</v>
      </c>
      <c r="E15" s="2">
        <v>5.4000264204073981E-113</v>
      </c>
      <c r="F15" s="2">
        <v>1</v>
      </c>
      <c r="G15" s="2">
        <v>1.0800052840814801E-112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704</v>
      </c>
      <c r="C16" s="2">
        <v>0</v>
      </c>
      <c r="D16" s="2">
        <v>1</v>
      </c>
      <c r="E16" s="2">
        <v>1.1881822289344749E-212</v>
      </c>
      <c r="F16" s="2">
        <v>1</v>
      </c>
      <c r="G16" s="2">
        <v>2.3763644578689498E-212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704</v>
      </c>
      <c r="C17" s="2">
        <v>0</v>
      </c>
      <c r="D17" s="2">
        <v>1</v>
      </c>
      <c r="E17" s="2">
        <v>1.1881822289344749E-212</v>
      </c>
      <c r="F17" s="2">
        <v>1</v>
      </c>
      <c r="G17" s="2">
        <v>2.3763644578689498E-212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704</v>
      </c>
      <c r="C18" s="2">
        <v>0</v>
      </c>
      <c r="D18" s="2">
        <v>1</v>
      </c>
      <c r="E18" s="2">
        <v>1.1881822289344749E-212</v>
      </c>
      <c r="F18" s="2">
        <v>1</v>
      </c>
      <c r="G18" s="2">
        <v>2.3763644578689498E-212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440</v>
      </c>
      <c r="C2" s="2">
        <v>264</v>
      </c>
      <c r="D2" s="2">
        <v>0.625</v>
      </c>
      <c r="E2" s="2">
        <v>1.6840591736383231E-11</v>
      </c>
      <c r="F2" s="2">
        <v>0.99999999999000511</v>
      </c>
      <c r="G2" s="2">
        <v>3.3681183472766463E-11</v>
      </c>
      <c r="H2" s="2">
        <v>1.6418755244274049E-11</v>
      </c>
      <c r="I2" s="2">
        <v>0.99999999998358124</v>
      </c>
      <c r="J2" s="2">
        <v>3.2837510488548112E-11</v>
      </c>
      <c r="K2" s="2" t="s">
        <v>1</v>
      </c>
    </row>
    <row r="3" spans="1:11" x14ac:dyDescent="0.35">
      <c r="A3" s="2" t="s">
        <v>12</v>
      </c>
      <c r="B3" s="2">
        <v>136</v>
      </c>
      <c r="C3" s="2">
        <v>568</v>
      </c>
      <c r="D3" s="2">
        <v>0.1931818181818182</v>
      </c>
      <c r="E3" s="2">
        <v>1</v>
      </c>
      <c r="F3" s="2">
        <v>6.8171275703417015E-64</v>
      </c>
      <c r="G3" s="2">
        <v>1.36342551406834E-63</v>
      </c>
      <c r="H3" s="2">
        <v>1</v>
      </c>
      <c r="I3" s="2">
        <v>6.6654584147196171E-60</v>
      </c>
      <c r="J3" s="2">
        <v>0</v>
      </c>
      <c r="K3" s="2" t="s">
        <v>2</v>
      </c>
    </row>
    <row r="4" spans="1:11" x14ac:dyDescent="0.35">
      <c r="A4" s="2" t="s">
        <v>13</v>
      </c>
      <c r="B4" s="2">
        <v>169</v>
      </c>
      <c r="C4" s="2">
        <v>535</v>
      </c>
      <c r="D4" s="2">
        <v>0.2400568181818182</v>
      </c>
      <c r="E4" s="2">
        <v>1</v>
      </c>
      <c r="F4" s="2">
        <v>1.968098275663992E-45</v>
      </c>
      <c r="G4" s="2">
        <v>3.9361965513279829E-45</v>
      </c>
      <c r="H4" s="2">
        <v>1</v>
      </c>
      <c r="I4" s="2">
        <v>1.382071735899184E-43</v>
      </c>
      <c r="J4" s="2">
        <v>0</v>
      </c>
      <c r="K4" s="2" t="s">
        <v>2</v>
      </c>
    </row>
    <row r="5" spans="1:11" x14ac:dyDescent="0.35">
      <c r="A5" s="2" t="s">
        <v>14</v>
      </c>
      <c r="B5" s="2">
        <v>144</v>
      </c>
      <c r="C5" s="2">
        <v>560</v>
      </c>
      <c r="D5" s="2">
        <v>0.20454545454545461</v>
      </c>
      <c r="E5" s="2">
        <v>1</v>
      </c>
      <c r="F5" s="2">
        <v>4.7432684194368774E-59</v>
      </c>
      <c r="G5" s="2">
        <v>9.4865368388737547E-59</v>
      </c>
      <c r="H5" s="2">
        <v>1</v>
      </c>
      <c r="I5" s="2">
        <v>1.0595317956978339E-55</v>
      </c>
      <c r="J5" s="2">
        <v>0</v>
      </c>
      <c r="K5" s="2" t="s">
        <v>2</v>
      </c>
    </row>
    <row r="6" spans="1:11" x14ac:dyDescent="0.35">
      <c r="A6" s="2" t="s">
        <v>15</v>
      </c>
      <c r="B6" s="2">
        <v>211</v>
      </c>
      <c r="C6" s="2">
        <v>493</v>
      </c>
      <c r="D6" s="2">
        <v>0.29971590909090912</v>
      </c>
      <c r="E6" s="2">
        <v>1</v>
      </c>
      <c r="F6" s="2">
        <v>3.3511207137447161E-27</v>
      </c>
      <c r="G6" s="2">
        <v>6.7022414274894322E-27</v>
      </c>
      <c r="H6" s="2">
        <v>1</v>
      </c>
      <c r="I6" s="2">
        <v>1.1007343539196E-26</v>
      </c>
      <c r="J6" s="2">
        <v>0</v>
      </c>
      <c r="K6" s="2" t="s">
        <v>2</v>
      </c>
    </row>
    <row r="7" spans="1:11" x14ac:dyDescent="0.35">
      <c r="A7" s="2" t="s">
        <v>16</v>
      </c>
      <c r="B7" s="2">
        <v>105</v>
      </c>
      <c r="C7" s="2">
        <v>599</v>
      </c>
      <c r="D7" s="2">
        <v>0.14914772727272729</v>
      </c>
      <c r="E7" s="2">
        <v>1</v>
      </c>
      <c r="F7" s="2">
        <v>3.7226817068810093E-85</v>
      </c>
      <c r="G7" s="2">
        <v>7.4453634137620186E-85</v>
      </c>
      <c r="H7" s="2">
        <v>1</v>
      </c>
      <c r="I7" s="2">
        <v>1.141199903740764E-77</v>
      </c>
      <c r="J7" s="2">
        <v>0</v>
      </c>
      <c r="K7" s="2" t="s">
        <v>2</v>
      </c>
    </row>
    <row r="8" spans="1:11" x14ac:dyDescent="0.35">
      <c r="A8" s="2" t="s">
        <v>17</v>
      </c>
      <c r="B8" s="2">
        <v>52</v>
      </c>
      <c r="C8" s="2">
        <v>652</v>
      </c>
      <c r="D8" s="2">
        <v>7.3863636363636367E-2</v>
      </c>
      <c r="E8" s="2">
        <v>1</v>
      </c>
      <c r="F8" s="2">
        <v>2.7496109338662921E-133</v>
      </c>
      <c r="G8" s="2">
        <v>5.4992218677325849E-133</v>
      </c>
      <c r="H8" s="2">
        <v>1</v>
      </c>
      <c r="I8" s="2">
        <v>1.601390365178456E-113</v>
      </c>
      <c r="J8" s="2">
        <v>0</v>
      </c>
      <c r="K8" s="2" t="s">
        <v>2</v>
      </c>
    </row>
    <row r="9" spans="1:11" x14ac:dyDescent="0.35">
      <c r="A9" s="2" t="s">
        <v>18</v>
      </c>
      <c r="B9" s="2">
        <v>117</v>
      </c>
      <c r="C9" s="2">
        <v>587</v>
      </c>
      <c r="D9" s="2">
        <v>0.1661931818181818</v>
      </c>
      <c r="E9" s="2">
        <v>1</v>
      </c>
      <c r="F9" s="2">
        <v>1.9942195158585969E-76</v>
      </c>
      <c r="G9" s="2">
        <v>3.9884390317171932E-76</v>
      </c>
      <c r="H9" s="2">
        <v>1</v>
      </c>
      <c r="I9" s="2">
        <v>1.641003513735691E-70</v>
      </c>
      <c r="J9" s="2">
        <v>0</v>
      </c>
      <c r="K9" s="2" t="s">
        <v>2</v>
      </c>
    </row>
    <row r="10" spans="1:11" x14ac:dyDescent="0.35">
      <c r="A10" s="2" t="s">
        <v>19</v>
      </c>
      <c r="B10" s="2">
        <v>116</v>
      </c>
      <c r="C10" s="2">
        <v>588</v>
      </c>
      <c r="D10" s="2">
        <v>0.16477272727272729</v>
      </c>
      <c r="E10" s="2">
        <v>1</v>
      </c>
      <c r="F10" s="2">
        <v>3.9580772877522923E-77</v>
      </c>
      <c r="G10" s="2">
        <v>7.9161545755045845E-77</v>
      </c>
      <c r="H10" s="2">
        <v>1</v>
      </c>
      <c r="I10" s="2">
        <v>4.287076819625759E-71</v>
      </c>
      <c r="J10" s="2">
        <v>0</v>
      </c>
      <c r="K10" s="2" t="s">
        <v>2</v>
      </c>
    </row>
    <row r="11" spans="1:11" x14ac:dyDescent="0.35">
      <c r="A11" s="2" t="s">
        <v>20</v>
      </c>
      <c r="B11" s="2">
        <v>90</v>
      </c>
      <c r="C11" s="2">
        <v>614</v>
      </c>
      <c r="D11" s="2">
        <v>0.12784090909090909</v>
      </c>
      <c r="E11" s="2">
        <v>1</v>
      </c>
      <c r="F11" s="2">
        <v>4.6823633021019584E-97</v>
      </c>
      <c r="G11" s="2">
        <v>9.3647266042039168E-97</v>
      </c>
      <c r="H11" s="2">
        <v>1</v>
      </c>
      <c r="I11" s="2">
        <v>4.0916597394635436E-87</v>
      </c>
      <c r="J11" s="2">
        <v>0</v>
      </c>
      <c r="K11" s="2" t="s">
        <v>2</v>
      </c>
    </row>
    <row r="12" spans="1:11" x14ac:dyDescent="0.35">
      <c r="A12" s="2" t="s">
        <v>21</v>
      </c>
      <c r="B12" s="2">
        <v>269</v>
      </c>
      <c r="C12" s="2">
        <v>435</v>
      </c>
      <c r="D12" s="2">
        <v>0.38210227272727271</v>
      </c>
      <c r="E12" s="2">
        <v>0.99999999987208177</v>
      </c>
      <c r="F12" s="2">
        <v>2.0924884743097259E-10</v>
      </c>
      <c r="G12" s="2">
        <v>4.1849769486194508E-10</v>
      </c>
      <c r="H12" s="2">
        <v>0.99999999980296728</v>
      </c>
      <c r="I12" s="2">
        <v>1.9703275787215481E-10</v>
      </c>
      <c r="J12" s="2">
        <v>3.9406544694031709E-10</v>
      </c>
      <c r="K12" s="2" t="s">
        <v>2</v>
      </c>
    </row>
    <row r="13" spans="1:11" x14ac:dyDescent="0.35">
      <c r="A13" s="2" t="s">
        <v>22</v>
      </c>
      <c r="B13" s="2">
        <v>606</v>
      </c>
      <c r="C13" s="2">
        <v>98</v>
      </c>
      <c r="D13" s="2">
        <v>0.86079545454545459</v>
      </c>
      <c r="E13" s="2">
        <v>1.4495075047826989E-90</v>
      </c>
      <c r="F13" s="2">
        <v>1</v>
      </c>
      <c r="G13" s="2">
        <v>2.899015009565397E-90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546</v>
      </c>
      <c r="C14" s="2">
        <v>158</v>
      </c>
      <c r="D14" s="2">
        <v>0.77556818181818177</v>
      </c>
      <c r="E14" s="2">
        <v>3.7585550675657738E-51</v>
      </c>
      <c r="F14" s="2">
        <v>1</v>
      </c>
      <c r="G14" s="2">
        <v>7.5171101351315489E-51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606</v>
      </c>
      <c r="C15" s="2">
        <v>98</v>
      </c>
      <c r="D15" s="2">
        <v>0.86079545454545459</v>
      </c>
      <c r="E15" s="2">
        <v>1.4495075047826989E-90</v>
      </c>
      <c r="F15" s="2">
        <v>1</v>
      </c>
      <c r="G15" s="2">
        <v>2.899015009565397E-90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704</v>
      </c>
      <c r="C16" s="2">
        <v>0</v>
      </c>
      <c r="D16" s="2">
        <v>1</v>
      </c>
      <c r="E16" s="2">
        <v>1.1881822289344749E-212</v>
      </c>
      <c r="F16" s="2">
        <v>1</v>
      </c>
      <c r="G16" s="2">
        <v>2.3763644578689498E-212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704</v>
      </c>
      <c r="C17" s="2">
        <v>0</v>
      </c>
      <c r="D17" s="2">
        <v>1</v>
      </c>
      <c r="E17" s="2">
        <v>1.1881822289344749E-212</v>
      </c>
      <c r="F17" s="2">
        <v>1</v>
      </c>
      <c r="G17" s="2">
        <v>2.3763644578689498E-212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704</v>
      </c>
      <c r="C18" s="2">
        <v>0</v>
      </c>
      <c r="D18" s="2">
        <v>1</v>
      </c>
      <c r="E18" s="2">
        <v>1.1881822289344749E-212</v>
      </c>
      <c r="F18" s="2">
        <v>1</v>
      </c>
      <c r="G18" s="2">
        <v>2.3763644578689498E-212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471</v>
      </c>
      <c r="C2" s="2">
        <v>233</v>
      </c>
      <c r="D2" s="2">
        <v>0.66903409090909094</v>
      </c>
      <c r="E2" s="2">
        <v>9.4747657568744627E-20</v>
      </c>
      <c r="F2" s="2">
        <v>1</v>
      </c>
      <c r="G2" s="2">
        <v>1.894953151374893E-19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461</v>
      </c>
      <c r="C3" s="2">
        <v>243</v>
      </c>
      <c r="D3" s="2">
        <v>0.65482954545454541</v>
      </c>
      <c r="E3" s="2">
        <v>8.2873783617900435E-17</v>
      </c>
      <c r="F3" s="2">
        <v>1</v>
      </c>
      <c r="G3" s="2">
        <v>1.6574756723580089E-16</v>
      </c>
      <c r="H3" s="2">
        <v>1.110223024625157E-16</v>
      </c>
      <c r="I3" s="2">
        <v>0.99999999999999989</v>
      </c>
      <c r="J3" s="2">
        <v>2.2204460492503131E-16</v>
      </c>
      <c r="K3" s="2" t="s">
        <v>1</v>
      </c>
    </row>
    <row r="4" spans="1:11" x14ac:dyDescent="0.35">
      <c r="A4" s="2" t="s">
        <v>13</v>
      </c>
      <c r="B4" s="2">
        <v>459</v>
      </c>
      <c r="C4" s="2">
        <v>245</v>
      </c>
      <c r="D4" s="2">
        <v>0.65198863636363635</v>
      </c>
      <c r="E4" s="2">
        <v>2.9804535640973499E-16</v>
      </c>
      <c r="F4" s="2">
        <v>0.99999999999999989</v>
      </c>
      <c r="G4" s="2">
        <v>5.9609071281946999E-16</v>
      </c>
      <c r="H4" s="2">
        <v>3.3306690738754701E-16</v>
      </c>
      <c r="I4" s="2">
        <v>0.99999999999999967</v>
      </c>
      <c r="J4" s="2">
        <v>6.6613381477509392E-16</v>
      </c>
      <c r="K4" s="2" t="s">
        <v>1</v>
      </c>
    </row>
    <row r="5" spans="1:11" x14ac:dyDescent="0.35">
      <c r="A5" s="2" t="s">
        <v>14</v>
      </c>
      <c r="B5" s="2">
        <v>520</v>
      </c>
      <c r="C5" s="2">
        <v>184</v>
      </c>
      <c r="D5" s="2">
        <v>0.73863636363636365</v>
      </c>
      <c r="E5" s="2">
        <v>2.755242345259783E-38</v>
      </c>
      <c r="F5" s="2">
        <v>1</v>
      </c>
      <c r="G5" s="2">
        <v>5.510484690519566E-38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576</v>
      </c>
      <c r="C6" s="2">
        <v>128</v>
      </c>
      <c r="D6" s="2">
        <v>0.81818181818181823</v>
      </c>
      <c r="E6" s="2">
        <v>5.4826488871356029E-69</v>
      </c>
      <c r="F6" s="2">
        <v>1</v>
      </c>
      <c r="G6" s="2">
        <v>1.096529777427121E-68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593</v>
      </c>
      <c r="C7" s="2">
        <v>111</v>
      </c>
      <c r="D7" s="2">
        <v>0.84232954545454541</v>
      </c>
      <c r="E7" s="2">
        <v>1.043564636923742E-80</v>
      </c>
      <c r="F7" s="2">
        <v>1</v>
      </c>
      <c r="G7" s="2">
        <v>2.0871292738474851E-80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651</v>
      </c>
      <c r="C8" s="2">
        <v>53</v>
      </c>
      <c r="D8" s="2">
        <v>0.92471590909090906</v>
      </c>
      <c r="E8" s="2">
        <v>3.3886224594721331E-132</v>
      </c>
      <c r="F8" s="2">
        <v>1</v>
      </c>
      <c r="G8" s="2">
        <v>6.777244918944265E-132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615</v>
      </c>
      <c r="C9" s="2">
        <v>89</v>
      </c>
      <c r="D9" s="2">
        <v>0.87357954545454541</v>
      </c>
      <c r="E9" s="2">
        <v>6.8373850169727422E-98</v>
      </c>
      <c r="F9" s="2">
        <v>1</v>
      </c>
      <c r="G9" s="2">
        <v>1.3674770033945479E-97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635</v>
      </c>
      <c r="C10" s="2">
        <v>69</v>
      </c>
      <c r="D10" s="2">
        <v>0.90198863636363635</v>
      </c>
      <c r="E10" s="2">
        <v>7.5380420569438527E-116</v>
      </c>
      <c r="F10" s="2">
        <v>1</v>
      </c>
      <c r="G10" s="2">
        <v>1.507608411388771E-115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625</v>
      </c>
      <c r="C11" s="2">
        <v>79</v>
      </c>
      <c r="D11" s="2">
        <v>0.88778409090909094</v>
      </c>
      <c r="E11" s="2">
        <v>1.460229168655794E-106</v>
      </c>
      <c r="F11" s="2">
        <v>1</v>
      </c>
      <c r="G11" s="2">
        <v>2.9204583373115889E-106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21</v>
      </c>
      <c r="B12" s="2">
        <v>636</v>
      </c>
      <c r="C12" s="2">
        <v>68</v>
      </c>
      <c r="D12" s="2">
        <v>0.90340909090909094</v>
      </c>
      <c r="E12" s="2">
        <v>8.1621766870248294E-117</v>
      </c>
      <c r="F12" s="2">
        <v>1</v>
      </c>
      <c r="G12" s="2">
        <v>1.6324353374049659E-116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696</v>
      </c>
      <c r="C13" s="2">
        <v>8</v>
      </c>
      <c r="D13" s="2">
        <v>0.98863636363636365</v>
      </c>
      <c r="E13" s="2">
        <v>1.728284543766001E-194</v>
      </c>
      <c r="F13" s="2">
        <v>1</v>
      </c>
      <c r="G13" s="2">
        <v>3.4565690875320013E-194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663</v>
      </c>
      <c r="C14" s="2">
        <v>41</v>
      </c>
      <c r="D14" s="2">
        <v>0.94176136363636365</v>
      </c>
      <c r="E14" s="2">
        <v>6.4971223240490441E-146</v>
      </c>
      <c r="F14" s="2">
        <v>1</v>
      </c>
      <c r="G14" s="2">
        <v>1.299424464809809E-145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674</v>
      </c>
      <c r="C15" s="2">
        <v>30</v>
      </c>
      <c r="D15" s="2">
        <v>0.95738636363636365</v>
      </c>
      <c r="E15" s="2">
        <v>6.6978574091944809E-160</v>
      </c>
      <c r="F15" s="2">
        <v>1</v>
      </c>
      <c r="G15" s="2">
        <v>1.3395714818388959E-159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622</v>
      </c>
      <c r="C16" s="2">
        <v>82</v>
      </c>
      <c r="D16" s="2">
        <v>0.88352272727272729</v>
      </c>
      <c r="E16" s="2">
        <v>6.7186205577721868E-104</v>
      </c>
      <c r="F16" s="2">
        <v>1</v>
      </c>
      <c r="G16" s="2">
        <v>1.3437241115544371E-103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700</v>
      </c>
      <c r="C17" s="2">
        <v>4</v>
      </c>
      <c r="D17" s="2">
        <v>0.99431818181818177</v>
      </c>
      <c r="E17" s="2">
        <v>1.2126531082110179E-202</v>
      </c>
      <c r="F17" s="2">
        <v>1</v>
      </c>
      <c r="G17" s="2">
        <v>2.4253062164220358E-202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704</v>
      </c>
      <c r="C18" s="2">
        <v>0</v>
      </c>
      <c r="D18" s="2">
        <v>1</v>
      </c>
      <c r="E18" s="2">
        <v>1.1881822289344749E-212</v>
      </c>
      <c r="F18" s="2">
        <v>1</v>
      </c>
      <c r="G18" s="2">
        <v>2.3763644578689498E-212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482</v>
      </c>
      <c r="C2" s="2">
        <v>222</v>
      </c>
      <c r="D2" s="2">
        <v>0.68465909090909094</v>
      </c>
      <c r="E2" s="2">
        <v>2.6430735322449501E-23</v>
      </c>
      <c r="F2" s="2">
        <v>1</v>
      </c>
      <c r="G2" s="2">
        <v>5.2861470644899003E-23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650</v>
      </c>
      <c r="C3" s="2">
        <v>54</v>
      </c>
      <c r="D3" s="2">
        <v>0.92329545454545459</v>
      </c>
      <c r="E3" s="2">
        <v>4.092554003950535E-131</v>
      </c>
      <c r="F3" s="2">
        <v>1</v>
      </c>
      <c r="G3" s="2">
        <v>8.18510800790107E-131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656</v>
      </c>
      <c r="C4" s="2">
        <v>48</v>
      </c>
      <c r="D4" s="2">
        <v>0.93181818181818177</v>
      </c>
      <c r="E4" s="2">
        <v>9.6669904004877135E-138</v>
      </c>
      <c r="F4" s="2">
        <v>1</v>
      </c>
      <c r="G4" s="2">
        <v>1.9333980800975429E-137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603</v>
      </c>
      <c r="C5" s="2">
        <v>101</v>
      </c>
      <c r="D5" s="2">
        <v>0.85653409090909094</v>
      </c>
      <c r="E5" s="2">
        <v>3.2323281818118338E-88</v>
      </c>
      <c r="F5" s="2">
        <v>1</v>
      </c>
      <c r="G5" s="2">
        <v>6.4646563636236675E-88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502</v>
      </c>
      <c r="C6" s="2">
        <v>202</v>
      </c>
      <c r="D6" s="2">
        <v>0.71306818181818177</v>
      </c>
      <c r="E6" s="2">
        <v>2.9522028872401471E-30</v>
      </c>
      <c r="F6" s="2">
        <v>1</v>
      </c>
      <c r="G6" s="2">
        <v>5.9044057744802949E-30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461</v>
      </c>
      <c r="C7" s="2">
        <v>243</v>
      </c>
      <c r="D7" s="2">
        <v>0.65482954545454541</v>
      </c>
      <c r="E7" s="2">
        <v>8.2873783617900435E-17</v>
      </c>
      <c r="F7" s="2">
        <v>1</v>
      </c>
      <c r="G7" s="2">
        <v>1.6574756723580089E-16</v>
      </c>
      <c r="H7" s="2">
        <v>1.110223024625157E-16</v>
      </c>
      <c r="I7" s="2">
        <v>0.99999999999999989</v>
      </c>
      <c r="J7" s="2">
        <v>2.2204460492503131E-16</v>
      </c>
      <c r="K7" s="2" t="s">
        <v>1</v>
      </c>
    </row>
    <row r="8" spans="1:11" x14ac:dyDescent="0.35">
      <c r="A8" s="2" t="s">
        <v>17</v>
      </c>
      <c r="B8" s="2">
        <v>404</v>
      </c>
      <c r="C8" s="2">
        <v>300</v>
      </c>
      <c r="D8" s="2">
        <v>0.57386363636363635</v>
      </c>
      <c r="E8" s="2">
        <v>5.0438205584933382E-5</v>
      </c>
      <c r="F8" s="2">
        <v>0.99996318795309103</v>
      </c>
      <c r="G8" s="2">
        <v>1.008764111698668E-4</v>
      </c>
      <c r="H8" s="2">
        <v>4.4339291497941247E-5</v>
      </c>
      <c r="I8" s="2">
        <v>0.99995566070850206</v>
      </c>
      <c r="J8" s="2">
        <v>8.8678582995882493E-5</v>
      </c>
      <c r="K8" s="2" t="s">
        <v>1</v>
      </c>
    </row>
    <row r="9" spans="1:11" x14ac:dyDescent="0.35">
      <c r="A9" s="2" t="s">
        <v>18</v>
      </c>
      <c r="B9" s="2">
        <v>534</v>
      </c>
      <c r="C9" s="2">
        <v>170</v>
      </c>
      <c r="D9" s="2">
        <v>0.75852272727272729</v>
      </c>
      <c r="E9" s="2">
        <v>6.2158512455527271E-45</v>
      </c>
      <c r="F9" s="2">
        <v>1</v>
      </c>
      <c r="G9" s="2">
        <v>1.2431702491105449E-44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467</v>
      </c>
      <c r="C10" s="2">
        <v>237</v>
      </c>
      <c r="D10" s="2">
        <v>0.66335227272727271</v>
      </c>
      <c r="E10" s="2">
        <v>1.5346390564693779E-18</v>
      </c>
      <c r="F10" s="2">
        <v>1</v>
      </c>
      <c r="G10" s="2">
        <v>3.0692781129387559E-18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463</v>
      </c>
      <c r="C11" s="2">
        <v>241</v>
      </c>
      <c r="D11" s="2">
        <v>0.65767045454545459</v>
      </c>
      <c r="E11" s="2">
        <v>2.2479212144743419E-17</v>
      </c>
      <c r="F11" s="2">
        <v>1</v>
      </c>
      <c r="G11" s="2">
        <v>4.4958424289486838E-17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21</v>
      </c>
      <c r="B12" s="2">
        <v>665</v>
      </c>
      <c r="C12" s="2">
        <v>39</v>
      </c>
      <c r="D12" s="2">
        <v>0.94460227272727271</v>
      </c>
      <c r="E12" s="2">
        <v>2.404943654208772E-148</v>
      </c>
      <c r="F12" s="2">
        <v>1</v>
      </c>
      <c r="G12" s="2">
        <v>4.8098873084175447E-148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658</v>
      </c>
      <c r="C13" s="2">
        <v>46</v>
      </c>
      <c r="D13" s="2">
        <v>0.93465909090909094</v>
      </c>
      <c r="E13" s="2">
        <v>5.0271216826926082E-140</v>
      </c>
      <c r="F13" s="2">
        <v>1</v>
      </c>
      <c r="G13" s="2">
        <v>1.005424336538522E-139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687</v>
      </c>
      <c r="C14" s="2">
        <v>17</v>
      </c>
      <c r="D14" s="2">
        <v>0.97585227272727271</v>
      </c>
      <c r="E14" s="2">
        <v>7.2250008608970368E-179</v>
      </c>
      <c r="F14" s="2">
        <v>1</v>
      </c>
      <c r="G14" s="2">
        <v>1.4450001721794071E-178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565</v>
      </c>
      <c r="C15" s="2">
        <v>139</v>
      </c>
      <c r="D15" s="2">
        <v>0.80255681818181823</v>
      </c>
      <c r="E15" s="2">
        <v>4.7695483598372971E-62</v>
      </c>
      <c r="F15" s="2">
        <v>1</v>
      </c>
      <c r="G15" s="2">
        <v>9.5390967196745942E-62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660</v>
      </c>
      <c r="C16" s="2">
        <v>44</v>
      </c>
      <c r="D16" s="2">
        <v>0.9375</v>
      </c>
      <c r="E16" s="2">
        <v>2.3842679704473091E-142</v>
      </c>
      <c r="F16" s="2">
        <v>1</v>
      </c>
      <c r="G16" s="2">
        <v>4.7685359408946181E-142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704</v>
      </c>
      <c r="C17" s="2">
        <v>0</v>
      </c>
      <c r="D17" s="2">
        <v>1</v>
      </c>
      <c r="E17" s="2">
        <v>1.1881822289344749E-212</v>
      </c>
      <c r="F17" s="2">
        <v>1</v>
      </c>
      <c r="G17" s="2">
        <v>2.3763644578689498E-212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704</v>
      </c>
      <c r="C18" s="2">
        <v>0</v>
      </c>
      <c r="D18" s="2">
        <v>1</v>
      </c>
      <c r="E18" s="2">
        <v>1.1881822289344749E-212</v>
      </c>
      <c r="F18" s="2">
        <v>1</v>
      </c>
      <c r="G18" s="2">
        <v>2.3763644578689498E-212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618</v>
      </c>
      <c r="C2" s="2">
        <v>86</v>
      </c>
      <c r="D2" s="2">
        <v>0.87784090909090906</v>
      </c>
      <c r="E2" s="2">
        <v>1.970744891997375E-100</v>
      </c>
      <c r="F2" s="2">
        <v>1</v>
      </c>
      <c r="G2" s="2">
        <v>3.9414897839947491E-100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659</v>
      </c>
      <c r="C3" s="2">
        <v>45</v>
      </c>
      <c r="D3" s="2">
        <v>0.93607954545454541</v>
      </c>
      <c r="E3" s="2">
        <v>3.5029776358737497E-141</v>
      </c>
      <c r="F3" s="2">
        <v>1</v>
      </c>
      <c r="G3" s="2">
        <v>7.0059552717475006E-141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657</v>
      </c>
      <c r="C4" s="2">
        <v>47</v>
      </c>
      <c r="D4" s="2">
        <v>0.93323863636363635</v>
      </c>
      <c r="E4" s="2">
        <v>7.0502656550163309E-139</v>
      </c>
      <c r="F4" s="2">
        <v>1</v>
      </c>
      <c r="G4" s="2">
        <v>1.4100531310032659E-138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588</v>
      </c>
      <c r="C5" s="2">
        <v>116</v>
      </c>
      <c r="D5" s="2">
        <v>0.83522727272727271</v>
      </c>
      <c r="E5" s="2">
        <v>3.9580772877522923E-77</v>
      </c>
      <c r="F5" s="2">
        <v>1</v>
      </c>
      <c r="G5" s="2">
        <v>7.9161545755045845E-77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293</v>
      </c>
      <c r="C6" s="2">
        <v>411</v>
      </c>
      <c r="D6" s="2">
        <v>0.41619318181818182</v>
      </c>
      <c r="E6" s="2">
        <v>0.99999652535152628</v>
      </c>
      <c r="F6" s="2">
        <v>4.9504061134201882E-6</v>
      </c>
      <c r="G6" s="2">
        <v>9.9008122268403763E-6</v>
      </c>
      <c r="H6" s="2">
        <v>0.999995652027029</v>
      </c>
      <c r="I6" s="2">
        <v>4.3479729710524754E-6</v>
      </c>
      <c r="J6" s="2">
        <v>8.6959459419944096E-6</v>
      </c>
      <c r="K6" s="2" t="s">
        <v>2</v>
      </c>
    </row>
    <row r="7" spans="1:11" x14ac:dyDescent="0.35">
      <c r="A7" s="2" t="s">
        <v>16</v>
      </c>
      <c r="B7" s="2">
        <v>179</v>
      </c>
      <c r="C7" s="2">
        <v>525</v>
      </c>
      <c r="D7" s="2">
        <v>0.25426136363636359</v>
      </c>
      <c r="E7" s="2">
        <v>1</v>
      </c>
      <c r="F7" s="2">
        <v>1.378744080652062E-40</v>
      </c>
      <c r="G7" s="2">
        <v>2.7574881613041239E-40</v>
      </c>
      <c r="H7" s="2">
        <v>1</v>
      </c>
      <c r="I7" s="2">
        <v>3.6055191761920078E-39</v>
      </c>
      <c r="J7" s="2">
        <v>0</v>
      </c>
      <c r="K7" s="2" t="s">
        <v>2</v>
      </c>
    </row>
    <row r="8" spans="1:11" x14ac:dyDescent="0.35">
      <c r="A8" s="2" t="s">
        <v>17</v>
      </c>
      <c r="B8" s="2">
        <v>152</v>
      </c>
      <c r="C8" s="2">
        <v>552</v>
      </c>
      <c r="D8" s="2">
        <v>0.21590909090909091</v>
      </c>
      <c r="E8" s="2">
        <v>1</v>
      </c>
      <c r="F8" s="2">
        <v>1.8925852581976919E-54</v>
      </c>
      <c r="G8" s="2">
        <v>3.785170516395385E-54</v>
      </c>
      <c r="H8" s="2">
        <v>1</v>
      </c>
      <c r="I8" s="2">
        <v>1.172466424714592E-51</v>
      </c>
      <c r="J8" s="2">
        <v>0</v>
      </c>
      <c r="K8" s="2" t="s">
        <v>2</v>
      </c>
    </row>
    <row r="9" spans="1:11" x14ac:dyDescent="0.35">
      <c r="A9" s="2" t="s">
        <v>18</v>
      </c>
      <c r="B9" s="2">
        <v>175</v>
      </c>
      <c r="C9" s="2">
        <v>529</v>
      </c>
      <c r="D9" s="2">
        <v>0.24857954545454539</v>
      </c>
      <c r="E9" s="2">
        <v>1</v>
      </c>
      <c r="F9" s="2">
        <v>1.741043016652972E-42</v>
      </c>
      <c r="G9" s="2">
        <v>3.4820860333059433E-42</v>
      </c>
      <c r="H9" s="2">
        <v>1</v>
      </c>
      <c r="I9" s="2">
        <v>6.604562072102192E-41</v>
      </c>
      <c r="J9" s="2">
        <v>0</v>
      </c>
      <c r="K9" s="2" t="s">
        <v>2</v>
      </c>
    </row>
    <row r="10" spans="1:11" x14ac:dyDescent="0.35">
      <c r="A10" s="2" t="s">
        <v>19</v>
      </c>
      <c r="B10" s="2">
        <v>405</v>
      </c>
      <c r="C10" s="2">
        <v>299</v>
      </c>
      <c r="D10" s="2">
        <v>0.57528409090909094</v>
      </c>
      <c r="E10" s="2">
        <v>3.6812046908991251E-5</v>
      </c>
      <c r="F10" s="2">
        <v>0.99997328140396202</v>
      </c>
      <c r="G10" s="2">
        <v>7.3624093817982502E-5</v>
      </c>
      <c r="H10" s="2">
        <v>3.2343670252954482E-5</v>
      </c>
      <c r="I10" s="2">
        <v>0.99996765632974705</v>
      </c>
      <c r="J10" s="2">
        <v>6.4687340505908963E-5</v>
      </c>
      <c r="K10" s="2" t="s">
        <v>1</v>
      </c>
    </row>
    <row r="11" spans="1:11" x14ac:dyDescent="0.35">
      <c r="A11" s="2" t="s">
        <v>20</v>
      </c>
      <c r="B11" s="2">
        <v>459</v>
      </c>
      <c r="C11" s="2">
        <v>245</v>
      </c>
      <c r="D11" s="2">
        <v>0.65198863636363635</v>
      </c>
      <c r="E11" s="2">
        <v>2.9804535640973499E-16</v>
      </c>
      <c r="F11" s="2">
        <v>0.99999999999999989</v>
      </c>
      <c r="G11" s="2">
        <v>5.9609071281946999E-16</v>
      </c>
      <c r="H11" s="2">
        <v>3.3306690738754701E-16</v>
      </c>
      <c r="I11" s="2">
        <v>0.99999999999999967</v>
      </c>
      <c r="J11" s="2">
        <v>6.6613381477509392E-16</v>
      </c>
      <c r="K11" s="2" t="s">
        <v>1</v>
      </c>
    </row>
    <row r="12" spans="1:11" x14ac:dyDescent="0.35">
      <c r="A12" s="2" t="s">
        <v>21</v>
      </c>
      <c r="B12" s="2">
        <v>336</v>
      </c>
      <c r="C12" s="2">
        <v>368</v>
      </c>
      <c r="D12" s="2">
        <v>0.47727272727272729</v>
      </c>
      <c r="E12" s="2">
        <v>0.8932160997258477</v>
      </c>
      <c r="F12" s="2">
        <v>0.12132136960569349</v>
      </c>
      <c r="G12" s="2">
        <v>0.24264273921138699</v>
      </c>
      <c r="H12" s="2">
        <v>0.88610000300588521</v>
      </c>
      <c r="I12" s="2">
        <v>0.1138999969941147</v>
      </c>
      <c r="J12" s="2">
        <v>0.22779999398822959</v>
      </c>
      <c r="K12" s="2" t="s">
        <v>29</v>
      </c>
    </row>
    <row r="13" spans="1:11" x14ac:dyDescent="0.35">
      <c r="A13" s="2" t="s">
        <v>22</v>
      </c>
      <c r="B13" s="2">
        <v>680</v>
      </c>
      <c r="C13" s="2">
        <v>24</v>
      </c>
      <c r="D13" s="2">
        <v>0.96590909090909094</v>
      </c>
      <c r="E13" s="2">
        <v>2.9328384174142829E-168</v>
      </c>
      <c r="F13" s="2">
        <v>1</v>
      </c>
      <c r="G13" s="2">
        <v>5.8656768348285659E-168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558</v>
      </c>
      <c r="C14" s="2">
        <v>146</v>
      </c>
      <c r="D14" s="2">
        <v>0.79261363636363635</v>
      </c>
      <c r="E14" s="2">
        <v>7.0562677454433879E-58</v>
      </c>
      <c r="F14" s="2">
        <v>1</v>
      </c>
      <c r="G14" s="2">
        <v>1.4112535490886779E-57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481</v>
      </c>
      <c r="C15" s="2">
        <v>223</v>
      </c>
      <c r="D15" s="2">
        <v>0.68323863636363635</v>
      </c>
      <c r="E15" s="2">
        <v>5.7444478971644066E-23</v>
      </c>
      <c r="F15" s="2">
        <v>1</v>
      </c>
      <c r="G15" s="2">
        <v>1.1488895794328811E-22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657</v>
      </c>
      <c r="C16" s="2">
        <v>47</v>
      </c>
      <c r="D16" s="2">
        <v>0.93323863636363635</v>
      </c>
      <c r="E16" s="2">
        <v>7.0502656550163309E-139</v>
      </c>
      <c r="F16" s="2">
        <v>1</v>
      </c>
      <c r="G16" s="2">
        <v>1.4100531310032659E-138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703</v>
      </c>
      <c r="C17" s="2">
        <v>1</v>
      </c>
      <c r="D17" s="2">
        <v>0.99857954545454541</v>
      </c>
      <c r="E17" s="2">
        <v>8.376684713988048E-210</v>
      </c>
      <c r="F17" s="2">
        <v>1</v>
      </c>
      <c r="G17" s="2">
        <v>1.6753369427976101E-209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704</v>
      </c>
      <c r="C18" s="2">
        <v>0</v>
      </c>
      <c r="D18" s="2">
        <v>1</v>
      </c>
      <c r="E18" s="2">
        <v>1.1881822289344749E-212</v>
      </c>
      <c r="F18" s="2">
        <v>1</v>
      </c>
      <c r="G18" s="2">
        <v>2.3763644578689498E-212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532</v>
      </c>
      <c r="C2" s="2">
        <v>172</v>
      </c>
      <c r="D2" s="2">
        <v>0.75568181818181823</v>
      </c>
      <c r="E2" s="2">
        <v>6.0586569339323469E-44</v>
      </c>
      <c r="F2" s="2">
        <v>1</v>
      </c>
      <c r="G2" s="2">
        <v>1.211731386786469E-43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569</v>
      </c>
      <c r="C3" s="2">
        <v>135</v>
      </c>
      <c r="D3" s="2">
        <v>0.80823863636363635</v>
      </c>
      <c r="E3" s="2">
        <v>1.624786414533184E-64</v>
      </c>
      <c r="F3" s="2">
        <v>1</v>
      </c>
      <c r="G3" s="2">
        <v>3.2495728290663667E-64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516</v>
      </c>
      <c r="C4" s="2">
        <v>188</v>
      </c>
      <c r="D4" s="2">
        <v>0.73295454545454541</v>
      </c>
      <c r="E4" s="2">
        <v>1.672935226012477E-36</v>
      </c>
      <c r="F4" s="2">
        <v>1</v>
      </c>
      <c r="G4" s="2">
        <v>3.3458704520249527E-36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548</v>
      </c>
      <c r="C5" s="2">
        <v>156</v>
      </c>
      <c r="D5" s="2">
        <v>0.77840909090909094</v>
      </c>
      <c r="E5" s="2">
        <v>3.0901002623633379E-52</v>
      </c>
      <c r="F5" s="2">
        <v>1</v>
      </c>
      <c r="G5" s="2">
        <v>6.1802005247266759E-52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652</v>
      </c>
      <c r="C6" s="2">
        <v>52</v>
      </c>
      <c r="D6" s="2">
        <v>0.92613636363636365</v>
      </c>
      <c r="E6" s="2">
        <v>2.7496109338662921E-133</v>
      </c>
      <c r="F6" s="2">
        <v>1</v>
      </c>
      <c r="G6" s="2">
        <v>5.4992218677325849E-133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657</v>
      </c>
      <c r="C7" s="2">
        <v>47</v>
      </c>
      <c r="D7" s="2">
        <v>0.93323863636363635</v>
      </c>
      <c r="E7" s="2">
        <v>7.0502656550163309E-139</v>
      </c>
      <c r="F7" s="2">
        <v>1</v>
      </c>
      <c r="G7" s="2">
        <v>1.4100531310032659E-138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650</v>
      </c>
      <c r="C8" s="2">
        <v>54</v>
      </c>
      <c r="D8" s="2">
        <v>0.92329545454545459</v>
      </c>
      <c r="E8" s="2">
        <v>4.092554003950535E-131</v>
      </c>
      <c r="F8" s="2">
        <v>1</v>
      </c>
      <c r="G8" s="2">
        <v>8.18510800790107E-131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611</v>
      </c>
      <c r="C9" s="2">
        <v>93</v>
      </c>
      <c r="D9" s="2">
        <v>0.86789772727272729</v>
      </c>
      <c r="E9" s="2">
        <v>1.3944129081349429E-94</v>
      </c>
      <c r="F9" s="2">
        <v>1</v>
      </c>
      <c r="G9" s="2">
        <v>2.7888258162698858E-94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651</v>
      </c>
      <c r="C10" s="2">
        <v>53</v>
      </c>
      <c r="D10" s="2">
        <v>0.92471590909090906</v>
      </c>
      <c r="E10" s="2">
        <v>3.3886224594721331E-132</v>
      </c>
      <c r="F10" s="2">
        <v>1</v>
      </c>
      <c r="G10" s="2">
        <v>6.777244918944265E-132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594</v>
      </c>
      <c r="C11" s="2">
        <v>110</v>
      </c>
      <c r="D11" s="2">
        <v>0.84375</v>
      </c>
      <c r="E11" s="2">
        <v>1.945343773751816E-81</v>
      </c>
      <c r="F11" s="2">
        <v>1</v>
      </c>
      <c r="G11" s="2">
        <v>3.890687547503632E-81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21</v>
      </c>
      <c r="B12" s="2">
        <v>611</v>
      </c>
      <c r="C12" s="2">
        <v>93</v>
      </c>
      <c r="D12" s="2">
        <v>0.86789772727272729</v>
      </c>
      <c r="E12" s="2">
        <v>1.3944129081349429E-94</v>
      </c>
      <c r="F12" s="2">
        <v>1</v>
      </c>
      <c r="G12" s="2">
        <v>2.7888258162698858E-94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696</v>
      </c>
      <c r="C13" s="2">
        <v>8</v>
      </c>
      <c r="D13" s="2">
        <v>0.98863636363636365</v>
      </c>
      <c r="E13" s="2">
        <v>1.728284543766001E-194</v>
      </c>
      <c r="F13" s="2">
        <v>1</v>
      </c>
      <c r="G13" s="2">
        <v>3.4565690875320013E-194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632</v>
      </c>
      <c r="C14" s="2">
        <v>72</v>
      </c>
      <c r="D14" s="2">
        <v>0.89772727272727271</v>
      </c>
      <c r="E14" s="2">
        <v>5.4000264204073981E-113</v>
      </c>
      <c r="F14" s="2">
        <v>1</v>
      </c>
      <c r="G14" s="2">
        <v>1.0800052840814801E-112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589</v>
      </c>
      <c r="C15" s="2">
        <v>115</v>
      </c>
      <c r="D15" s="2">
        <v>0.83664772727272729</v>
      </c>
      <c r="E15" s="2">
        <v>7.7756403794340515E-78</v>
      </c>
      <c r="F15" s="2">
        <v>1</v>
      </c>
      <c r="G15" s="2">
        <v>1.5551280758868099E-77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636</v>
      </c>
      <c r="C16" s="2">
        <v>68</v>
      </c>
      <c r="D16" s="2">
        <v>0.90340909090909094</v>
      </c>
      <c r="E16" s="2">
        <v>8.1621766870248294E-117</v>
      </c>
      <c r="F16" s="2">
        <v>1</v>
      </c>
      <c r="G16" s="2">
        <v>1.6324353374049659E-116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694</v>
      </c>
      <c r="C17" s="2">
        <v>10</v>
      </c>
      <c r="D17" s="2">
        <v>0.98579545454545459</v>
      </c>
      <c r="E17" s="2">
        <v>9.3163432430796114E-191</v>
      </c>
      <c r="F17" s="2">
        <v>1</v>
      </c>
      <c r="G17" s="2">
        <v>1.863268648615922E-190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704</v>
      </c>
      <c r="C18" s="2">
        <v>0</v>
      </c>
      <c r="D18" s="2">
        <v>1</v>
      </c>
      <c r="E18" s="2">
        <v>1.1881822289344749E-212</v>
      </c>
      <c r="F18" s="2">
        <v>1</v>
      </c>
      <c r="G18" s="2">
        <v>2.3763644578689498E-212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505</v>
      </c>
      <c r="C2" s="2">
        <v>199</v>
      </c>
      <c r="D2" s="2">
        <v>0.71732954545454541</v>
      </c>
      <c r="E2" s="2">
        <v>7.4354863343056346E-32</v>
      </c>
      <c r="F2" s="2">
        <v>1</v>
      </c>
      <c r="G2" s="2">
        <v>1.4870972668611269E-31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682</v>
      </c>
      <c r="C3" s="2">
        <v>22</v>
      </c>
      <c r="D3" s="2">
        <v>0.96875</v>
      </c>
      <c r="E3" s="2">
        <v>3.47484664341686E-171</v>
      </c>
      <c r="F3" s="2">
        <v>1</v>
      </c>
      <c r="G3" s="2">
        <v>6.9496932868337201E-171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681</v>
      </c>
      <c r="C4" s="2">
        <v>23</v>
      </c>
      <c r="D4" s="2">
        <v>0.96732954545454541</v>
      </c>
      <c r="E4" s="2">
        <v>1.0319786181859531E-169</v>
      </c>
      <c r="F4" s="2">
        <v>1</v>
      </c>
      <c r="G4" s="2">
        <v>2.0639572363719061E-169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671</v>
      </c>
      <c r="C5" s="2">
        <v>33</v>
      </c>
      <c r="D5" s="2">
        <v>0.953125</v>
      </c>
      <c r="E5" s="2">
        <v>6.2672177835785651E-156</v>
      </c>
      <c r="F5" s="2">
        <v>1</v>
      </c>
      <c r="G5" s="2">
        <v>1.253443556715713E-155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615</v>
      </c>
      <c r="C6" s="2">
        <v>89</v>
      </c>
      <c r="D6" s="2">
        <v>0.87357954545454541</v>
      </c>
      <c r="E6" s="2">
        <v>6.8373850169727422E-98</v>
      </c>
      <c r="F6" s="2">
        <v>1</v>
      </c>
      <c r="G6" s="2">
        <v>1.3674770033945479E-97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628</v>
      </c>
      <c r="C7" s="2">
        <v>76</v>
      </c>
      <c r="D7" s="2">
        <v>0.89204545454545459</v>
      </c>
      <c r="E7" s="2">
        <v>2.7936919739005708E-109</v>
      </c>
      <c r="F7" s="2">
        <v>1</v>
      </c>
      <c r="G7" s="2">
        <v>5.5873839478011416E-109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495</v>
      </c>
      <c r="C8" s="2">
        <v>209</v>
      </c>
      <c r="D8" s="2">
        <v>0.703125</v>
      </c>
      <c r="E8" s="2">
        <v>6.0128866720584896E-28</v>
      </c>
      <c r="F8" s="2">
        <v>1</v>
      </c>
      <c r="G8" s="2">
        <v>1.2025773344116979E-27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666</v>
      </c>
      <c r="C9" s="2">
        <v>38</v>
      </c>
      <c r="D9" s="2">
        <v>0.94602272727272729</v>
      </c>
      <c r="E9" s="2">
        <v>1.405935159882604E-149</v>
      </c>
      <c r="F9" s="2">
        <v>1</v>
      </c>
      <c r="G9" s="2">
        <v>2.8118703197652072E-149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560</v>
      </c>
      <c r="C10" s="2">
        <v>144</v>
      </c>
      <c r="D10" s="2">
        <v>0.79545454545454541</v>
      </c>
      <c r="E10" s="2">
        <v>4.7432684194368774E-59</v>
      </c>
      <c r="F10" s="2">
        <v>1</v>
      </c>
      <c r="G10" s="2">
        <v>9.4865368388737547E-59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632</v>
      </c>
      <c r="C11" s="2">
        <v>72</v>
      </c>
      <c r="D11" s="2">
        <v>0.89772727272727271</v>
      </c>
      <c r="E11" s="2">
        <v>5.4000264204073981E-113</v>
      </c>
      <c r="F11" s="2">
        <v>1</v>
      </c>
      <c r="G11" s="2">
        <v>1.0800052840814801E-112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21</v>
      </c>
      <c r="B12" s="2">
        <v>673</v>
      </c>
      <c r="C12" s="2">
        <v>31</v>
      </c>
      <c r="D12" s="2">
        <v>0.95596590909090906</v>
      </c>
      <c r="E12" s="2">
        <v>1.4586047453265601E-158</v>
      </c>
      <c r="F12" s="2">
        <v>1</v>
      </c>
      <c r="G12" s="2">
        <v>2.9172094906531202E-158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698</v>
      </c>
      <c r="C13" s="2">
        <v>6</v>
      </c>
      <c r="D13" s="2">
        <v>0.99147727272727271</v>
      </c>
      <c r="E13" s="2">
        <v>1.98356930329381E-198</v>
      </c>
      <c r="F13" s="2">
        <v>1</v>
      </c>
      <c r="G13" s="2">
        <v>3.9671386065876193E-198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692</v>
      </c>
      <c r="C14" s="2">
        <v>12</v>
      </c>
      <c r="D14" s="2">
        <v>0.98295454545454541</v>
      </c>
      <c r="E14" s="2">
        <v>3.4045060532262742E-187</v>
      </c>
      <c r="F14" s="2">
        <v>1</v>
      </c>
      <c r="G14" s="2">
        <v>6.8090121064525473E-187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659</v>
      </c>
      <c r="C15" s="2">
        <v>45</v>
      </c>
      <c r="D15" s="2">
        <v>0.93607954545454541</v>
      </c>
      <c r="E15" s="2">
        <v>3.5029776358737497E-141</v>
      </c>
      <c r="F15" s="2">
        <v>1</v>
      </c>
      <c r="G15" s="2">
        <v>7.0059552717475006E-141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704</v>
      </c>
      <c r="C16" s="2">
        <v>0</v>
      </c>
      <c r="D16" s="2">
        <v>1</v>
      </c>
      <c r="E16" s="2">
        <v>1.1881822289344749E-212</v>
      </c>
      <c r="F16" s="2">
        <v>1</v>
      </c>
      <c r="G16" s="2">
        <v>2.3763644578689498E-212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704</v>
      </c>
      <c r="C17" s="2">
        <v>0</v>
      </c>
      <c r="D17" s="2">
        <v>1</v>
      </c>
      <c r="E17" s="2">
        <v>1.1881822289344749E-212</v>
      </c>
      <c r="F17" s="2">
        <v>1</v>
      </c>
      <c r="G17" s="2">
        <v>2.3763644578689498E-212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703</v>
      </c>
      <c r="C18" s="2">
        <v>1</v>
      </c>
      <c r="D18" s="2">
        <v>0.99857954545454541</v>
      </c>
      <c r="E18" s="2">
        <v>8.376684713988048E-210</v>
      </c>
      <c r="F18" s="2">
        <v>1</v>
      </c>
      <c r="G18" s="2">
        <v>1.6753369427976101E-209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365</v>
      </c>
      <c r="C2" s="2">
        <v>339</v>
      </c>
      <c r="D2" s="2">
        <v>0.51846590909090906</v>
      </c>
      <c r="E2" s="2">
        <v>0.17304251071291021</v>
      </c>
      <c r="F2" s="2">
        <v>0.84556710823239156</v>
      </c>
      <c r="G2" s="2">
        <v>0.34608502142582048</v>
      </c>
      <c r="H2" s="2">
        <v>0.16356481161757741</v>
      </c>
      <c r="I2" s="2">
        <v>0.83643518838242259</v>
      </c>
      <c r="J2" s="2">
        <v>0.32712962323515482</v>
      </c>
      <c r="K2" s="2" t="s">
        <v>29</v>
      </c>
    </row>
    <row r="3" spans="1:11" x14ac:dyDescent="0.35">
      <c r="A3" s="2" t="s">
        <v>12</v>
      </c>
      <c r="B3" s="2">
        <v>103</v>
      </c>
      <c r="C3" s="2">
        <v>601</v>
      </c>
      <c r="D3" s="2">
        <v>0.1463068181818182</v>
      </c>
      <c r="E3" s="2">
        <v>1</v>
      </c>
      <c r="F3" s="2">
        <v>1.122046647098312E-86</v>
      </c>
      <c r="G3" s="2">
        <v>2.2440932941966239E-86</v>
      </c>
      <c r="H3" s="2">
        <v>1</v>
      </c>
      <c r="I3" s="2">
        <v>6.7601803827379018E-79</v>
      </c>
      <c r="J3" s="2">
        <v>0</v>
      </c>
      <c r="K3" s="2" t="s">
        <v>2</v>
      </c>
    </row>
    <row r="4" spans="1:11" x14ac:dyDescent="0.35">
      <c r="A4" s="2" t="s">
        <v>13</v>
      </c>
      <c r="B4" s="2">
        <v>110</v>
      </c>
      <c r="C4" s="2">
        <v>594</v>
      </c>
      <c r="D4" s="2">
        <v>0.15625</v>
      </c>
      <c r="E4" s="2">
        <v>1</v>
      </c>
      <c r="F4" s="2">
        <v>1.945343773751816E-81</v>
      </c>
      <c r="G4" s="2">
        <v>3.890687547503632E-81</v>
      </c>
      <c r="H4" s="2">
        <v>1</v>
      </c>
      <c r="I4" s="2">
        <v>1.2100716971802989E-74</v>
      </c>
      <c r="J4" s="2">
        <v>0</v>
      </c>
      <c r="K4" s="2" t="s">
        <v>2</v>
      </c>
    </row>
    <row r="5" spans="1:11" x14ac:dyDescent="0.35">
      <c r="A5" s="2" t="s">
        <v>14</v>
      </c>
      <c r="B5" s="2">
        <v>107</v>
      </c>
      <c r="C5" s="2">
        <v>597</v>
      </c>
      <c r="D5" s="2">
        <v>0.15198863636363641</v>
      </c>
      <c r="E5" s="2">
        <v>1</v>
      </c>
      <c r="F5" s="2">
        <v>1.1812979235370811E-83</v>
      </c>
      <c r="G5" s="2">
        <v>2.3625958470741611E-83</v>
      </c>
      <c r="H5" s="2">
        <v>1</v>
      </c>
      <c r="I5" s="2">
        <v>1.8833144248287539E-76</v>
      </c>
      <c r="J5" s="2">
        <v>0</v>
      </c>
      <c r="K5" s="2" t="s">
        <v>2</v>
      </c>
    </row>
    <row r="6" spans="1:11" x14ac:dyDescent="0.35">
      <c r="A6" s="2" t="s">
        <v>15</v>
      </c>
      <c r="B6" s="2">
        <v>320</v>
      </c>
      <c r="C6" s="2">
        <v>384</v>
      </c>
      <c r="D6" s="2">
        <v>0.45454545454545447</v>
      </c>
      <c r="E6" s="2">
        <v>0.99288163498380022</v>
      </c>
      <c r="F6" s="2">
        <v>8.7576396766929094E-3</v>
      </c>
      <c r="G6" s="2">
        <v>1.7515279353385819E-2</v>
      </c>
      <c r="H6" s="2">
        <v>0.99206933363011351</v>
      </c>
      <c r="I6" s="2">
        <v>7.9306663698864906E-3</v>
      </c>
      <c r="J6" s="2">
        <v>1.5861332739772971E-2</v>
      </c>
      <c r="K6" s="2" t="s">
        <v>2</v>
      </c>
    </row>
    <row r="7" spans="1:11" x14ac:dyDescent="0.35">
      <c r="A7" s="2" t="s">
        <v>16</v>
      </c>
      <c r="B7" s="2">
        <v>268</v>
      </c>
      <c r="C7" s="2">
        <v>436</v>
      </c>
      <c r="D7" s="2">
        <v>0.38068181818181818</v>
      </c>
      <c r="E7" s="2">
        <v>0.99999999992226063</v>
      </c>
      <c r="F7" s="2">
        <v>1.279181887347529E-10</v>
      </c>
      <c r="G7" s="2">
        <v>2.5583637746950579E-10</v>
      </c>
      <c r="H7" s="2">
        <v>0.99999999987879273</v>
      </c>
      <c r="I7" s="2">
        <v>1.212072519999565E-10</v>
      </c>
      <c r="J7" s="2">
        <v>2.4241453289164378E-10</v>
      </c>
      <c r="K7" s="2" t="s">
        <v>2</v>
      </c>
    </row>
    <row r="8" spans="1:11" x14ac:dyDescent="0.35">
      <c r="A8" s="2" t="s">
        <v>17</v>
      </c>
      <c r="B8" s="2">
        <v>83</v>
      </c>
      <c r="C8" s="2">
        <v>621</v>
      </c>
      <c r="D8" s="2">
        <v>0.11789772727272731</v>
      </c>
      <c r="E8" s="2">
        <v>1</v>
      </c>
      <c r="F8" s="2">
        <v>5.0454549307334114E-103</v>
      </c>
      <c r="G8" s="2">
        <v>1.0090909861466821E-102</v>
      </c>
      <c r="H8" s="2">
        <v>1</v>
      </c>
      <c r="I8" s="2">
        <v>1.0339590642827929E-91</v>
      </c>
      <c r="J8" s="2">
        <v>0</v>
      </c>
      <c r="K8" s="2" t="s">
        <v>2</v>
      </c>
    </row>
    <row r="9" spans="1:11" x14ac:dyDescent="0.35">
      <c r="A9" s="2" t="s">
        <v>18</v>
      </c>
      <c r="B9" s="2">
        <v>97</v>
      </c>
      <c r="C9" s="2">
        <v>607</v>
      </c>
      <c r="D9" s="2">
        <v>0.13778409090909091</v>
      </c>
      <c r="E9" s="2">
        <v>1</v>
      </c>
      <c r="F9" s="2">
        <v>2.3349270348625991E-91</v>
      </c>
      <c r="G9" s="2">
        <v>4.6698540697251982E-91</v>
      </c>
      <c r="H9" s="2">
        <v>1</v>
      </c>
      <c r="I9" s="2">
        <v>1.226562243104154E-82</v>
      </c>
      <c r="J9" s="2">
        <v>0</v>
      </c>
      <c r="K9" s="2" t="s">
        <v>2</v>
      </c>
    </row>
    <row r="10" spans="1:11" x14ac:dyDescent="0.35">
      <c r="A10" s="2" t="s">
        <v>19</v>
      </c>
      <c r="B10" s="2">
        <v>153</v>
      </c>
      <c r="C10" s="2">
        <v>551</v>
      </c>
      <c r="D10" s="2">
        <v>0.21732954545454539</v>
      </c>
      <c r="E10" s="2">
        <v>1</v>
      </c>
      <c r="F10" s="2">
        <v>6.8498175314148838E-54</v>
      </c>
      <c r="G10" s="2">
        <v>1.369963506282977E-53</v>
      </c>
      <c r="H10" s="2">
        <v>1</v>
      </c>
      <c r="I10" s="2">
        <v>3.6605063015607933E-51</v>
      </c>
      <c r="J10" s="2">
        <v>0</v>
      </c>
      <c r="K10" s="2" t="s">
        <v>2</v>
      </c>
    </row>
    <row r="11" spans="1:11" x14ac:dyDescent="0.35">
      <c r="A11" s="2" t="s">
        <v>20</v>
      </c>
      <c r="B11" s="2">
        <v>193</v>
      </c>
      <c r="C11" s="2">
        <v>511</v>
      </c>
      <c r="D11" s="2">
        <v>0.27414772727272729</v>
      </c>
      <c r="E11" s="2">
        <v>1</v>
      </c>
      <c r="F11" s="2">
        <v>2.4113559914503591E-34</v>
      </c>
      <c r="G11" s="2">
        <v>4.8227119829007181E-34</v>
      </c>
      <c r="H11" s="2">
        <v>1</v>
      </c>
      <c r="I11" s="2">
        <v>2.1272712436654091E-33</v>
      </c>
      <c r="J11" s="2">
        <v>0</v>
      </c>
      <c r="K11" s="2" t="s">
        <v>2</v>
      </c>
    </row>
    <row r="12" spans="1:11" x14ac:dyDescent="0.35">
      <c r="A12" s="2" t="s">
        <v>21</v>
      </c>
      <c r="B12" s="2">
        <v>127</v>
      </c>
      <c r="C12" s="2">
        <v>577</v>
      </c>
      <c r="D12" s="2">
        <v>0.18039772727272729</v>
      </c>
      <c r="E12" s="2">
        <v>1</v>
      </c>
      <c r="F12" s="2">
        <v>1.2129767875644901E-69</v>
      </c>
      <c r="G12" s="2">
        <v>2.4259535751289792E-69</v>
      </c>
      <c r="H12" s="2">
        <v>1</v>
      </c>
      <c r="I12" s="2">
        <v>8.1154085633445948E-65</v>
      </c>
      <c r="J12" s="2">
        <v>0</v>
      </c>
      <c r="K12" s="2" t="s">
        <v>2</v>
      </c>
    </row>
    <row r="13" spans="1:11" x14ac:dyDescent="0.35">
      <c r="A13" s="2" t="s">
        <v>22</v>
      </c>
      <c r="B13" s="2">
        <v>422</v>
      </c>
      <c r="C13" s="2">
        <v>282</v>
      </c>
      <c r="D13" s="2">
        <v>0.59943181818181823</v>
      </c>
      <c r="E13" s="2">
        <v>7.3853968232725039E-8</v>
      </c>
      <c r="F13" s="2">
        <v>0.99999995130455599</v>
      </c>
      <c r="G13" s="2">
        <v>1.477079364654501E-7</v>
      </c>
      <c r="H13" s="2">
        <v>6.5855741970821668E-8</v>
      </c>
      <c r="I13" s="2">
        <v>0.99999993414425803</v>
      </c>
      <c r="J13" s="2">
        <v>1.3171148394164331E-7</v>
      </c>
      <c r="K13" s="2" t="s">
        <v>1</v>
      </c>
    </row>
    <row r="14" spans="1:11" x14ac:dyDescent="0.35">
      <c r="A14" s="2" t="s">
        <v>23</v>
      </c>
      <c r="B14" s="2">
        <v>414</v>
      </c>
      <c r="C14" s="2">
        <v>290</v>
      </c>
      <c r="D14" s="2">
        <v>0.58806818181818177</v>
      </c>
      <c r="E14" s="2">
        <v>2.425141220284132E-6</v>
      </c>
      <c r="F14" s="2">
        <v>0.99999831688327856</v>
      </c>
      <c r="G14" s="2">
        <v>4.8502824405682632E-6</v>
      </c>
      <c r="H14" s="2">
        <v>1.4810834696454829E-6</v>
      </c>
      <c r="I14" s="2">
        <v>0.99999851891653035</v>
      </c>
      <c r="J14" s="2">
        <v>2.9621669392909671E-6</v>
      </c>
      <c r="K14" s="2" t="s">
        <v>1</v>
      </c>
    </row>
    <row r="15" spans="1:11" x14ac:dyDescent="0.35">
      <c r="A15" s="2" t="s">
        <v>24</v>
      </c>
      <c r="B15" s="2">
        <v>291</v>
      </c>
      <c r="C15" s="2">
        <v>413</v>
      </c>
      <c r="D15" s="2">
        <v>0.41335227272727271</v>
      </c>
      <c r="E15" s="2">
        <v>0.99999831688327856</v>
      </c>
      <c r="F15" s="2">
        <v>2.425141220284132E-6</v>
      </c>
      <c r="G15" s="2">
        <v>4.8502824405682632E-6</v>
      </c>
      <c r="H15" s="2">
        <v>0.99999786766127818</v>
      </c>
      <c r="I15" s="2">
        <v>2.1323387218256759E-6</v>
      </c>
      <c r="J15" s="2">
        <v>4.2646774436327917E-6</v>
      </c>
      <c r="K15" s="2" t="s">
        <v>2</v>
      </c>
    </row>
    <row r="16" spans="1:11" x14ac:dyDescent="0.35">
      <c r="A16" s="2" t="s">
        <v>25</v>
      </c>
      <c r="B16" s="2">
        <v>672</v>
      </c>
      <c r="C16" s="2">
        <v>32</v>
      </c>
      <c r="D16" s="2">
        <v>0.95454545454545459</v>
      </c>
      <c r="E16" s="2">
        <v>3.0726242659104559E-157</v>
      </c>
      <c r="F16" s="2">
        <v>1</v>
      </c>
      <c r="G16" s="2">
        <v>6.1452485318209118E-157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704</v>
      </c>
      <c r="C17" s="2">
        <v>0</v>
      </c>
      <c r="D17" s="2">
        <v>1</v>
      </c>
      <c r="E17" s="2">
        <v>1.1881822289344749E-212</v>
      </c>
      <c r="F17" s="2">
        <v>1</v>
      </c>
      <c r="G17" s="2">
        <v>2.3763644578689498E-212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704</v>
      </c>
      <c r="C18" s="2">
        <v>0</v>
      </c>
      <c r="D18" s="2">
        <v>1</v>
      </c>
      <c r="E18" s="2">
        <v>1.1881822289344749E-212</v>
      </c>
      <c r="F18" s="2">
        <v>1</v>
      </c>
      <c r="G18" s="2">
        <v>2.3763644578689498E-212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536</v>
      </c>
      <c r="C2" s="2">
        <v>168</v>
      </c>
      <c r="D2" s="2">
        <v>0.76136363636363635</v>
      </c>
      <c r="E2" s="2">
        <v>6.1834499551240674E-46</v>
      </c>
      <c r="F2" s="2">
        <v>1</v>
      </c>
      <c r="G2" s="2">
        <v>1.236689991024813E-45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596</v>
      </c>
      <c r="C3" s="2">
        <v>108</v>
      </c>
      <c r="D3" s="2">
        <v>0.84659090909090906</v>
      </c>
      <c r="E3" s="2">
        <v>6.5456300674276173E-83</v>
      </c>
      <c r="F3" s="2">
        <v>1</v>
      </c>
      <c r="G3" s="2">
        <v>1.309126013485523E-82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594</v>
      </c>
      <c r="C4" s="2">
        <v>110</v>
      </c>
      <c r="D4" s="2">
        <v>0.84375</v>
      </c>
      <c r="E4" s="2">
        <v>1.945343773751816E-81</v>
      </c>
      <c r="F4" s="2">
        <v>1</v>
      </c>
      <c r="G4" s="2">
        <v>3.890687547503632E-81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653</v>
      </c>
      <c r="C5" s="2">
        <v>51</v>
      </c>
      <c r="D5" s="2">
        <v>0.92755681818181823</v>
      </c>
      <c r="E5" s="2">
        <v>2.185671853612087E-134</v>
      </c>
      <c r="F5" s="2">
        <v>1</v>
      </c>
      <c r="G5" s="2">
        <v>4.3713437072241741E-134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687</v>
      </c>
      <c r="C6" s="2">
        <v>17</v>
      </c>
      <c r="D6" s="2">
        <v>0.97585227272727271</v>
      </c>
      <c r="E6" s="2">
        <v>7.2250008608970368E-179</v>
      </c>
      <c r="F6" s="2">
        <v>1</v>
      </c>
      <c r="G6" s="2">
        <v>1.4450001721794071E-178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686</v>
      </c>
      <c r="C7" s="2">
        <v>18</v>
      </c>
      <c r="D7" s="2">
        <v>0.97443181818181823</v>
      </c>
      <c r="E7" s="2">
        <v>2.761758638022099E-177</v>
      </c>
      <c r="F7" s="2">
        <v>1</v>
      </c>
      <c r="G7" s="2">
        <v>5.5235172760441989E-177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666</v>
      </c>
      <c r="C8" s="2">
        <v>38</v>
      </c>
      <c r="D8" s="2">
        <v>0.94602272727272729</v>
      </c>
      <c r="E8" s="2">
        <v>1.405935159882604E-149</v>
      </c>
      <c r="F8" s="2">
        <v>1</v>
      </c>
      <c r="G8" s="2">
        <v>2.8118703197652072E-149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633</v>
      </c>
      <c r="C9" s="2">
        <v>71</v>
      </c>
      <c r="D9" s="2">
        <v>0.89914772727272729</v>
      </c>
      <c r="E9" s="2">
        <v>6.1300941690726921E-114</v>
      </c>
      <c r="F9" s="2">
        <v>1</v>
      </c>
      <c r="G9" s="2">
        <v>1.226018833814538E-113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620</v>
      </c>
      <c r="C10" s="2">
        <v>84</v>
      </c>
      <c r="D10" s="2">
        <v>0.88068181818181823</v>
      </c>
      <c r="E10" s="2">
        <v>3.7378802256302499E-102</v>
      </c>
      <c r="F10" s="2">
        <v>1</v>
      </c>
      <c r="G10" s="2">
        <v>7.4757604512604998E-102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590</v>
      </c>
      <c r="C11" s="2">
        <v>114</v>
      </c>
      <c r="D11" s="2">
        <v>0.83806818181818177</v>
      </c>
      <c r="E11" s="2">
        <v>1.5118112287067971E-78</v>
      </c>
      <c r="F11" s="2">
        <v>1</v>
      </c>
      <c r="G11" s="2">
        <v>3.0236224574135942E-78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21</v>
      </c>
      <c r="B12" s="2">
        <v>618</v>
      </c>
      <c r="C12" s="2">
        <v>86</v>
      </c>
      <c r="D12" s="2">
        <v>0.87784090909090906</v>
      </c>
      <c r="E12" s="2">
        <v>1.970744891997375E-100</v>
      </c>
      <c r="F12" s="2">
        <v>1</v>
      </c>
      <c r="G12" s="2">
        <v>3.9414897839947491E-100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652</v>
      </c>
      <c r="C13" s="2">
        <v>52</v>
      </c>
      <c r="D13" s="2">
        <v>0.92613636363636365</v>
      </c>
      <c r="E13" s="2">
        <v>2.7496109338662921E-133</v>
      </c>
      <c r="F13" s="2">
        <v>1</v>
      </c>
      <c r="G13" s="2">
        <v>5.4992218677325849E-133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575</v>
      </c>
      <c r="C14" s="2">
        <v>129</v>
      </c>
      <c r="D14" s="2">
        <v>0.81676136363636365</v>
      </c>
      <c r="E14" s="2">
        <v>2.454723128522135E-68</v>
      </c>
      <c r="F14" s="2">
        <v>1</v>
      </c>
      <c r="G14" s="2">
        <v>4.9094462570442692E-68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546</v>
      </c>
      <c r="C15" s="2">
        <v>158</v>
      </c>
      <c r="D15" s="2">
        <v>0.77556818181818177</v>
      </c>
      <c r="E15" s="2">
        <v>3.7585550675657738E-51</v>
      </c>
      <c r="F15" s="2">
        <v>1</v>
      </c>
      <c r="G15" s="2">
        <v>7.5171101351315489E-51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671</v>
      </c>
      <c r="C16" s="2">
        <v>33</v>
      </c>
      <c r="D16" s="2">
        <v>0.953125</v>
      </c>
      <c r="E16" s="2">
        <v>6.2672177835785651E-156</v>
      </c>
      <c r="F16" s="2">
        <v>1</v>
      </c>
      <c r="G16" s="2">
        <v>1.253443556715713E-155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702</v>
      </c>
      <c r="C17" s="2">
        <v>2</v>
      </c>
      <c r="D17" s="2">
        <v>0.99715909090909094</v>
      </c>
      <c r="E17" s="2">
        <v>2.9486049011460819E-207</v>
      </c>
      <c r="F17" s="2">
        <v>1</v>
      </c>
      <c r="G17" s="2">
        <v>5.8972098022921638E-207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704</v>
      </c>
      <c r="C18" s="2">
        <v>0</v>
      </c>
      <c r="D18" s="2">
        <v>1</v>
      </c>
      <c r="E18" s="2">
        <v>1.1881822289344749E-212</v>
      </c>
      <c r="F18" s="2">
        <v>1</v>
      </c>
      <c r="G18" s="2">
        <v>2.3763644578689498E-212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704</v>
      </c>
      <c r="C19" s="2">
        <v>0</v>
      </c>
      <c r="D19" s="2">
        <v>1</v>
      </c>
      <c r="E19" s="2">
        <v>1.1881822289344749E-212</v>
      </c>
      <c r="F19" s="2">
        <v>1</v>
      </c>
      <c r="G19" s="2">
        <v>2.3763644578689498E-212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716</v>
      </c>
      <c r="C2" s="2">
        <v>268</v>
      </c>
      <c r="D2" s="2">
        <v>0.72764227642276424</v>
      </c>
      <c r="E2" s="2">
        <v>4.9435347258272642E-48</v>
      </c>
      <c r="F2" s="2">
        <v>1</v>
      </c>
      <c r="G2" s="2">
        <v>9.8870694516545283E-48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906</v>
      </c>
      <c r="C3" s="2">
        <v>78</v>
      </c>
      <c r="D3" s="2">
        <v>0.92073170731707321</v>
      </c>
      <c r="E3" s="2">
        <v>7.3023648994880731E-180</v>
      </c>
      <c r="F3" s="2">
        <v>1</v>
      </c>
      <c r="G3" s="2">
        <v>1.460472979897615E-179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879</v>
      </c>
      <c r="C4" s="2">
        <v>105</v>
      </c>
      <c r="D4" s="2">
        <v>0.89329268292682928</v>
      </c>
      <c r="E4" s="2">
        <v>3.7336137155963601E-153</v>
      </c>
      <c r="F4" s="2">
        <v>1</v>
      </c>
      <c r="G4" s="2">
        <v>7.4672274311927192E-153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883</v>
      </c>
      <c r="C5" s="2">
        <v>101</v>
      </c>
      <c r="D5" s="2">
        <v>0.89735772357723576</v>
      </c>
      <c r="E5" s="2">
        <v>7.0536890593392512E-157</v>
      </c>
      <c r="F5" s="2">
        <v>1</v>
      </c>
      <c r="G5" s="2">
        <v>1.41073781186785E-156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871</v>
      </c>
      <c r="C6" s="2">
        <v>113</v>
      </c>
      <c r="D6" s="2">
        <v>0.88516260162601623</v>
      </c>
      <c r="E6" s="2">
        <v>6.3197111296909042E-146</v>
      </c>
      <c r="F6" s="2">
        <v>1</v>
      </c>
      <c r="G6" s="2">
        <v>1.263942225938181E-145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795</v>
      </c>
      <c r="C7" s="2">
        <v>189</v>
      </c>
      <c r="D7" s="2">
        <v>0.80792682926829273</v>
      </c>
      <c r="E7" s="2">
        <v>2.9974819174971911E-89</v>
      </c>
      <c r="F7" s="2">
        <v>1</v>
      </c>
      <c r="G7" s="2">
        <v>5.9949638349943823E-89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719</v>
      </c>
      <c r="C8" s="2">
        <v>265</v>
      </c>
      <c r="D8" s="2">
        <v>0.73069105691056913</v>
      </c>
      <c r="E8" s="2">
        <v>2.5192600171359881E-49</v>
      </c>
      <c r="F8" s="2">
        <v>1</v>
      </c>
      <c r="G8" s="2">
        <v>5.0385200342719763E-49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827</v>
      </c>
      <c r="C9" s="2">
        <v>157</v>
      </c>
      <c r="D9" s="2">
        <v>0.84044715447154472</v>
      </c>
      <c r="E9" s="2">
        <v>9.8164763680076484E-111</v>
      </c>
      <c r="F9" s="2">
        <v>1</v>
      </c>
      <c r="G9" s="2">
        <v>1.96329527360153E-110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729</v>
      </c>
      <c r="C10" s="2">
        <v>255</v>
      </c>
      <c r="D10" s="2">
        <v>0.74085365853658536</v>
      </c>
      <c r="E10" s="2">
        <v>8.8336644347912755E-54</v>
      </c>
      <c r="F10" s="2">
        <v>1</v>
      </c>
      <c r="G10" s="2">
        <v>1.7667328869582551E-53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802</v>
      </c>
      <c r="C11" s="2">
        <v>182</v>
      </c>
      <c r="D11" s="2">
        <v>0.81504065040650409</v>
      </c>
      <c r="E11" s="2">
        <v>1.0946544440119319E-93</v>
      </c>
      <c r="F11" s="2">
        <v>1</v>
      </c>
      <c r="G11" s="2">
        <v>2.1893088880238651E-93</v>
      </c>
      <c r="H11" s="2">
        <v>0</v>
      </c>
      <c r="I11" s="2">
        <v>1</v>
      </c>
      <c r="J11" s="2">
        <v>0</v>
      </c>
      <c r="K11" s="2" t="s">
        <v>1</v>
      </c>
    </row>
    <row r="12" spans="1:11" x14ac:dyDescent="0.35">
      <c r="A12" s="2" t="s">
        <v>21</v>
      </c>
      <c r="B12" s="2">
        <v>934</v>
      </c>
      <c r="C12" s="2">
        <v>50</v>
      </c>
      <c r="D12" s="2">
        <v>0.94918699186991873</v>
      </c>
      <c r="E12" s="2">
        <v>2.673259630904494E-212</v>
      </c>
      <c r="F12" s="2">
        <v>1</v>
      </c>
      <c r="G12" s="2">
        <v>5.3465192618089879E-212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973</v>
      </c>
      <c r="C13" s="2">
        <v>11</v>
      </c>
      <c r="D13" s="2">
        <v>0.98882113821138207</v>
      </c>
      <c r="E13" s="2">
        <v>1.2269891234164789E-271</v>
      </c>
      <c r="F13" s="2">
        <v>1</v>
      </c>
      <c r="G13" s="2">
        <v>2.4539782468329578E-271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967</v>
      </c>
      <c r="C14" s="2">
        <v>17</v>
      </c>
      <c r="D14" s="2">
        <v>0.98272357723577231</v>
      </c>
      <c r="E14" s="2">
        <v>1.157860406755632E-260</v>
      </c>
      <c r="F14" s="2">
        <v>1</v>
      </c>
      <c r="G14" s="2">
        <v>2.3157208135112639E-260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919</v>
      </c>
      <c r="C15" s="2">
        <v>65</v>
      </c>
      <c r="D15" s="2">
        <v>0.93394308943089432</v>
      </c>
      <c r="E15" s="2">
        <v>3.2199735654230919E-194</v>
      </c>
      <c r="F15" s="2">
        <v>1</v>
      </c>
      <c r="G15" s="2">
        <v>6.4399471308461839E-194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984</v>
      </c>
      <c r="C16" s="2">
        <v>0</v>
      </c>
      <c r="D16" s="2">
        <v>1</v>
      </c>
      <c r="E16" s="2">
        <v>6.1162364502226952E-297</v>
      </c>
      <c r="F16" s="2">
        <v>1</v>
      </c>
      <c r="G16" s="2">
        <v>1.223247290044539E-296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984</v>
      </c>
      <c r="C17" s="2">
        <v>0</v>
      </c>
      <c r="D17" s="2">
        <v>1</v>
      </c>
      <c r="E17" s="2">
        <v>6.1162364502226952E-297</v>
      </c>
      <c r="F17" s="2">
        <v>1</v>
      </c>
      <c r="G17" s="2">
        <v>1.223247290044539E-296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984</v>
      </c>
      <c r="C18" s="2">
        <v>0</v>
      </c>
      <c r="D18" s="2">
        <v>1</v>
      </c>
      <c r="E18" s="2">
        <v>6.1162364502226952E-297</v>
      </c>
      <c r="F18" s="2">
        <v>1</v>
      </c>
      <c r="G18" s="2">
        <v>1.223247290044539E-296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984</v>
      </c>
      <c r="C19" s="2">
        <v>0</v>
      </c>
      <c r="D19" s="2">
        <v>1</v>
      </c>
      <c r="E19" s="2">
        <v>6.1162364502226952E-297</v>
      </c>
      <c r="F19" s="2">
        <v>1</v>
      </c>
      <c r="G19" s="2">
        <v>1.223247290044539E-296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1023</v>
      </c>
      <c r="C2" s="2">
        <v>610</v>
      </c>
      <c r="D2" s="2">
        <v>0.62645437844458052</v>
      </c>
      <c r="E2" s="2">
        <v>5.9034508792565296E-25</v>
      </c>
      <c r="F2" s="2">
        <v>1</v>
      </c>
      <c r="G2" s="2">
        <v>1.1806901758513059E-24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271</v>
      </c>
      <c r="C3" s="2">
        <v>1362</v>
      </c>
      <c r="D3" s="2">
        <v>0.1659522351500306</v>
      </c>
      <c r="E3" s="2">
        <v>1</v>
      </c>
      <c r="F3" s="2">
        <v>4.5751546069952298E-175</v>
      </c>
      <c r="G3" s="2">
        <v>9.1503092139904596E-175</v>
      </c>
      <c r="H3" s="2">
        <v>1</v>
      </c>
      <c r="I3" s="2">
        <v>7.7991891820315469E-161</v>
      </c>
      <c r="J3" s="2">
        <v>0</v>
      </c>
      <c r="K3" s="2" t="s">
        <v>2</v>
      </c>
    </row>
    <row r="4" spans="1:11" x14ac:dyDescent="0.35">
      <c r="A4" s="2" t="s">
        <v>13</v>
      </c>
      <c r="B4" s="2">
        <v>230</v>
      </c>
      <c r="C4" s="2">
        <v>1403</v>
      </c>
      <c r="D4" s="2">
        <v>0.14084507042253519</v>
      </c>
      <c r="E4" s="2">
        <v>1</v>
      </c>
      <c r="F4" s="2">
        <v>1.72030872965962E-205</v>
      </c>
      <c r="G4" s="2">
        <v>3.4406174593192408E-205</v>
      </c>
      <c r="H4" s="2">
        <v>1</v>
      </c>
      <c r="I4" s="2">
        <v>1.4935489606977599E-185</v>
      </c>
      <c r="J4" s="2">
        <v>0</v>
      </c>
      <c r="K4" s="2" t="s">
        <v>2</v>
      </c>
    </row>
    <row r="5" spans="1:11" x14ac:dyDescent="0.35">
      <c r="A5" s="2" t="s">
        <v>14</v>
      </c>
      <c r="B5" s="2">
        <v>398</v>
      </c>
      <c r="C5" s="2">
        <v>1235</v>
      </c>
      <c r="D5" s="2">
        <v>0.24372320881812609</v>
      </c>
      <c r="E5" s="2">
        <v>1</v>
      </c>
      <c r="F5" s="2">
        <v>6.1984441124480788E-100</v>
      </c>
      <c r="G5" s="2">
        <v>1.239688822489616E-99</v>
      </c>
      <c r="H5" s="2">
        <v>1</v>
      </c>
      <c r="I5" s="2">
        <v>1.3363159349402741E-95</v>
      </c>
      <c r="J5" s="2">
        <v>0</v>
      </c>
      <c r="K5" s="2" t="s">
        <v>2</v>
      </c>
    </row>
    <row r="6" spans="1:11" x14ac:dyDescent="0.35">
      <c r="A6" s="2" t="s">
        <v>15</v>
      </c>
      <c r="B6" s="2">
        <v>443</v>
      </c>
      <c r="C6" s="2">
        <v>1190</v>
      </c>
      <c r="D6" s="2">
        <v>0.27127985303123092</v>
      </c>
      <c r="E6" s="2">
        <v>1</v>
      </c>
      <c r="F6" s="2">
        <v>3.2704090284594898E-79</v>
      </c>
      <c r="G6" s="2">
        <v>6.5408180569189797E-79</v>
      </c>
      <c r="H6" s="2">
        <v>1</v>
      </c>
      <c r="I6" s="2">
        <v>1.354856089629423E-76</v>
      </c>
      <c r="J6" s="2">
        <v>0</v>
      </c>
      <c r="K6" s="2" t="s">
        <v>2</v>
      </c>
    </row>
    <row r="7" spans="1:11" x14ac:dyDescent="0.35">
      <c r="A7" s="2" t="s">
        <v>16</v>
      </c>
      <c r="B7" s="2">
        <v>382</v>
      </c>
      <c r="C7" s="2">
        <v>1251</v>
      </c>
      <c r="D7" s="2">
        <v>0.23392529087568889</v>
      </c>
      <c r="E7" s="2">
        <v>1</v>
      </c>
      <c r="F7" s="2">
        <v>5.4050506386481497E-108</v>
      </c>
      <c r="G7" s="2">
        <v>1.0810101277296299E-107</v>
      </c>
      <c r="H7" s="2">
        <v>1</v>
      </c>
      <c r="I7" s="2">
        <v>7.0851202982248118E-103</v>
      </c>
      <c r="J7" s="2">
        <v>0</v>
      </c>
      <c r="K7" s="2" t="s">
        <v>2</v>
      </c>
    </row>
    <row r="8" spans="1:11" x14ac:dyDescent="0.35">
      <c r="A8" s="2" t="s">
        <v>17</v>
      </c>
      <c r="B8" s="2">
        <v>120</v>
      </c>
      <c r="C8" s="2">
        <v>1513</v>
      </c>
      <c r="D8" s="2">
        <v>7.3484384568279243E-2</v>
      </c>
      <c r="E8" s="2">
        <v>1</v>
      </c>
      <c r="F8" s="2">
        <v>1.7371330387893021E-307</v>
      </c>
      <c r="G8" s="2">
        <v>3.474266077578603E-307</v>
      </c>
      <c r="H8" s="2">
        <v>1</v>
      </c>
      <c r="I8" s="2">
        <v>1.0789254876175429E-260</v>
      </c>
      <c r="J8" s="2">
        <v>0</v>
      </c>
      <c r="K8" s="2" t="s">
        <v>2</v>
      </c>
    </row>
    <row r="9" spans="1:11" x14ac:dyDescent="0.35">
      <c r="A9" s="2" t="s">
        <v>18</v>
      </c>
      <c r="B9" s="2">
        <v>310</v>
      </c>
      <c r="C9" s="2">
        <v>1323</v>
      </c>
      <c r="D9" s="2">
        <v>0.18983466013472139</v>
      </c>
      <c r="E9" s="2">
        <v>1</v>
      </c>
      <c r="F9" s="2">
        <v>3.9370182237869448E-149</v>
      </c>
      <c r="G9" s="2">
        <v>7.8740364475738897E-149</v>
      </c>
      <c r="H9" s="2">
        <v>1</v>
      </c>
      <c r="I9" s="2">
        <v>5.5830240707489164E-139</v>
      </c>
      <c r="J9" s="2">
        <v>0</v>
      </c>
      <c r="K9" s="2" t="s">
        <v>2</v>
      </c>
    </row>
    <row r="10" spans="1:11" x14ac:dyDescent="0.35">
      <c r="A10" s="2" t="s">
        <v>19</v>
      </c>
      <c r="B10" s="2">
        <v>412</v>
      </c>
      <c r="C10" s="2">
        <v>1221</v>
      </c>
      <c r="D10" s="2">
        <v>0.25229638701775869</v>
      </c>
      <c r="E10" s="2">
        <v>1</v>
      </c>
      <c r="F10" s="2">
        <v>3.4809960898400051E-93</v>
      </c>
      <c r="G10" s="2">
        <v>6.9619921796800094E-93</v>
      </c>
      <c r="H10" s="2">
        <v>1</v>
      </c>
      <c r="I10" s="2">
        <v>1.8584080588475611E-89</v>
      </c>
      <c r="J10" s="2">
        <v>0</v>
      </c>
      <c r="K10" s="2" t="s">
        <v>2</v>
      </c>
    </row>
    <row r="11" spans="1:11" x14ac:dyDescent="0.35">
      <c r="A11" s="2" t="s">
        <v>20</v>
      </c>
      <c r="B11" s="2">
        <v>333</v>
      </c>
      <c r="C11" s="2">
        <v>1300</v>
      </c>
      <c r="D11" s="2">
        <v>0.20391916717697489</v>
      </c>
      <c r="E11" s="2">
        <v>1</v>
      </c>
      <c r="F11" s="2">
        <v>4.3799894387829347E-135</v>
      </c>
      <c r="G11" s="2">
        <v>8.7599788775658707E-135</v>
      </c>
      <c r="H11" s="2">
        <v>1</v>
      </c>
      <c r="I11" s="2">
        <v>7.5560811539014732E-127</v>
      </c>
      <c r="J11" s="2">
        <v>0</v>
      </c>
      <c r="K11" s="2" t="s">
        <v>2</v>
      </c>
    </row>
    <row r="12" spans="1:11" x14ac:dyDescent="0.35">
      <c r="A12" s="2" t="s">
        <v>21</v>
      </c>
      <c r="B12" s="2">
        <v>1054</v>
      </c>
      <c r="C12" s="2">
        <v>579</v>
      </c>
      <c r="D12" s="2">
        <v>0.64543784445805263</v>
      </c>
      <c r="E12" s="2">
        <v>1.6523142715001319E-32</v>
      </c>
      <c r="F12" s="2">
        <v>1</v>
      </c>
      <c r="G12" s="2">
        <v>3.3046285430002632E-32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1309</v>
      </c>
      <c r="C13" s="2">
        <v>324</v>
      </c>
      <c r="D13" s="2">
        <v>0.80159216166564606</v>
      </c>
      <c r="E13" s="2">
        <v>1.780879237193481E-140</v>
      </c>
      <c r="F13" s="2">
        <v>1</v>
      </c>
      <c r="G13" s="2">
        <v>3.561758474386962E-140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867</v>
      </c>
      <c r="C14" s="2">
        <v>766</v>
      </c>
      <c r="D14" s="2">
        <v>0.53092467850581748</v>
      </c>
      <c r="E14" s="2">
        <v>6.6569854056430112E-3</v>
      </c>
      <c r="F14" s="2">
        <v>0.99421172315698081</v>
      </c>
      <c r="G14" s="2">
        <v>1.3313970811286021E-2</v>
      </c>
      <c r="H14" s="2">
        <v>6.2209463336887483E-3</v>
      </c>
      <c r="I14" s="2">
        <v>0.99377905366631125</v>
      </c>
      <c r="J14" s="2">
        <v>1.24418926673775E-2</v>
      </c>
      <c r="K14" s="2" t="s">
        <v>1</v>
      </c>
    </row>
    <row r="15" spans="1:11" x14ac:dyDescent="0.35">
      <c r="A15" s="2" t="s">
        <v>24</v>
      </c>
      <c r="B15" s="2">
        <v>1421</v>
      </c>
      <c r="C15" s="2">
        <v>212</v>
      </c>
      <c r="D15" s="2">
        <v>0.87017758726270666</v>
      </c>
      <c r="E15" s="2">
        <v>5.5319197747443668E-220</v>
      </c>
      <c r="F15" s="2">
        <v>1</v>
      </c>
      <c r="G15" s="2">
        <v>1.1063839549488731E-219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1633</v>
      </c>
      <c r="C16" s="2">
        <v>0</v>
      </c>
      <c r="D16" s="2">
        <v>1</v>
      </c>
      <c r="E16" s="2">
        <v>0</v>
      </c>
      <c r="F16" s="2">
        <v>1</v>
      </c>
      <c r="G16" s="2">
        <v>0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1633</v>
      </c>
      <c r="C17" s="2">
        <v>0</v>
      </c>
      <c r="D17" s="2">
        <v>1</v>
      </c>
      <c r="E17" s="2">
        <v>0</v>
      </c>
      <c r="F17" s="2">
        <v>1</v>
      </c>
      <c r="G17" s="2">
        <v>0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1633</v>
      </c>
      <c r="C18" s="2">
        <v>0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1633</v>
      </c>
      <c r="C19" s="2">
        <v>0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543</v>
      </c>
      <c r="C2" s="2">
        <v>161</v>
      </c>
      <c r="D2" s="2">
        <v>0.77130681818181823</v>
      </c>
      <c r="E2" s="2">
        <v>1.500360979571102E-49</v>
      </c>
      <c r="F2" s="2">
        <v>1</v>
      </c>
      <c r="G2" s="2">
        <v>3.0007219591422051E-49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558</v>
      </c>
      <c r="C3" s="2">
        <v>146</v>
      </c>
      <c r="D3" s="2">
        <v>0.79261363636363635</v>
      </c>
      <c r="E3" s="2">
        <v>7.0562677454433879E-58</v>
      </c>
      <c r="F3" s="2">
        <v>1</v>
      </c>
      <c r="G3" s="2">
        <v>1.4112535490886779E-57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560</v>
      </c>
      <c r="C4" s="2">
        <v>144</v>
      </c>
      <c r="D4" s="2">
        <v>0.79545454545454541</v>
      </c>
      <c r="E4" s="2">
        <v>4.7432684194368774E-59</v>
      </c>
      <c r="F4" s="2">
        <v>1</v>
      </c>
      <c r="G4" s="2">
        <v>9.4865368388737547E-59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587</v>
      </c>
      <c r="C5" s="2">
        <v>117</v>
      </c>
      <c r="D5" s="2">
        <v>0.83380681818181823</v>
      </c>
      <c r="E5" s="2">
        <v>1.9942195158585969E-76</v>
      </c>
      <c r="F5" s="2">
        <v>1</v>
      </c>
      <c r="G5" s="2">
        <v>3.9884390317171932E-76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653</v>
      </c>
      <c r="C6" s="2">
        <v>51</v>
      </c>
      <c r="D6" s="2">
        <v>0.92755681818181823</v>
      </c>
      <c r="E6" s="2">
        <v>2.185671853612087E-134</v>
      </c>
      <c r="F6" s="2">
        <v>1</v>
      </c>
      <c r="G6" s="2">
        <v>4.3713437072241741E-134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655</v>
      </c>
      <c r="C7" s="2">
        <v>49</v>
      </c>
      <c r="D7" s="2">
        <v>0.93039772727272729</v>
      </c>
      <c r="E7" s="2">
        <v>1.2964756745662891E-136</v>
      </c>
      <c r="F7" s="2">
        <v>1</v>
      </c>
      <c r="G7" s="2">
        <v>2.5929513491325782E-136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572</v>
      </c>
      <c r="C8" s="2">
        <v>132</v>
      </c>
      <c r="D8" s="2">
        <v>0.8125</v>
      </c>
      <c r="E8" s="2">
        <v>2.0822370290439729E-66</v>
      </c>
      <c r="F8" s="2">
        <v>1</v>
      </c>
      <c r="G8" s="2">
        <v>4.1644740580879458E-66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622</v>
      </c>
      <c r="C9" s="2">
        <v>82</v>
      </c>
      <c r="D9" s="2">
        <v>0.88352272727272729</v>
      </c>
      <c r="E9" s="2">
        <v>6.7186205577721868E-104</v>
      </c>
      <c r="F9" s="2">
        <v>1</v>
      </c>
      <c r="G9" s="2">
        <v>1.3437241115544371E-103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455</v>
      </c>
      <c r="C10" s="2">
        <v>249</v>
      </c>
      <c r="D10" s="2">
        <v>0.64630681818181823</v>
      </c>
      <c r="E10" s="2">
        <v>3.5800149477577373E-15</v>
      </c>
      <c r="F10" s="2">
        <v>0.99999999999999811</v>
      </c>
      <c r="G10" s="2">
        <v>7.160029895515473E-15</v>
      </c>
      <c r="H10" s="2">
        <v>4.1078251911130792E-15</v>
      </c>
      <c r="I10" s="2">
        <v>0.99999999999999589</v>
      </c>
      <c r="J10" s="2">
        <v>8.2156503822261584E-15</v>
      </c>
      <c r="K10" s="2" t="s">
        <v>1</v>
      </c>
    </row>
    <row r="11" spans="1:11" x14ac:dyDescent="0.35">
      <c r="A11" s="2" t="s">
        <v>20</v>
      </c>
      <c r="B11" s="2">
        <v>446</v>
      </c>
      <c r="C11" s="2">
        <v>258</v>
      </c>
      <c r="D11" s="2">
        <v>0.63352272727272729</v>
      </c>
      <c r="E11" s="2">
        <v>6.7296703835153783E-13</v>
      </c>
      <c r="F11" s="2">
        <v>0.99999999999961464</v>
      </c>
      <c r="G11" s="2">
        <v>1.3459340767030761E-12</v>
      </c>
      <c r="H11" s="2">
        <v>6.9266814506363517E-13</v>
      </c>
      <c r="I11" s="2">
        <v>0.99999999999930733</v>
      </c>
      <c r="J11" s="2">
        <v>1.3853362901272699E-12</v>
      </c>
      <c r="K11" s="2" t="s">
        <v>1</v>
      </c>
    </row>
    <row r="12" spans="1:11" x14ac:dyDescent="0.35">
      <c r="A12" s="2" t="s">
        <v>21</v>
      </c>
      <c r="B12" s="2">
        <v>491</v>
      </c>
      <c r="C12" s="2">
        <v>213</v>
      </c>
      <c r="D12" s="2">
        <v>0.69744318181818177</v>
      </c>
      <c r="E12" s="2">
        <v>4.1928894555716279E-26</v>
      </c>
      <c r="F12" s="2">
        <v>1</v>
      </c>
      <c r="G12" s="2">
        <v>8.3857789111432569E-26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665</v>
      </c>
      <c r="C13" s="2">
        <v>39</v>
      </c>
      <c r="D13" s="2">
        <v>0.94460227272727271</v>
      </c>
      <c r="E13" s="2">
        <v>2.404943654208772E-148</v>
      </c>
      <c r="F13" s="2">
        <v>1</v>
      </c>
      <c r="G13" s="2">
        <v>4.8098873084175447E-148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564</v>
      </c>
      <c r="C14" s="2">
        <v>140</v>
      </c>
      <c r="D14" s="2">
        <v>0.80113636363636365</v>
      </c>
      <c r="E14" s="2">
        <v>1.9304614207791681E-61</v>
      </c>
      <c r="F14" s="2">
        <v>1</v>
      </c>
      <c r="G14" s="2">
        <v>3.8609228415583348E-61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621</v>
      </c>
      <c r="C15" s="2">
        <v>83</v>
      </c>
      <c r="D15" s="2">
        <v>0.88210227272727271</v>
      </c>
      <c r="E15" s="2">
        <v>5.0454549307334114E-103</v>
      </c>
      <c r="F15" s="2">
        <v>1</v>
      </c>
      <c r="G15" s="2">
        <v>1.0090909861466821E-102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687</v>
      </c>
      <c r="C16" s="2">
        <v>17</v>
      </c>
      <c r="D16" s="2">
        <v>0.97585227272727271</v>
      </c>
      <c r="E16" s="2">
        <v>7.2250008608970368E-179</v>
      </c>
      <c r="F16" s="2">
        <v>1</v>
      </c>
      <c r="G16" s="2">
        <v>1.4450001721794071E-178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687</v>
      </c>
      <c r="C17" s="2">
        <v>17</v>
      </c>
      <c r="D17" s="2">
        <v>0.97585227272727271</v>
      </c>
      <c r="E17" s="2">
        <v>7.2250008608970368E-179</v>
      </c>
      <c r="F17" s="2">
        <v>1</v>
      </c>
      <c r="G17" s="2">
        <v>1.4450001721794071E-178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703</v>
      </c>
      <c r="C18" s="2">
        <v>1</v>
      </c>
      <c r="D18" s="2">
        <v>0.99857954545454541</v>
      </c>
      <c r="E18" s="2">
        <v>8.376684713988048E-210</v>
      </c>
      <c r="F18" s="2">
        <v>1</v>
      </c>
      <c r="G18" s="2">
        <v>1.6753369427976101E-209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700</v>
      </c>
      <c r="C19" s="2">
        <v>4</v>
      </c>
      <c r="D19" s="2">
        <v>0.99431818181818177</v>
      </c>
      <c r="E19" s="2">
        <v>1.2126531082110179E-202</v>
      </c>
      <c r="F19" s="2">
        <v>1</v>
      </c>
      <c r="G19" s="2">
        <v>2.4253062164220358E-202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635</v>
      </c>
      <c r="C2" s="2">
        <v>349</v>
      </c>
      <c r="D2" s="2">
        <v>0.64532520325203258</v>
      </c>
      <c r="E2" s="2">
        <v>2.8416390445028618E-20</v>
      </c>
      <c r="F2" s="2">
        <v>1</v>
      </c>
      <c r="G2" s="2">
        <v>5.6832780890057249E-20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922</v>
      </c>
      <c r="C3" s="2">
        <v>62</v>
      </c>
      <c r="D3" s="2">
        <v>0.93699186991869921</v>
      </c>
      <c r="E3" s="2">
        <v>1.076185694569204E-197</v>
      </c>
      <c r="F3" s="2">
        <v>1</v>
      </c>
      <c r="G3" s="2">
        <v>2.1523713891384091E-197</v>
      </c>
      <c r="H3" s="2">
        <v>0</v>
      </c>
      <c r="I3" s="2">
        <v>1</v>
      </c>
      <c r="J3" s="2">
        <v>0</v>
      </c>
      <c r="K3" s="2" t="s">
        <v>1</v>
      </c>
    </row>
    <row r="4" spans="1:11" x14ac:dyDescent="0.35">
      <c r="A4" s="2" t="s">
        <v>13</v>
      </c>
      <c r="B4" s="2">
        <v>893</v>
      </c>
      <c r="C4" s="2">
        <v>91</v>
      </c>
      <c r="D4" s="2">
        <v>0.90752032520325199</v>
      </c>
      <c r="E4" s="2">
        <v>1.5818165607475441E-166</v>
      </c>
      <c r="F4" s="2">
        <v>1</v>
      </c>
      <c r="G4" s="2">
        <v>3.1636331214950882E-166</v>
      </c>
      <c r="H4" s="2">
        <v>0</v>
      </c>
      <c r="I4" s="2">
        <v>1</v>
      </c>
      <c r="J4" s="2">
        <v>0</v>
      </c>
      <c r="K4" s="2" t="s">
        <v>1</v>
      </c>
    </row>
    <row r="5" spans="1:11" x14ac:dyDescent="0.35">
      <c r="A5" s="2" t="s">
        <v>14</v>
      </c>
      <c r="B5" s="2">
        <v>897</v>
      </c>
      <c r="C5" s="2">
        <v>87</v>
      </c>
      <c r="D5" s="2">
        <v>0.91158536585365857</v>
      </c>
      <c r="E5" s="2">
        <v>1.569241167657816E-170</v>
      </c>
      <c r="F5" s="2">
        <v>1</v>
      </c>
      <c r="G5" s="2">
        <v>3.138482335315631E-170</v>
      </c>
      <c r="H5" s="2">
        <v>0</v>
      </c>
      <c r="I5" s="2">
        <v>1</v>
      </c>
      <c r="J5" s="2">
        <v>0</v>
      </c>
      <c r="K5" s="2" t="s">
        <v>1</v>
      </c>
    </row>
    <row r="6" spans="1:11" x14ac:dyDescent="0.35">
      <c r="A6" s="2" t="s">
        <v>15</v>
      </c>
      <c r="B6" s="2">
        <v>836</v>
      </c>
      <c r="C6" s="2">
        <v>148</v>
      </c>
      <c r="D6" s="2">
        <v>0.84959349593495936</v>
      </c>
      <c r="E6" s="2">
        <v>2.3213986636838901E-117</v>
      </c>
      <c r="F6" s="2">
        <v>1</v>
      </c>
      <c r="G6" s="2">
        <v>4.6427973273677788E-117</v>
      </c>
      <c r="H6" s="2">
        <v>0</v>
      </c>
      <c r="I6" s="2">
        <v>1</v>
      </c>
      <c r="J6" s="2">
        <v>0</v>
      </c>
      <c r="K6" s="2" t="s">
        <v>1</v>
      </c>
    </row>
    <row r="7" spans="1:11" x14ac:dyDescent="0.35">
      <c r="A7" s="2" t="s">
        <v>16</v>
      </c>
      <c r="B7" s="2">
        <v>774</v>
      </c>
      <c r="C7" s="2">
        <v>210</v>
      </c>
      <c r="D7" s="2">
        <v>0.78658536585365857</v>
      </c>
      <c r="E7" s="2">
        <v>9.3485474238570638E-77</v>
      </c>
      <c r="F7" s="2">
        <v>1</v>
      </c>
      <c r="G7" s="2">
        <v>1.8697094847714131E-76</v>
      </c>
      <c r="H7" s="2">
        <v>0</v>
      </c>
      <c r="I7" s="2">
        <v>1</v>
      </c>
      <c r="J7" s="2">
        <v>0</v>
      </c>
      <c r="K7" s="2" t="s">
        <v>1</v>
      </c>
    </row>
    <row r="8" spans="1:11" x14ac:dyDescent="0.35">
      <c r="A8" s="2" t="s">
        <v>17</v>
      </c>
      <c r="B8" s="2">
        <v>692</v>
      </c>
      <c r="C8" s="2">
        <v>292</v>
      </c>
      <c r="D8" s="2">
        <v>0.7032520325203252</v>
      </c>
      <c r="E8" s="2">
        <v>2.1353120423697011E-38</v>
      </c>
      <c r="F8" s="2">
        <v>1</v>
      </c>
      <c r="G8" s="2">
        <v>4.2706240847394021E-38</v>
      </c>
      <c r="H8" s="2">
        <v>0</v>
      </c>
      <c r="I8" s="2">
        <v>1</v>
      </c>
      <c r="J8" s="2">
        <v>0</v>
      </c>
      <c r="K8" s="2" t="s">
        <v>1</v>
      </c>
    </row>
    <row r="9" spans="1:11" x14ac:dyDescent="0.35">
      <c r="A9" s="2" t="s">
        <v>18</v>
      </c>
      <c r="B9" s="2">
        <v>642</v>
      </c>
      <c r="C9" s="2">
        <v>342</v>
      </c>
      <c r="D9" s="2">
        <v>0.65243902439024393</v>
      </c>
      <c r="E9" s="2">
        <v>3.740680254232027E-22</v>
      </c>
      <c r="F9" s="2">
        <v>1</v>
      </c>
      <c r="G9" s="2">
        <v>7.4813605084640541E-22</v>
      </c>
      <c r="H9" s="2">
        <v>0</v>
      </c>
      <c r="I9" s="2">
        <v>1</v>
      </c>
      <c r="J9" s="2">
        <v>0</v>
      </c>
      <c r="K9" s="2" t="s">
        <v>1</v>
      </c>
    </row>
    <row r="10" spans="1:11" x14ac:dyDescent="0.35">
      <c r="A10" s="2" t="s">
        <v>19</v>
      </c>
      <c r="B10" s="2">
        <v>627</v>
      </c>
      <c r="C10" s="2">
        <v>357</v>
      </c>
      <c r="D10" s="2">
        <v>0.63719512195121952</v>
      </c>
      <c r="E10" s="2">
        <v>3.0794260643292591E-18</v>
      </c>
      <c r="F10" s="2">
        <v>1</v>
      </c>
      <c r="G10" s="2">
        <v>6.1588521286585166E-18</v>
      </c>
      <c r="H10" s="2">
        <v>0</v>
      </c>
      <c r="I10" s="2">
        <v>1</v>
      </c>
      <c r="J10" s="2">
        <v>0</v>
      </c>
      <c r="K10" s="2" t="s">
        <v>1</v>
      </c>
    </row>
    <row r="11" spans="1:11" x14ac:dyDescent="0.35">
      <c r="A11" s="2" t="s">
        <v>20</v>
      </c>
      <c r="B11" s="2">
        <v>479</v>
      </c>
      <c r="C11" s="2">
        <v>505</v>
      </c>
      <c r="D11" s="2">
        <v>0.48678861788617889</v>
      </c>
      <c r="E11" s="2">
        <v>0.80530098914564607</v>
      </c>
      <c r="F11" s="2">
        <v>0.21274114780457171</v>
      </c>
      <c r="G11" s="2">
        <v>0.42548229560914352</v>
      </c>
      <c r="H11" s="2">
        <v>0.7964052771323199</v>
      </c>
      <c r="I11" s="2">
        <v>0.2035947228676801</v>
      </c>
      <c r="J11" s="2">
        <v>0.4071894457353602</v>
      </c>
      <c r="K11" s="2" t="s">
        <v>29</v>
      </c>
    </row>
    <row r="12" spans="1:11" x14ac:dyDescent="0.35">
      <c r="A12" s="2" t="s">
        <v>21</v>
      </c>
      <c r="B12" s="2">
        <v>732</v>
      </c>
      <c r="C12" s="2">
        <v>252</v>
      </c>
      <c r="D12" s="2">
        <v>0.74390243902439024</v>
      </c>
      <c r="E12" s="2">
        <v>3.6748513402275478E-55</v>
      </c>
      <c r="F12" s="2">
        <v>1</v>
      </c>
      <c r="G12" s="2">
        <v>7.3497026804550955E-55</v>
      </c>
      <c r="H12" s="2">
        <v>0</v>
      </c>
      <c r="I12" s="2">
        <v>1</v>
      </c>
      <c r="J12" s="2">
        <v>0</v>
      </c>
      <c r="K12" s="2" t="s">
        <v>1</v>
      </c>
    </row>
    <row r="13" spans="1:11" x14ac:dyDescent="0.35">
      <c r="A13" s="2" t="s">
        <v>22</v>
      </c>
      <c r="B13" s="2">
        <v>911</v>
      </c>
      <c r="C13" s="2">
        <v>73</v>
      </c>
      <c r="D13" s="2">
        <v>0.92581300813008127</v>
      </c>
      <c r="E13" s="2">
        <v>2.9615810909522833E-185</v>
      </c>
      <c r="F13" s="2">
        <v>1</v>
      </c>
      <c r="G13" s="2">
        <v>5.9231621819045666E-185</v>
      </c>
      <c r="H13" s="2">
        <v>0</v>
      </c>
      <c r="I13" s="2">
        <v>1</v>
      </c>
      <c r="J13" s="2">
        <v>0</v>
      </c>
      <c r="K13" s="2" t="s">
        <v>1</v>
      </c>
    </row>
    <row r="14" spans="1:11" x14ac:dyDescent="0.35">
      <c r="A14" s="2" t="s">
        <v>23</v>
      </c>
      <c r="B14" s="2">
        <v>906</v>
      </c>
      <c r="C14" s="2">
        <v>78</v>
      </c>
      <c r="D14" s="2">
        <v>0.92073170731707321</v>
      </c>
      <c r="E14" s="2">
        <v>7.3023648994880731E-180</v>
      </c>
      <c r="F14" s="2">
        <v>1</v>
      </c>
      <c r="G14" s="2">
        <v>1.460472979897615E-179</v>
      </c>
      <c r="H14" s="2">
        <v>0</v>
      </c>
      <c r="I14" s="2">
        <v>1</v>
      </c>
      <c r="J14" s="2">
        <v>0</v>
      </c>
      <c r="K14" s="2" t="s">
        <v>1</v>
      </c>
    </row>
    <row r="15" spans="1:11" x14ac:dyDescent="0.35">
      <c r="A15" s="2" t="s">
        <v>24</v>
      </c>
      <c r="B15" s="2">
        <v>901</v>
      </c>
      <c r="C15" s="2">
        <v>83</v>
      </c>
      <c r="D15" s="2">
        <v>0.91565040650406504</v>
      </c>
      <c r="E15" s="2">
        <v>1.27371932048623E-174</v>
      </c>
      <c r="F15" s="2">
        <v>1</v>
      </c>
      <c r="G15" s="2">
        <v>2.5474386409724608E-174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984</v>
      </c>
      <c r="C16" s="2">
        <v>0</v>
      </c>
      <c r="D16" s="2">
        <v>1</v>
      </c>
      <c r="E16" s="2">
        <v>6.1162364502226952E-297</v>
      </c>
      <c r="F16" s="2">
        <v>1</v>
      </c>
      <c r="G16" s="2">
        <v>1.223247290044539E-296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984</v>
      </c>
      <c r="C17" s="2">
        <v>0</v>
      </c>
      <c r="D17" s="2">
        <v>1</v>
      </c>
      <c r="E17" s="2">
        <v>6.1162364502226952E-297</v>
      </c>
      <c r="F17" s="2">
        <v>1</v>
      </c>
      <c r="G17" s="2">
        <v>1.223247290044539E-296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982</v>
      </c>
      <c r="C18" s="2">
        <v>2</v>
      </c>
      <c r="D18" s="2">
        <v>0.99796747967479671</v>
      </c>
      <c r="E18" s="2">
        <v>2.9640566247433731E-291</v>
      </c>
      <c r="F18" s="2">
        <v>1</v>
      </c>
      <c r="G18" s="2">
        <v>5.9281132494867463E-291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984</v>
      </c>
      <c r="C19" s="2">
        <v>0</v>
      </c>
      <c r="D19" s="2">
        <v>1</v>
      </c>
      <c r="E19" s="2">
        <v>6.1162364502226952E-297</v>
      </c>
      <c r="F19" s="2">
        <v>1</v>
      </c>
      <c r="G19" s="2">
        <v>1.223247290044539E-296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9"/>
  <sheetViews>
    <sheetView workbookViewId="0"/>
  </sheetViews>
  <sheetFormatPr defaultRowHeight="14.5" x14ac:dyDescent="0.35"/>
  <cols>
    <col min="1" max="1" width="13" customWidth="1"/>
    <col min="2" max="3" width="22" customWidth="1"/>
    <col min="4" max="4" width="36" customWidth="1"/>
    <col min="5" max="6" width="29" customWidth="1"/>
    <col min="7" max="7" width="30" customWidth="1"/>
    <col min="8" max="9" width="27" customWidth="1"/>
    <col min="10" max="10" width="28" customWidth="1"/>
    <col min="11" max="11" width="24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2">
        <v>1174</v>
      </c>
      <c r="C2" s="2">
        <v>459</v>
      </c>
      <c r="D2" s="2">
        <v>0.71892222902633185</v>
      </c>
      <c r="E2" s="2">
        <v>1.6529223188613301E-72</v>
      </c>
      <c r="F2" s="2">
        <v>1</v>
      </c>
      <c r="G2" s="2">
        <v>3.3058446377226612E-72</v>
      </c>
      <c r="H2" s="2">
        <v>0</v>
      </c>
      <c r="I2" s="2">
        <v>1</v>
      </c>
      <c r="J2" s="2">
        <v>0</v>
      </c>
      <c r="K2" s="2" t="s">
        <v>1</v>
      </c>
    </row>
    <row r="3" spans="1:11" x14ac:dyDescent="0.35">
      <c r="A3" s="2" t="s">
        <v>12</v>
      </c>
      <c r="B3" s="2">
        <v>666</v>
      </c>
      <c r="C3" s="2">
        <v>967</v>
      </c>
      <c r="D3" s="2">
        <v>0.40783833435394978</v>
      </c>
      <c r="E3" s="2">
        <v>0.99999999999996669</v>
      </c>
      <c r="F3" s="2">
        <v>4.8624237484994682E-14</v>
      </c>
      <c r="G3" s="2">
        <v>9.7248474969989351E-14</v>
      </c>
      <c r="H3" s="2">
        <v>0.99999999999995282</v>
      </c>
      <c r="I3" s="2">
        <v>4.7175616965351608E-14</v>
      </c>
      <c r="J3" s="2">
        <v>9.4368957093138306E-14</v>
      </c>
      <c r="K3" s="2" t="s">
        <v>2</v>
      </c>
    </row>
    <row r="4" spans="1:11" x14ac:dyDescent="0.35">
      <c r="A4" s="2" t="s">
        <v>13</v>
      </c>
      <c r="B4" s="2">
        <v>612</v>
      </c>
      <c r="C4" s="2">
        <v>1021</v>
      </c>
      <c r="D4" s="2">
        <v>0.37477036129822411</v>
      </c>
      <c r="E4" s="2">
        <v>1</v>
      </c>
      <c r="F4" s="2">
        <v>1.6632149456940519E-24</v>
      </c>
      <c r="G4" s="2">
        <v>3.3264298913881054E-24</v>
      </c>
      <c r="H4" s="2">
        <v>1</v>
      </c>
      <c r="I4" s="2">
        <v>2.2255828756059409E-24</v>
      </c>
      <c r="J4" s="2">
        <v>0</v>
      </c>
      <c r="K4" s="2" t="s">
        <v>2</v>
      </c>
    </row>
    <row r="5" spans="1:11" x14ac:dyDescent="0.35">
      <c r="A5" s="2" t="s">
        <v>14</v>
      </c>
      <c r="B5" s="2">
        <v>502</v>
      </c>
      <c r="C5" s="2">
        <v>1131</v>
      </c>
      <c r="D5" s="2">
        <v>0.30740967544396808</v>
      </c>
      <c r="E5" s="2">
        <v>1</v>
      </c>
      <c r="F5" s="2">
        <v>1.7171803494803709E-56</v>
      </c>
      <c r="G5" s="2">
        <v>3.4343606989607419E-56</v>
      </c>
      <c r="H5" s="2">
        <v>1</v>
      </c>
      <c r="I5" s="2">
        <v>6.2638655463945211E-55</v>
      </c>
      <c r="J5" s="2">
        <v>0</v>
      </c>
      <c r="K5" s="2" t="s">
        <v>2</v>
      </c>
    </row>
    <row r="6" spans="1:11" x14ac:dyDescent="0.35">
      <c r="A6" s="2" t="s">
        <v>15</v>
      </c>
      <c r="B6" s="2">
        <v>439</v>
      </c>
      <c r="C6" s="2">
        <v>1194</v>
      </c>
      <c r="D6" s="2">
        <v>0.26883037354562161</v>
      </c>
      <c r="E6" s="2">
        <v>1</v>
      </c>
      <c r="F6" s="2">
        <v>6.1001136515688869E-81</v>
      </c>
      <c r="G6" s="2">
        <v>1.220022730313777E-80</v>
      </c>
      <c r="H6" s="2">
        <v>1</v>
      </c>
      <c r="I6" s="2">
        <v>3.3843284313094139E-78</v>
      </c>
      <c r="J6" s="2">
        <v>0</v>
      </c>
      <c r="K6" s="2" t="s">
        <v>2</v>
      </c>
    </row>
    <row r="7" spans="1:11" x14ac:dyDescent="0.35">
      <c r="A7" s="2" t="s">
        <v>16</v>
      </c>
      <c r="B7" s="2">
        <v>511</v>
      </c>
      <c r="C7" s="2">
        <v>1122</v>
      </c>
      <c r="D7" s="2">
        <v>0.31292100428658909</v>
      </c>
      <c r="E7" s="2">
        <v>1</v>
      </c>
      <c r="F7" s="2">
        <v>5.2514967197364547E-53</v>
      </c>
      <c r="G7" s="2">
        <v>1.0502993439472909E-52</v>
      </c>
      <c r="H7" s="2">
        <v>1</v>
      </c>
      <c r="I7" s="2">
        <v>5.9887492935154951E-52</v>
      </c>
      <c r="J7" s="2">
        <v>0</v>
      </c>
      <c r="K7" s="2" t="s">
        <v>2</v>
      </c>
    </row>
    <row r="8" spans="1:11" x14ac:dyDescent="0.35">
      <c r="A8" s="2" t="s">
        <v>17</v>
      </c>
      <c r="B8" s="2">
        <v>104</v>
      </c>
      <c r="C8" s="2">
        <v>1529</v>
      </c>
      <c r="D8" s="2">
        <v>6.3686466625842014E-2</v>
      </c>
      <c r="E8" s="2">
        <v>1</v>
      </c>
      <c r="F8" s="2">
        <v>0</v>
      </c>
      <c r="G8" s="2">
        <v>0</v>
      </c>
      <c r="H8" s="2">
        <v>1</v>
      </c>
      <c r="I8" s="2">
        <v>1.076568944999984E-272</v>
      </c>
      <c r="J8" s="2">
        <v>0</v>
      </c>
      <c r="K8" s="2" t="s">
        <v>2</v>
      </c>
    </row>
    <row r="9" spans="1:11" x14ac:dyDescent="0.35">
      <c r="A9" s="2" t="s">
        <v>18</v>
      </c>
      <c r="B9" s="2">
        <v>169</v>
      </c>
      <c r="C9" s="2">
        <v>1464</v>
      </c>
      <c r="D9" s="2">
        <v>0.1034905082669933</v>
      </c>
      <c r="E9" s="2">
        <v>1</v>
      </c>
      <c r="F9" s="2">
        <v>8.37768328240384E-258</v>
      </c>
      <c r="G9" s="2">
        <v>1.675536656480768E-257</v>
      </c>
      <c r="H9" s="2">
        <v>1</v>
      </c>
      <c r="I9" s="2">
        <v>1.2395709101915819E-225</v>
      </c>
      <c r="J9" s="2">
        <v>0</v>
      </c>
      <c r="K9" s="2" t="s">
        <v>2</v>
      </c>
    </row>
    <row r="10" spans="1:11" x14ac:dyDescent="0.35">
      <c r="A10" s="2" t="s">
        <v>19</v>
      </c>
      <c r="B10" s="2">
        <v>207</v>
      </c>
      <c r="C10" s="2">
        <v>1426</v>
      </c>
      <c r="D10" s="2">
        <v>0.12676056338028169</v>
      </c>
      <c r="E10" s="2">
        <v>1</v>
      </c>
      <c r="F10" s="2">
        <v>3.839964698151187E-224</v>
      </c>
      <c r="G10" s="2">
        <v>7.679929396302374E-224</v>
      </c>
      <c r="H10" s="2">
        <v>1</v>
      </c>
      <c r="I10" s="2">
        <v>3.3582224258010629E-200</v>
      </c>
      <c r="J10" s="2">
        <v>0</v>
      </c>
      <c r="K10" s="2" t="s">
        <v>2</v>
      </c>
    </row>
    <row r="11" spans="1:11" x14ac:dyDescent="0.35">
      <c r="A11" s="2" t="s">
        <v>20</v>
      </c>
      <c r="B11" s="2">
        <v>183</v>
      </c>
      <c r="C11" s="2">
        <v>1450</v>
      </c>
      <c r="D11" s="2">
        <v>0.1120636864666258</v>
      </c>
      <c r="E11" s="2">
        <v>1</v>
      </c>
      <c r="F11" s="2">
        <v>5.8356576079966777E-245</v>
      </c>
      <c r="G11" s="2">
        <v>1.167131521599336E-244</v>
      </c>
      <c r="H11" s="2">
        <v>1</v>
      </c>
      <c r="I11" s="2">
        <v>4.3832807984660782E-216</v>
      </c>
      <c r="J11" s="2">
        <v>0</v>
      </c>
      <c r="K11" s="2" t="s">
        <v>2</v>
      </c>
    </row>
    <row r="12" spans="1:11" x14ac:dyDescent="0.35">
      <c r="A12" s="2" t="s">
        <v>21</v>
      </c>
      <c r="B12" s="2">
        <v>484</v>
      </c>
      <c r="C12" s="2">
        <v>1149</v>
      </c>
      <c r="D12" s="2">
        <v>0.29638701775872628</v>
      </c>
      <c r="E12" s="2">
        <v>1</v>
      </c>
      <c r="F12" s="2">
        <v>1.054100885799422E-62</v>
      </c>
      <c r="G12" s="2">
        <v>2.1082017715988449E-62</v>
      </c>
      <c r="H12" s="2">
        <v>1</v>
      </c>
      <c r="I12" s="2">
        <v>3.7877029334664702E-61</v>
      </c>
      <c r="J12" s="2">
        <v>0</v>
      </c>
      <c r="K12" s="2" t="s">
        <v>2</v>
      </c>
    </row>
    <row r="13" spans="1:11" x14ac:dyDescent="0.35">
      <c r="A13" s="2" t="s">
        <v>22</v>
      </c>
      <c r="B13" s="2">
        <v>976</v>
      </c>
      <c r="C13" s="2">
        <v>657</v>
      </c>
      <c r="D13" s="2">
        <v>0.59767299448867117</v>
      </c>
      <c r="E13" s="2">
        <v>1.4624497416904881E-15</v>
      </c>
      <c r="F13" s="2">
        <v>0.999999999999999</v>
      </c>
      <c r="G13" s="2">
        <v>2.924899483380975E-15</v>
      </c>
      <c r="H13" s="2">
        <v>1.4432899320127041E-15</v>
      </c>
      <c r="I13" s="2">
        <v>0.99999999999999856</v>
      </c>
      <c r="J13" s="2">
        <v>2.886579864025407E-15</v>
      </c>
      <c r="K13" s="2" t="s">
        <v>1</v>
      </c>
    </row>
    <row r="14" spans="1:11" x14ac:dyDescent="0.35">
      <c r="A14" s="2" t="s">
        <v>23</v>
      </c>
      <c r="B14" s="2">
        <v>745</v>
      </c>
      <c r="C14" s="2">
        <v>888</v>
      </c>
      <c r="D14" s="2">
        <v>0.45621555419473359</v>
      </c>
      <c r="E14" s="2">
        <v>0.9998184688162598</v>
      </c>
      <c r="F14" s="2">
        <v>2.1906055714975949E-4</v>
      </c>
      <c r="G14" s="2">
        <v>4.3812111429951899E-4</v>
      </c>
      <c r="H14" s="2">
        <v>0.99979894375553213</v>
      </c>
      <c r="I14" s="2">
        <v>2.0105624446782041E-4</v>
      </c>
      <c r="J14" s="2">
        <v>4.0211248893573531E-4</v>
      </c>
      <c r="K14" s="2" t="s">
        <v>2</v>
      </c>
    </row>
    <row r="15" spans="1:11" x14ac:dyDescent="0.35">
      <c r="A15" s="2" t="s">
        <v>24</v>
      </c>
      <c r="B15" s="2">
        <v>1043</v>
      </c>
      <c r="C15" s="2">
        <v>590</v>
      </c>
      <c r="D15" s="2">
        <v>0.63870177587262711</v>
      </c>
      <c r="E15" s="2">
        <v>1.0561768432081439E-29</v>
      </c>
      <c r="F15" s="2">
        <v>1</v>
      </c>
      <c r="G15" s="2">
        <v>2.1123536864162879E-29</v>
      </c>
      <c r="H15" s="2">
        <v>0</v>
      </c>
      <c r="I15" s="2">
        <v>1</v>
      </c>
      <c r="J15" s="2">
        <v>0</v>
      </c>
      <c r="K15" s="2" t="s">
        <v>1</v>
      </c>
    </row>
    <row r="16" spans="1:11" x14ac:dyDescent="0.35">
      <c r="A16" s="2" t="s">
        <v>25</v>
      </c>
      <c r="B16" s="2">
        <v>1628</v>
      </c>
      <c r="C16" s="2">
        <v>5</v>
      </c>
      <c r="D16" s="2">
        <v>0.99693815064298841</v>
      </c>
      <c r="E16" s="2">
        <v>0</v>
      </c>
      <c r="F16" s="2">
        <v>1</v>
      </c>
      <c r="G16" s="2">
        <v>0</v>
      </c>
      <c r="H16" s="2">
        <v>0</v>
      </c>
      <c r="I16" s="2">
        <v>1</v>
      </c>
      <c r="J16" s="2">
        <v>0</v>
      </c>
      <c r="K16" s="2" t="s">
        <v>1</v>
      </c>
    </row>
    <row r="17" spans="1:11" x14ac:dyDescent="0.35">
      <c r="A17" s="2" t="s">
        <v>26</v>
      </c>
      <c r="B17" s="2">
        <v>1632</v>
      </c>
      <c r="C17" s="2">
        <v>1</v>
      </c>
      <c r="D17" s="2">
        <v>0.99938763012859766</v>
      </c>
      <c r="E17" s="2">
        <v>0</v>
      </c>
      <c r="F17" s="2">
        <v>1</v>
      </c>
      <c r="G17" s="2">
        <v>0</v>
      </c>
      <c r="H17" s="2">
        <v>0</v>
      </c>
      <c r="I17" s="2">
        <v>1</v>
      </c>
      <c r="J17" s="2">
        <v>0</v>
      </c>
      <c r="K17" s="2" t="s">
        <v>1</v>
      </c>
    </row>
    <row r="18" spans="1:11" x14ac:dyDescent="0.35">
      <c r="A18" s="2" t="s">
        <v>27</v>
      </c>
      <c r="B18" s="2">
        <v>1633</v>
      </c>
      <c r="C18" s="2">
        <v>0</v>
      </c>
      <c r="D18" s="2">
        <v>1</v>
      </c>
      <c r="E18" s="2">
        <v>0</v>
      </c>
      <c r="F18" s="2">
        <v>1</v>
      </c>
      <c r="G18" s="2">
        <v>0</v>
      </c>
      <c r="H18" s="2">
        <v>0</v>
      </c>
      <c r="I18" s="2">
        <v>1</v>
      </c>
      <c r="J18" s="2">
        <v>0</v>
      </c>
      <c r="K18" s="2" t="s">
        <v>1</v>
      </c>
    </row>
    <row r="19" spans="1:11" x14ac:dyDescent="0.35">
      <c r="A19" s="2" t="s">
        <v>28</v>
      </c>
      <c r="B19" s="2">
        <v>1633</v>
      </c>
      <c r="C19" s="2">
        <v>0</v>
      </c>
      <c r="D19" s="2">
        <v>1</v>
      </c>
      <c r="E19" s="2">
        <v>0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  <c r="K19" s="2" t="s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28"/>
  <sheetViews>
    <sheetView workbookViewId="0">
      <pane ySplit="1" topLeftCell="A2" activePane="bottomLeft" state="frozen"/>
      <selection pane="bottomLeft" activeCell="A2" sqref="A2:A19"/>
    </sheetView>
  </sheetViews>
  <sheetFormatPr defaultRowHeight="14.5" x14ac:dyDescent="0.35"/>
  <cols>
    <col min="1" max="1" width="22.08984375" bestFit="1" customWidth="1"/>
    <col min="2" max="4" width="36" customWidth="1"/>
    <col min="5" max="7" width="35" customWidth="1"/>
    <col min="8" max="16" width="37" customWidth="1"/>
    <col min="20" max="20" width="10.453125" bestFit="1" customWidth="1"/>
    <col min="22" max="22" width="10.453125" bestFit="1" customWidth="1"/>
  </cols>
  <sheetData>
    <row r="1" spans="1:22" x14ac:dyDescent="0.3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22" x14ac:dyDescent="0.35">
      <c r="A2" s="5" t="s">
        <v>11</v>
      </c>
      <c r="B2" s="5" t="s">
        <v>1</v>
      </c>
      <c r="C2" s="5" t="s">
        <v>1</v>
      </c>
      <c r="D2" s="5" t="s">
        <v>1</v>
      </c>
      <c r="E2" s="5" t="s">
        <v>1</v>
      </c>
      <c r="F2" s="5" t="s">
        <v>1</v>
      </c>
      <c r="G2" s="5" t="s">
        <v>1</v>
      </c>
      <c r="H2" s="5" t="s">
        <v>1</v>
      </c>
      <c r="I2" s="5" t="s">
        <v>1</v>
      </c>
      <c r="J2" s="5" t="s">
        <v>29</v>
      </c>
      <c r="K2" s="5" t="s">
        <v>1</v>
      </c>
      <c r="L2" s="5" t="s">
        <v>1</v>
      </c>
      <c r="M2" s="5" t="s">
        <v>1</v>
      </c>
      <c r="N2" s="5" t="s">
        <v>1</v>
      </c>
      <c r="O2" s="5" t="s">
        <v>1</v>
      </c>
      <c r="P2" s="5" t="s">
        <v>1</v>
      </c>
      <c r="Q2" s="6" t="str">
        <f>VLOOKUP(A2,$T$2:$V$14,2,FALSE )</f>
        <v>Block1</v>
      </c>
      <c r="T2" t="s">
        <v>11</v>
      </c>
      <c r="U2" t="s">
        <v>109</v>
      </c>
      <c r="V2" t="s">
        <v>114</v>
      </c>
    </row>
    <row r="3" spans="1:22" x14ac:dyDescent="0.35">
      <c r="A3" s="5" t="s">
        <v>12</v>
      </c>
      <c r="B3" s="5" t="s">
        <v>1</v>
      </c>
      <c r="C3" s="5" t="s">
        <v>1</v>
      </c>
      <c r="D3" s="5" t="s">
        <v>2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2</v>
      </c>
      <c r="K3" s="5" t="s">
        <v>1</v>
      </c>
      <c r="L3" s="5" t="s">
        <v>1</v>
      </c>
      <c r="M3" s="5" t="s">
        <v>2</v>
      </c>
      <c r="N3" s="5" t="s">
        <v>1</v>
      </c>
      <c r="O3" s="5" t="s">
        <v>1</v>
      </c>
      <c r="P3" s="5" t="s">
        <v>2</v>
      </c>
      <c r="Q3" s="6" t="str">
        <f>VLOOKUP(A3,$T$2:$V$14,2,FALSE )</f>
        <v>Block1</v>
      </c>
      <c r="T3" t="s">
        <v>12</v>
      </c>
      <c r="U3" t="s">
        <v>109</v>
      </c>
      <c r="V3" t="s">
        <v>114</v>
      </c>
    </row>
    <row r="4" spans="1:22" x14ac:dyDescent="0.35">
      <c r="A4" s="5" t="s">
        <v>13</v>
      </c>
      <c r="B4" s="5" t="s">
        <v>1</v>
      </c>
      <c r="C4" s="5" t="s">
        <v>1</v>
      </c>
      <c r="D4" s="5" t="s">
        <v>2</v>
      </c>
      <c r="E4" s="5" t="s">
        <v>1</v>
      </c>
      <c r="F4" s="5" t="s">
        <v>1</v>
      </c>
      <c r="G4" s="5" t="s">
        <v>1</v>
      </c>
      <c r="H4" s="5" t="s">
        <v>1</v>
      </c>
      <c r="I4" s="5" t="s">
        <v>1</v>
      </c>
      <c r="J4" s="5" t="s">
        <v>2</v>
      </c>
      <c r="K4" s="5" t="s">
        <v>1</v>
      </c>
      <c r="L4" s="5" t="s">
        <v>1</v>
      </c>
      <c r="M4" s="5" t="s">
        <v>2</v>
      </c>
      <c r="N4" s="5" t="s">
        <v>1</v>
      </c>
      <c r="O4" s="5" t="s">
        <v>1</v>
      </c>
      <c r="P4" s="5" t="s">
        <v>2</v>
      </c>
      <c r="Q4" s="6" t="e">
        <f>VLOOKUP(A4,$T$2:$V$14,2,FALSE )</f>
        <v>#N/A</v>
      </c>
      <c r="T4" t="s">
        <v>14</v>
      </c>
      <c r="U4" t="s">
        <v>110</v>
      </c>
      <c r="V4" t="s">
        <v>114</v>
      </c>
    </row>
    <row r="5" spans="1:22" x14ac:dyDescent="0.35">
      <c r="A5" s="7" t="s">
        <v>14</v>
      </c>
      <c r="B5" s="7" t="s">
        <v>1</v>
      </c>
      <c r="C5" s="7" t="s">
        <v>1</v>
      </c>
      <c r="D5" s="7" t="s">
        <v>2</v>
      </c>
      <c r="E5" s="7" t="s">
        <v>1</v>
      </c>
      <c r="F5" s="7" t="s">
        <v>1</v>
      </c>
      <c r="G5" s="7" t="s">
        <v>1</v>
      </c>
      <c r="H5" s="7" t="s">
        <v>1</v>
      </c>
      <c r="I5" s="7" t="s">
        <v>1</v>
      </c>
      <c r="J5" s="7" t="s">
        <v>2</v>
      </c>
      <c r="K5" s="7" t="s">
        <v>1</v>
      </c>
      <c r="L5" s="7" t="s">
        <v>1</v>
      </c>
      <c r="M5" s="7" t="s">
        <v>2</v>
      </c>
      <c r="N5" s="7" t="s">
        <v>1</v>
      </c>
      <c r="O5" s="7" t="s">
        <v>1</v>
      </c>
      <c r="P5" s="7" t="s">
        <v>2</v>
      </c>
      <c r="Q5" s="8" t="str">
        <f t="shared" ref="Q5:Q14" si="0">VLOOKUP(A5,$T$2:$V$14,2,FALSE )</f>
        <v>Block2</v>
      </c>
      <c r="T5" t="s">
        <v>15</v>
      </c>
      <c r="U5" t="s">
        <v>110</v>
      </c>
      <c r="V5" t="s">
        <v>114</v>
      </c>
    </row>
    <row r="6" spans="1:22" x14ac:dyDescent="0.35">
      <c r="A6" s="7" t="s">
        <v>15</v>
      </c>
      <c r="B6" s="7" t="s">
        <v>1</v>
      </c>
      <c r="C6" s="7" t="s">
        <v>1</v>
      </c>
      <c r="D6" s="7" t="s">
        <v>2</v>
      </c>
      <c r="E6" s="7" t="s">
        <v>1</v>
      </c>
      <c r="F6" s="7" t="s">
        <v>1</v>
      </c>
      <c r="G6" s="7" t="s">
        <v>2</v>
      </c>
      <c r="H6" s="7" t="s">
        <v>1</v>
      </c>
      <c r="I6" s="7" t="s">
        <v>1</v>
      </c>
      <c r="J6" s="7" t="s">
        <v>2</v>
      </c>
      <c r="K6" s="7" t="s">
        <v>1</v>
      </c>
      <c r="L6" s="7" t="s">
        <v>1</v>
      </c>
      <c r="M6" s="7" t="s">
        <v>2</v>
      </c>
      <c r="N6" s="7" t="s">
        <v>1</v>
      </c>
      <c r="O6" s="7" t="s">
        <v>1</v>
      </c>
      <c r="P6" s="7" t="s">
        <v>2</v>
      </c>
      <c r="Q6" s="8" t="str">
        <f t="shared" si="0"/>
        <v>Block2</v>
      </c>
      <c r="T6" t="s">
        <v>17</v>
      </c>
      <c r="U6" t="s">
        <v>111</v>
      </c>
      <c r="V6" t="s">
        <v>114</v>
      </c>
    </row>
    <row r="7" spans="1:22" x14ac:dyDescent="0.35">
      <c r="A7" s="7" t="s">
        <v>16</v>
      </c>
      <c r="B7" s="7" t="s">
        <v>1</v>
      </c>
      <c r="C7" s="7" t="s">
        <v>1</v>
      </c>
      <c r="D7" s="7" t="s">
        <v>2</v>
      </c>
      <c r="E7" s="7" t="s">
        <v>1</v>
      </c>
      <c r="F7" s="7" t="s">
        <v>1</v>
      </c>
      <c r="G7" s="7" t="s">
        <v>2</v>
      </c>
      <c r="H7" s="7" t="s">
        <v>1</v>
      </c>
      <c r="I7" s="7" t="s">
        <v>1</v>
      </c>
      <c r="J7" s="7" t="s">
        <v>2</v>
      </c>
      <c r="K7" s="7" t="s">
        <v>1</v>
      </c>
      <c r="L7" s="7" t="s">
        <v>1</v>
      </c>
      <c r="M7" s="7" t="s">
        <v>2</v>
      </c>
      <c r="N7" s="7" t="s">
        <v>1</v>
      </c>
      <c r="O7" s="7" t="s">
        <v>1</v>
      </c>
      <c r="P7" s="7" t="s">
        <v>2</v>
      </c>
      <c r="Q7" s="8" t="e">
        <f t="shared" si="0"/>
        <v>#N/A</v>
      </c>
      <c r="T7" t="s">
        <v>18</v>
      </c>
      <c r="U7" t="s">
        <v>111</v>
      </c>
      <c r="V7" t="s">
        <v>114</v>
      </c>
    </row>
    <row r="8" spans="1:22" x14ac:dyDescent="0.35">
      <c r="A8" s="9" t="s">
        <v>17</v>
      </c>
      <c r="B8" s="9" t="s">
        <v>1</v>
      </c>
      <c r="C8" s="9" t="s">
        <v>1</v>
      </c>
      <c r="D8" s="9" t="s">
        <v>2</v>
      </c>
      <c r="E8" s="9" t="s">
        <v>1</v>
      </c>
      <c r="F8" s="9" t="s">
        <v>1</v>
      </c>
      <c r="G8" s="9" t="s">
        <v>2</v>
      </c>
      <c r="H8" s="9" t="s">
        <v>1</v>
      </c>
      <c r="I8" s="9" t="s">
        <v>1</v>
      </c>
      <c r="J8" s="9" t="s">
        <v>2</v>
      </c>
      <c r="K8" s="9" t="s">
        <v>1</v>
      </c>
      <c r="L8" s="9" t="s">
        <v>1</v>
      </c>
      <c r="M8" s="9" t="s">
        <v>2</v>
      </c>
      <c r="N8" s="9" t="s">
        <v>1</v>
      </c>
      <c r="O8" s="9" t="s">
        <v>1</v>
      </c>
      <c r="P8" s="9" t="s">
        <v>2</v>
      </c>
      <c r="Q8" s="10" t="str">
        <f t="shared" si="0"/>
        <v>Block3</v>
      </c>
      <c r="T8" t="s">
        <v>19</v>
      </c>
      <c r="U8" t="s">
        <v>111</v>
      </c>
      <c r="V8" t="s">
        <v>114</v>
      </c>
    </row>
    <row r="9" spans="1:22" x14ac:dyDescent="0.35">
      <c r="A9" s="9" t="s">
        <v>18</v>
      </c>
      <c r="B9" s="9" t="s">
        <v>1</v>
      </c>
      <c r="C9" s="9" t="s">
        <v>1</v>
      </c>
      <c r="D9" s="9" t="s">
        <v>2</v>
      </c>
      <c r="E9" s="9" t="s">
        <v>1</v>
      </c>
      <c r="F9" s="9" t="s">
        <v>1</v>
      </c>
      <c r="G9" s="9" t="s">
        <v>2</v>
      </c>
      <c r="H9" s="9" t="s">
        <v>1</v>
      </c>
      <c r="I9" s="9" t="s">
        <v>1</v>
      </c>
      <c r="J9" s="9" t="s">
        <v>2</v>
      </c>
      <c r="K9" s="9" t="s">
        <v>1</v>
      </c>
      <c r="L9" s="9" t="s">
        <v>1</v>
      </c>
      <c r="M9" s="9" t="s">
        <v>2</v>
      </c>
      <c r="N9" s="9" t="s">
        <v>1</v>
      </c>
      <c r="O9" s="9" t="s">
        <v>1</v>
      </c>
      <c r="P9" s="9" t="s">
        <v>2</v>
      </c>
      <c r="Q9" s="10" t="str">
        <f t="shared" si="0"/>
        <v>Block3</v>
      </c>
      <c r="T9" t="s">
        <v>21</v>
      </c>
      <c r="U9" t="s">
        <v>112</v>
      </c>
      <c r="V9" t="s">
        <v>114</v>
      </c>
    </row>
    <row r="10" spans="1:22" x14ac:dyDescent="0.35">
      <c r="A10" s="9" t="s">
        <v>19</v>
      </c>
      <c r="B10" s="9" t="s">
        <v>1</v>
      </c>
      <c r="C10" s="9" t="s">
        <v>1</v>
      </c>
      <c r="D10" s="9" t="s">
        <v>2</v>
      </c>
      <c r="E10" s="9" t="s">
        <v>1</v>
      </c>
      <c r="F10" s="9" t="s">
        <v>1</v>
      </c>
      <c r="G10" s="9" t="s">
        <v>1</v>
      </c>
      <c r="H10" s="9" t="s">
        <v>1</v>
      </c>
      <c r="I10" s="9" t="s">
        <v>1</v>
      </c>
      <c r="J10" s="9" t="s">
        <v>2</v>
      </c>
      <c r="K10" s="9" t="s">
        <v>1</v>
      </c>
      <c r="L10" s="9" t="s">
        <v>1</v>
      </c>
      <c r="M10" s="9" t="s">
        <v>2</v>
      </c>
      <c r="N10" s="9" t="s">
        <v>1</v>
      </c>
      <c r="O10" s="9" t="s">
        <v>1</v>
      </c>
      <c r="P10" s="9" t="s">
        <v>2</v>
      </c>
      <c r="Q10" s="10" t="str">
        <f t="shared" si="0"/>
        <v>Block3</v>
      </c>
      <c r="T10" t="s">
        <v>22</v>
      </c>
      <c r="U10" t="s">
        <v>112</v>
      </c>
      <c r="V10" t="s">
        <v>114</v>
      </c>
    </row>
    <row r="11" spans="1:22" x14ac:dyDescent="0.35">
      <c r="A11" s="9" t="s">
        <v>20</v>
      </c>
      <c r="B11" s="9" t="s">
        <v>1</v>
      </c>
      <c r="C11" s="9" t="s">
        <v>1</v>
      </c>
      <c r="D11" s="9" t="s">
        <v>2</v>
      </c>
      <c r="E11" s="9" t="s">
        <v>1</v>
      </c>
      <c r="F11" s="9" t="s">
        <v>1</v>
      </c>
      <c r="G11" s="9" t="s">
        <v>1</v>
      </c>
      <c r="H11" s="9" t="s">
        <v>1</v>
      </c>
      <c r="I11" s="9" t="s">
        <v>1</v>
      </c>
      <c r="J11" s="9" t="s">
        <v>2</v>
      </c>
      <c r="K11" s="9" t="s">
        <v>1</v>
      </c>
      <c r="L11" s="9" t="s">
        <v>1</v>
      </c>
      <c r="M11" s="9" t="s">
        <v>2</v>
      </c>
      <c r="N11" s="9" t="s">
        <v>1</v>
      </c>
      <c r="O11" s="9" t="s">
        <v>29</v>
      </c>
      <c r="P11" s="9" t="s">
        <v>2</v>
      </c>
      <c r="Q11" s="10" t="e">
        <f t="shared" si="0"/>
        <v>#N/A</v>
      </c>
      <c r="T11" t="s">
        <v>23</v>
      </c>
      <c r="U11" t="s">
        <v>112</v>
      </c>
      <c r="V11" t="s">
        <v>114</v>
      </c>
    </row>
    <row r="12" spans="1:22" x14ac:dyDescent="0.35">
      <c r="A12" s="11" t="s">
        <v>21</v>
      </c>
      <c r="B12" s="11" t="s">
        <v>1</v>
      </c>
      <c r="C12" s="11" t="s">
        <v>1</v>
      </c>
      <c r="D12" s="11" t="s">
        <v>2</v>
      </c>
      <c r="E12" s="11" t="s">
        <v>1</v>
      </c>
      <c r="F12" s="11" t="s">
        <v>1</v>
      </c>
      <c r="G12" s="11" t="s">
        <v>29</v>
      </c>
      <c r="H12" s="11" t="s">
        <v>1</v>
      </c>
      <c r="I12" s="11" t="s">
        <v>1</v>
      </c>
      <c r="J12" s="11" t="s">
        <v>2</v>
      </c>
      <c r="K12" s="11" t="s">
        <v>1</v>
      </c>
      <c r="L12" s="11" t="s">
        <v>1</v>
      </c>
      <c r="M12" s="11" t="s">
        <v>1</v>
      </c>
      <c r="N12" s="11" t="s">
        <v>1</v>
      </c>
      <c r="O12" s="11" t="s">
        <v>1</v>
      </c>
      <c r="P12" s="11" t="s">
        <v>2</v>
      </c>
      <c r="Q12" s="12" t="str">
        <f t="shared" si="0"/>
        <v>Block4</v>
      </c>
      <c r="T12" t="s">
        <v>25</v>
      </c>
      <c r="U12" t="s">
        <v>113</v>
      </c>
      <c r="V12" t="s">
        <v>114</v>
      </c>
    </row>
    <row r="13" spans="1:22" x14ac:dyDescent="0.35">
      <c r="A13" s="11" t="s">
        <v>22</v>
      </c>
      <c r="B13" s="11" t="s">
        <v>1</v>
      </c>
      <c r="C13" s="11" t="s">
        <v>1</v>
      </c>
      <c r="D13" s="11" t="s">
        <v>1</v>
      </c>
      <c r="E13" s="11" t="s">
        <v>1</v>
      </c>
      <c r="F13" s="11" t="s">
        <v>1</v>
      </c>
      <c r="G13" s="11" t="s">
        <v>1</v>
      </c>
      <c r="H13" s="11" t="s">
        <v>1</v>
      </c>
      <c r="I13" s="11" t="s">
        <v>1</v>
      </c>
      <c r="J13" s="11" t="s">
        <v>1</v>
      </c>
      <c r="K13" s="11" t="s">
        <v>1</v>
      </c>
      <c r="L13" s="11" t="s">
        <v>1</v>
      </c>
      <c r="M13" s="11" t="s">
        <v>1</v>
      </c>
      <c r="N13" s="11" t="s">
        <v>1</v>
      </c>
      <c r="O13" s="11" t="s">
        <v>1</v>
      </c>
      <c r="P13" s="11" t="s">
        <v>1</v>
      </c>
      <c r="Q13" s="12" t="str">
        <f t="shared" si="0"/>
        <v>Block4</v>
      </c>
      <c r="T13" t="s">
        <v>26</v>
      </c>
      <c r="U13" t="s">
        <v>113</v>
      </c>
      <c r="V13" t="s">
        <v>114</v>
      </c>
    </row>
    <row r="14" spans="1:22" x14ac:dyDescent="0.35">
      <c r="A14" s="11" t="s">
        <v>23</v>
      </c>
      <c r="B14" s="11" t="s">
        <v>1</v>
      </c>
      <c r="C14" s="11" t="s">
        <v>1</v>
      </c>
      <c r="D14" s="11" t="s">
        <v>1</v>
      </c>
      <c r="E14" s="11" t="s">
        <v>1</v>
      </c>
      <c r="F14" s="11" t="s">
        <v>1</v>
      </c>
      <c r="G14" s="11" t="s">
        <v>1</v>
      </c>
      <c r="H14" s="11" t="s">
        <v>1</v>
      </c>
      <c r="I14" s="11" t="s">
        <v>1</v>
      </c>
      <c r="J14" s="11" t="s">
        <v>1</v>
      </c>
      <c r="K14" s="11" t="s">
        <v>1</v>
      </c>
      <c r="L14" s="11" t="s">
        <v>1</v>
      </c>
      <c r="M14" s="11" t="s">
        <v>1</v>
      </c>
      <c r="N14" s="11" t="s">
        <v>1</v>
      </c>
      <c r="O14" s="11" t="s">
        <v>1</v>
      </c>
      <c r="P14" s="11" t="s">
        <v>2</v>
      </c>
      <c r="Q14" s="12" t="str">
        <f t="shared" si="0"/>
        <v>Block4</v>
      </c>
      <c r="T14" t="s">
        <v>27</v>
      </c>
      <c r="U14" t="s">
        <v>113</v>
      </c>
      <c r="V14" t="s">
        <v>114</v>
      </c>
    </row>
    <row r="15" spans="1:22" x14ac:dyDescent="0.35">
      <c r="A15" s="9" t="s">
        <v>24</v>
      </c>
      <c r="B15" s="9" t="s">
        <v>1</v>
      </c>
      <c r="C15" s="9" t="s">
        <v>1</v>
      </c>
      <c r="D15" s="9" t="s">
        <v>1</v>
      </c>
      <c r="E15" s="9" t="s">
        <v>1</v>
      </c>
      <c r="F15" s="9" t="s">
        <v>1</v>
      </c>
      <c r="G15" s="9" t="s">
        <v>1</v>
      </c>
      <c r="H15" s="9" t="s">
        <v>1</v>
      </c>
      <c r="I15" s="9" t="s">
        <v>1</v>
      </c>
      <c r="J15" s="9" t="s">
        <v>2</v>
      </c>
      <c r="K15" s="9" t="s">
        <v>1</v>
      </c>
      <c r="L15" s="9" t="s">
        <v>1</v>
      </c>
      <c r="M15" s="9" t="s">
        <v>1</v>
      </c>
      <c r="N15" s="9" t="s">
        <v>1</v>
      </c>
      <c r="O15" s="9" t="s">
        <v>1</v>
      </c>
      <c r="P15" s="9" t="s">
        <v>1</v>
      </c>
      <c r="Q15" s="10"/>
    </row>
    <row r="16" spans="1:22" x14ac:dyDescent="0.35">
      <c r="A16" s="9" t="s">
        <v>25</v>
      </c>
      <c r="B16" s="9" t="s">
        <v>1</v>
      </c>
      <c r="C16" s="9" t="s">
        <v>1</v>
      </c>
      <c r="D16" s="9" t="s">
        <v>1</v>
      </c>
      <c r="E16" s="9" t="s">
        <v>1</v>
      </c>
      <c r="F16" s="9" t="s">
        <v>1</v>
      </c>
      <c r="G16" s="9" t="s">
        <v>1</v>
      </c>
      <c r="H16" s="9" t="s">
        <v>1</v>
      </c>
      <c r="I16" s="9" t="s">
        <v>1</v>
      </c>
      <c r="J16" s="9" t="s">
        <v>1</v>
      </c>
      <c r="K16" s="9" t="s">
        <v>1</v>
      </c>
      <c r="L16" s="9" t="s">
        <v>1</v>
      </c>
      <c r="M16" s="9" t="s">
        <v>1</v>
      </c>
      <c r="N16" s="9" t="s">
        <v>1</v>
      </c>
      <c r="O16" s="9" t="s">
        <v>1</v>
      </c>
      <c r="P16" s="9" t="s">
        <v>1</v>
      </c>
      <c r="Q16" s="10"/>
    </row>
    <row r="17" spans="1:17" x14ac:dyDescent="0.35">
      <c r="A17" s="9" t="s">
        <v>26</v>
      </c>
      <c r="B17" s="9" t="s">
        <v>1</v>
      </c>
      <c r="C17" s="9" t="s">
        <v>1</v>
      </c>
      <c r="D17" s="9" t="s">
        <v>1</v>
      </c>
      <c r="E17" s="9" t="s">
        <v>1</v>
      </c>
      <c r="F17" s="9" t="s">
        <v>1</v>
      </c>
      <c r="G17" s="9" t="s">
        <v>1</v>
      </c>
      <c r="H17" s="9" t="s">
        <v>1</v>
      </c>
      <c r="I17" s="9" t="s">
        <v>1</v>
      </c>
      <c r="J17" s="9" t="s">
        <v>1</v>
      </c>
      <c r="K17" s="9" t="s">
        <v>1</v>
      </c>
      <c r="L17" s="9" t="s">
        <v>1</v>
      </c>
      <c r="M17" s="9" t="s">
        <v>1</v>
      </c>
      <c r="N17" s="9" t="s">
        <v>1</v>
      </c>
      <c r="O17" s="9" t="s">
        <v>1</v>
      </c>
      <c r="P17" s="9" t="s">
        <v>1</v>
      </c>
      <c r="Q17" s="10"/>
    </row>
    <row r="18" spans="1:17" x14ac:dyDescent="0.35">
      <c r="A18" s="9" t="s">
        <v>27</v>
      </c>
      <c r="B18" s="9" t="s">
        <v>1</v>
      </c>
      <c r="C18" s="9" t="s">
        <v>1</v>
      </c>
      <c r="D18" s="9" t="s">
        <v>1</v>
      </c>
      <c r="E18" s="9" t="s">
        <v>1</v>
      </c>
      <c r="F18" s="9" t="s">
        <v>1</v>
      </c>
      <c r="G18" s="9" t="s">
        <v>1</v>
      </c>
      <c r="H18" s="9" t="s">
        <v>1</v>
      </c>
      <c r="I18" s="9" t="s">
        <v>1</v>
      </c>
      <c r="J18" s="9" t="s">
        <v>1</v>
      </c>
      <c r="K18" s="9" t="s">
        <v>1</v>
      </c>
      <c r="L18" s="9" t="s">
        <v>1</v>
      </c>
      <c r="M18" s="9" t="s">
        <v>1</v>
      </c>
      <c r="N18" s="9" t="s">
        <v>1</v>
      </c>
      <c r="O18" s="9" t="s">
        <v>1</v>
      </c>
      <c r="P18" s="9" t="s">
        <v>1</v>
      </c>
      <c r="Q18" s="10"/>
    </row>
    <row r="19" spans="1:17" x14ac:dyDescent="0.35">
      <c r="A19" s="9" t="s">
        <v>28</v>
      </c>
      <c r="B19" s="9" t="s">
        <v>1</v>
      </c>
      <c r="C19" s="9" t="s">
        <v>1</v>
      </c>
      <c r="D19" s="9" t="s">
        <v>1</v>
      </c>
      <c r="E19" s="9" t="s">
        <v>1</v>
      </c>
      <c r="F19" s="9" t="s">
        <v>1</v>
      </c>
      <c r="G19" s="9" t="s">
        <v>1</v>
      </c>
      <c r="H19" s="9" t="s">
        <v>1</v>
      </c>
      <c r="I19" s="9" t="s">
        <v>1</v>
      </c>
      <c r="J19" s="9" t="s">
        <v>1</v>
      </c>
      <c r="K19" s="9" t="s">
        <v>1</v>
      </c>
      <c r="L19" s="9" t="s">
        <v>1</v>
      </c>
      <c r="M19" s="9" t="s">
        <v>1</v>
      </c>
      <c r="N19" s="9" t="s">
        <v>1</v>
      </c>
      <c r="O19" s="9" t="s">
        <v>1</v>
      </c>
      <c r="P19" s="9" t="s">
        <v>1</v>
      </c>
      <c r="Q19" s="10"/>
    </row>
    <row r="22" spans="1:17" x14ac:dyDescent="0.35">
      <c r="A22" s="3" t="s">
        <v>1</v>
      </c>
      <c r="B22" s="4">
        <f>COUNTIF(B$1:B$19,$A22)</f>
        <v>18</v>
      </c>
      <c r="C22" s="4">
        <f t="shared" ref="C22:P22" si="1">COUNTIF(C$1:C$19,$A22)</f>
        <v>18</v>
      </c>
      <c r="D22" s="4">
        <f t="shared" si="1"/>
        <v>8</v>
      </c>
      <c r="E22" s="4">
        <f t="shared" si="1"/>
        <v>18</v>
      </c>
      <c r="F22" s="4">
        <f t="shared" si="1"/>
        <v>18</v>
      </c>
      <c r="G22" s="4">
        <f t="shared" si="1"/>
        <v>13</v>
      </c>
      <c r="H22" s="4">
        <f t="shared" si="1"/>
        <v>18</v>
      </c>
      <c r="I22" s="4">
        <f t="shared" si="1"/>
        <v>18</v>
      </c>
      <c r="J22" s="4">
        <f t="shared" si="1"/>
        <v>6</v>
      </c>
      <c r="K22" s="4">
        <f t="shared" si="1"/>
        <v>18</v>
      </c>
      <c r="L22" s="4">
        <f t="shared" si="1"/>
        <v>18</v>
      </c>
      <c r="M22" s="4">
        <f t="shared" si="1"/>
        <v>9</v>
      </c>
      <c r="N22" s="4">
        <f t="shared" si="1"/>
        <v>18</v>
      </c>
      <c r="O22" s="4">
        <f t="shared" si="1"/>
        <v>17</v>
      </c>
      <c r="P22" s="4">
        <f t="shared" si="1"/>
        <v>7</v>
      </c>
    </row>
    <row r="23" spans="1:17" x14ac:dyDescent="0.35">
      <c r="A23" s="3" t="s">
        <v>2</v>
      </c>
      <c r="B23" s="4">
        <f t="shared" ref="B23:P24" si="2">COUNTIF(B$1:B$19,$A23)</f>
        <v>0</v>
      </c>
      <c r="C23" s="4">
        <f t="shared" si="2"/>
        <v>0</v>
      </c>
      <c r="D23" s="4">
        <f t="shared" si="2"/>
        <v>10</v>
      </c>
      <c r="E23" s="4">
        <f t="shared" si="2"/>
        <v>0</v>
      </c>
      <c r="F23" s="4">
        <f t="shared" si="2"/>
        <v>0</v>
      </c>
      <c r="G23" s="4">
        <f t="shared" si="2"/>
        <v>4</v>
      </c>
      <c r="H23" s="4">
        <f t="shared" si="2"/>
        <v>0</v>
      </c>
      <c r="I23" s="4">
        <f t="shared" si="2"/>
        <v>0</v>
      </c>
      <c r="J23" s="4">
        <f t="shared" si="2"/>
        <v>11</v>
      </c>
      <c r="K23" s="4">
        <f t="shared" si="2"/>
        <v>0</v>
      </c>
      <c r="L23" s="4">
        <f t="shared" si="2"/>
        <v>0</v>
      </c>
      <c r="M23" s="4">
        <f t="shared" si="2"/>
        <v>9</v>
      </c>
      <c r="N23" s="4">
        <f t="shared" si="2"/>
        <v>0</v>
      </c>
      <c r="O23" s="4">
        <f t="shared" si="2"/>
        <v>0</v>
      </c>
      <c r="P23" s="4">
        <f t="shared" si="2"/>
        <v>11</v>
      </c>
    </row>
    <row r="24" spans="1:17" x14ac:dyDescent="0.35">
      <c r="A24" s="3" t="s">
        <v>29</v>
      </c>
      <c r="B24" s="4">
        <f t="shared" si="2"/>
        <v>0</v>
      </c>
      <c r="C24" s="4">
        <f t="shared" si="2"/>
        <v>0</v>
      </c>
      <c r="D24" s="4">
        <f t="shared" si="2"/>
        <v>0</v>
      </c>
      <c r="E24" s="4">
        <f t="shared" si="2"/>
        <v>0</v>
      </c>
      <c r="F24" s="4">
        <f t="shared" si="2"/>
        <v>0</v>
      </c>
      <c r="G24" s="4">
        <f t="shared" si="2"/>
        <v>1</v>
      </c>
      <c r="H24" s="4">
        <f t="shared" si="2"/>
        <v>0</v>
      </c>
      <c r="I24" s="4">
        <f t="shared" si="2"/>
        <v>0</v>
      </c>
      <c r="J24" s="4">
        <f t="shared" si="2"/>
        <v>1</v>
      </c>
      <c r="K24" s="4">
        <f t="shared" si="2"/>
        <v>0</v>
      </c>
      <c r="L24" s="4">
        <f t="shared" si="2"/>
        <v>0</v>
      </c>
      <c r="M24" s="4">
        <f t="shared" si="2"/>
        <v>0</v>
      </c>
      <c r="N24" s="4">
        <f t="shared" si="2"/>
        <v>0</v>
      </c>
      <c r="O24" s="4">
        <f t="shared" si="2"/>
        <v>1</v>
      </c>
      <c r="P24" s="4">
        <f t="shared" si="2"/>
        <v>0</v>
      </c>
    </row>
    <row r="25" spans="1:17" x14ac:dyDescent="0.35">
      <c r="A25" s="3" t="s">
        <v>105</v>
      </c>
      <c r="B25" s="4">
        <f>SUM(B22:B24)</f>
        <v>18</v>
      </c>
      <c r="C25" s="4">
        <f t="shared" ref="C25:P25" si="3">SUM(C22:C24)</f>
        <v>18</v>
      </c>
      <c r="D25" s="4">
        <f t="shared" si="3"/>
        <v>18</v>
      </c>
      <c r="E25" s="4">
        <f t="shared" si="3"/>
        <v>18</v>
      </c>
      <c r="F25" s="4">
        <f t="shared" si="3"/>
        <v>18</v>
      </c>
      <c r="G25" s="4">
        <f t="shared" si="3"/>
        <v>18</v>
      </c>
      <c r="H25" s="4">
        <f t="shared" si="3"/>
        <v>18</v>
      </c>
      <c r="I25" s="4">
        <f t="shared" si="3"/>
        <v>18</v>
      </c>
      <c r="J25" s="4">
        <f t="shared" si="3"/>
        <v>18</v>
      </c>
      <c r="K25" s="4">
        <f t="shared" si="3"/>
        <v>18</v>
      </c>
      <c r="L25" s="4">
        <f t="shared" si="3"/>
        <v>18</v>
      </c>
      <c r="M25" s="4">
        <f t="shared" si="3"/>
        <v>18</v>
      </c>
      <c r="N25" s="4">
        <f t="shared" si="3"/>
        <v>18</v>
      </c>
      <c r="O25" s="4">
        <f t="shared" si="3"/>
        <v>18</v>
      </c>
      <c r="P25" s="4">
        <f t="shared" si="3"/>
        <v>18</v>
      </c>
    </row>
    <row r="26" spans="1:17" x14ac:dyDescent="0.35">
      <c r="A26" s="3" t="s">
        <v>106</v>
      </c>
      <c r="B26" s="4">
        <f>ROWS(B2:B19)</f>
        <v>18</v>
      </c>
      <c r="C26" s="4">
        <f t="shared" ref="C26:P26" si="4">ROWS(C2:C19)</f>
        <v>18</v>
      </c>
      <c r="D26" s="4">
        <f t="shared" si="4"/>
        <v>18</v>
      </c>
      <c r="E26" s="4">
        <f t="shared" si="4"/>
        <v>18</v>
      </c>
      <c r="F26" s="4">
        <f t="shared" si="4"/>
        <v>18</v>
      </c>
      <c r="G26" s="4">
        <f t="shared" si="4"/>
        <v>18</v>
      </c>
      <c r="H26" s="4">
        <f t="shared" si="4"/>
        <v>18</v>
      </c>
      <c r="I26" s="4">
        <f t="shared" si="4"/>
        <v>18</v>
      </c>
      <c r="J26" s="4">
        <f t="shared" si="4"/>
        <v>18</v>
      </c>
      <c r="K26" s="4">
        <f t="shared" si="4"/>
        <v>18</v>
      </c>
      <c r="L26" s="4">
        <f t="shared" si="4"/>
        <v>18</v>
      </c>
      <c r="M26" s="4">
        <f t="shared" si="4"/>
        <v>18</v>
      </c>
      <c r="N26" s="4">
        <f t="shared" si="4"/>
        <v>18</v>
      </c>
      <c r="O26" s="4">
        <f t="shared" si="4"/>
        <v>18</v>
      </c>
      <c r="P26" s="4">
        <f t="shared" si="4"/>
        <v>18</v>
      </c>
    </row>
    <row r="27" spans="1:17" x14ac:dyDescent="0.35">
      <c r="A27" s="3" t="s">
        <v>107</v>
      </c>
      <c r="B27" s="4">
        <f>B22/SUM(B22:B23)*100</f>
        <v>100</v>
      </c>
      <c r="C27" s="4">
        <f t="shared" ref="C27:P27" si="5">C22/SUM(C22:C23)*100</f>
        <v>100</v>
      </c>
      <c r="D27" s="4">
        <f t="shared" si="5"/>
        <v>44.444444444444443</v>
      </c>
      <c r="E27" s="4">
        <f t="shared" si="5"/>
        <v>100</v>
      </c>
      <c r="F27" s="4">
        <f t="shared" si="5"/>
        <v>100</v>
      </c>
      <c r="G27" s="4">
        <f t="shared" si="5"/>
        <v>76.470588235294116</v>
      </c>
      <c r="H27" s="4">
        <f t="shared" si="5"/>
        <v>100</v>
      </c>
      <c r="I27" s="4">
        <f t="shared" si="5"/>
        <v>100</v>
      </c>
      <c r="J27" s="4">
        <f t="shared" si="5"/>
        <v>35.294117647058826</v>
      </c>
      <c r="K27" s="4">
        <f t="shared" si="5"/>
        <v>100</v>
      </c>
      <c r="L27" s="4">
        <f t="shared" si="5"/>
        <v>100</v>
      </c>
      <c r="M27" s="4">
        <f t="shared" si="5"/>
        <v>50</v>
      </c>
      <c r="N27" s="4">
        <f t="shared" si="5"/>
        <v>100</v>
      </c>
      <c r="O27" s="4">
        <f t="shared" si="5"/>
        <v>100</v>
      </c>
      <c r="P27" s="4">
        <f t="shared" si="5"/>
        <v>38.888888888888893</v>
      </c>
    </row>
    <row r="28" spans="1:17" x14ac:dyDescent="0.35">
      <c r="A28" s="3" t="s">
        <v>108</v>
      </c>
      <c r="B28" s="4">
        <f>(B22-B23)/B26</f>
        <v>1</v>
      </c>
      <c r="C28" s="4">
        <f t="shared" ref="C28:P28" si="6">(C22-C23)/C26</f>
        <v>1</v>
      </c>
      <c r="D28" s="4">
        <f t="shared" si="6"/>
        <v>-0.1111111111111111</v>
      </c>
      <c r="E28" s="4">
        <f t="shared" si="6"/>
        <v>1</v>
      </c>
      <c r="F28" s="4">
        <f t="shared" si="6"/>
        <v>1</v>
      </c>
      <c r="G28" s="4">
        <f t="shared" si="6"/>
        <v>0.5</v>
      </c>
      <c r="H28" s="4">
        <f t="shared" si="6"/>
        <v>1</v>
      </c>
      <c r="I28" s="4">
        <f t="shared" si="6"/>
        <v>1</v>
      </c>
      <c r="J28" s="4">
        <f t="shared" si="6"/>
        <v>-0.27777777777777779</v>
      </c>
      <c r="K28" s="4">
        <f t="shared" si="6"/>
        <v>1</v>
      </c>
      <c r="L28" s="4">
        <f t="shared" si="6"/>
        <v>1</v>
      </c>
      <c r="M28" s="4">
        <f t="shared" si="6"/>
        <v>0</v>
      </c>
      <c r="N28" s="4">
        <f t="shared" si="6"/>
        <v>1</v>
      </c>
      <c r="O28" s="4">
        <f t="shared" si="6"/>
        <v>0.94444444444444442</v>
      </c>
      <c r="P28" s="4">
        <f t="shared" si="6"/>
        <v>-0.22222222222222221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I19"/>
  <sheetViews>
    <sheetView tabSelected="1" workbookViewId="0">
      <selection activeCell="N2" sqref="N2"/>
    </sheetView>
  </sheetViews>
  <sheetFormatPr defaultRowHeight="14.5" x14ac:dyDescent="0.35"/>
  <cols>
    <col min="1" max="1" width="13" customWidth="1"/>
    <col min="2" max="3" width="41" hidden="1" customWidth="1"/>
    <col min="4" max="5" width="39" hidden="1" customWidth="1"/>
    <col min="6" max="7" width="41" hidden="1" customWidth="1"/>
    <col min="8" max="9" width="39" hidden="1" customWidth="1"/>
    <col min="10" max="11" width="41" hidden="1" customWidth="1"/>
    <col min="12" max="13" width="39" hidden="1" customWidth="1"/>
    <col min="14" max="14" width="40" customWidth="1"/>
    <col min="15" max="15" width="40" hidden="1" customWidth="1"/>
    <col min="16" max="17" width="38" hidden="1" customWidth="1"/>
    <col min="18" max="18" width="40" customWidth="1"/>
    <col min="19" max="19" width="40" hidden="1" customWidth="1"/>
    <col min="20" max="21" width="38" hidden="1" customWidth="1"/>
    <col min="22" max="22" width="40" customWidth="1"/>
    <col min="23" max="23" width="40" hidden="1" customWidth="1"/>
    <col min="24" max="25" width="38" hidden="1" customWidth="1"/>
    <col min="26" max="26" width="42" customWidth="1"/>
    <col min="27" max="27" width="42" hidden="1" customWidth="1"/>
    <col min="28" max="29" width="40" hidden="1" customWidth="1"/>
    <col min="30" max="30" width="42" customWidth="1"/>
    <col min="31" max="31" width="42" hidden="1" customWidth="1"/>
    <col min="32" max="33" width="40" hidden="1" customWidth="1"/>
    <col min="34" max="34" width="42" customWidth="1"/>
    <col min="35" max="35" width="42" hidden="1" customWidth="1"/>
    <col min="36" max="37" width="40" hidden="1" customWidth="1"/>
    <col min="38" max="38" width="42" customWidth="1"/>
    <col min="39" max="39" width="42" hidden="1" customWidth="1"/>
    <col min="40" max="41" width="40" hidden="1" customWidth="1"/>
    <col min="42" max="42" width="42" customWidth="1"/>
    <col min="43" max="43" width="42" hidden="1" customWidth="1"/>
    <col min="44" max="45" width="40" hidden="1" customWidth="1"/>
    <col min="46" max="46" width="42" customWidth="1"/>
    <col min="47" max="47" width="42" hidden="1" customWidth="1"/>
    <col min="48" max="49" width="40" hidden="1" customWidth="1"/>
    <col min="50" max="50" width="42" customWidth="1"/>
    <col min="51" max="51" width="42" hidden="1" customWidth="1"/>
    <col min="52" max="53" width="40" hidden="1" customWidth="1"/>
    <col min="54" max="54" width="42" customWidth="1"/>
    <col min="55" max="55" width="42" hidden="1" customWidth="1"/>
    <col min="56" max="57" width="40" hidden="1" customWidth="1"/>
    <col min="58" max="58" width="42" customWidth="1"/>
    <col min="59" max="59" width="42" hidden="1" customWidth="1"/>
    <col min="60" max="61" width="40" hidden="1" customWidth="1"/>
  </cols>
  <sheetData>
    <row r="1" spans="1:61" x14ac:dyDescent="0.35">
      <c r="A1" s="1" t="s">
        <v>0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  <c r="AW1" s="1" t="s">
        <v>92</v>
      </c>
      <c r="AX1" s="1" t="s">
        <v>93</v>
      </c>
      <c r="AY1" s="1" t="s">
        <v>94</v>
      </c>
      <c r="AZ1" s="1" t="s">
        <v>95</v>
      </c>
      <c r="BA1" s="1" t="s">
        <v>96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102</v>
      </c>
      <c r="BH1" s="1" t="s">
        <v>103</v>
      </c>
      <c r="BI1" s="1" t="s">
        <v>104</v>
      </c>
    </row>
    <row r="2" spans="1:61" x14ac:dyDescent="0.35">
      <c r="A2" s="5" t="s">
        <v>11</v>
      </c>
      <c r="B2" s="5">
        <v>5.9628957811031605E-47</v>
      </c>
      <c r="C2" s="5">
        <v>1</v>
      </c>
      <c r="D2" s="5">
        <v>0</v>
      </c>
      <c r="E2" s="5">
        <v>1</v>
      </c>
      <c r="F2" s="5">
        <v>1.097977112383042E-20</v>
      </c>
      <c r="G2" s="5">
        <v>1</v>
      </c>
      <c r="H2" s="5">
        <v>0</v>
      </c>
      <c r="I2" s="5">
        <v>1</v>
      </c>
      <c r="J2" s="5">
        <v>1.6840591736383231E-11</v>
      </c>
      <c r="K2" s="5">
        <v>0.99999999999000511</v>
      </c>
      <c r="L2" s="5">
        <v>1.6418755244274049E-11</v>
      </c>
      <c r="M2" s="5">
        <v>0.99999999998358124</v>
      </c>
      <c r="N2" s="5">
        <v>9.4747657568744627E-20</v>
      </c>
      <c r="O2" s="5">
        <v>1</v>
      </c>
      <c r="P2" s="5">
        <v>0</v>
      </c>
      <c r="Q2" s="5">
        <v>1</v>
      </c>
      <c r="R2" s="5">
        <v>2.6430735322449501E-23</v>
      </c>
      <c r="S2" s="5">
        <v>1</v>
      </c>
      <c r="T2" s="5">
        <v>0</v>
      </c>
      <c r="U2" s="5">
        <v>1</v>
      </c>
      <c r="V2" s="5">
        <v>1.970744891997375E-100</v>
      </c>
      <c r="W2" s="5">
        <v>1</v>
      </c>
      <c r="X2" s="5">
        <v>0</v>
      </c>
      <c r="Y2" s="5">
        <v>1</v>
      </c>
      <c r="Z2" s="5">
        <v>6.0586569339323469E-44</v>
      </c>
      <c r="AA2" s="5">
        <v>1</v>
      </c>
      <c r="AB2" s="5">
        <v>0</v>
      </c>
      <c r="AC2" s="5">
        <v>1</v>
      </c>
      <c r="AD2" s="5">
        <v>7.4354863343056346E-32</v>
      </c>
      <c r="AE2" s="5">
        <v>1</v>
      </c>
      <c r="AF2" s="5">
        <v>0</v>
      </c>
      <c r="AG2" s="5">
        <v>1</v>
      </c>
      <c r="AH2" s="5">
        <v>0.17304251071291021</v>
      </c>
      <c r="AI2" s="5">
        <v>0.84556710823239156</v>
      </c>
      <c r="AJ2" s="5">
        <v>0.16356481161757741</v>
      </c>
      <c r="AK2" s="5">
        <v>0.83643518838242259</v>
      </c>
      <c r="AL2" s="5">
        <v>6.1834499551240674E-46</v>
      </c>
      <c r="AM2" s="5">
        <v>1</v>
      </c>
      <c r="AN2" s="5">
        <v>0</v>
      </c>
      <c r="AO2" s="5">
        <v>1</v>
      </c>
      <c r="AP2" s="5">
        <v>4.9435347258272642E-48</v>
      </c>
      <c r="AQ2" s="5">
        <v>1</v>
      </c>
      <c r="AR2" s="5">
        <v>0</v>
      </c>
      <c r="AS2" s="5">
        <v>1</v>
      </c>
      <c r="AT2" s="5">
        <v>5.9034508792565296E-25</v>
      </c>
      <c r="AU2" s="5">
        <v>1</v>
      </c>
      <c r="AV2" s="5">
        <v>0</v>
      </c>
      <c r="AW2" s="5">
        <v>1</v>
      </c>
      <c r="AX2" s="5">
        <v>1.500360979571102E-49</v>
      </c>
      <c r="AY2" s="5">
        <v>1</v>
      </c>
      <c r="AZ2" s="5">
        <v>0</v>
      </c>
      <c r="BA2" s="5">
        <v>1</v>
      </c>
      <c r="BB2" s="5">
        <v>2.8416390445028618E-20</v>
      </c>
      <c r="BC2" s="5">
        <v>1</v>
      </c>
      <c r="BD2" s="5">
        <v>0</v>
      </c>
      <c r="BE2" s="5">
        <v>1</v>
      </c>
      <c r="BF2" s="5">
        <v>1.6529223188613301E-72</v>
      </c>
      <c r="BG2" s="2">
        <v>1</v>
      </c>
      <c r="BH2" s="2">
        <v>0</v>
      </c>
      <c r="BI2" s="2">
        <v>1</v>
      </c>
    </row>
    <row r="3" spans="1:61" x14ac:dyDescent="0.35">
      <c r="A3" s="5" t="s">
        <v>12</v>
      </c>
      <c r="B3" s="5">
        <v>9.9456408634682228E-76</v>
      </c>
      <c r="C3" s="5">
        <v>1</v>
      </c>
      <c r="D3" s="5">
        <v>0</v>
      </c>
      <c r="E3" s="5">
        <v>1</v>
      </c>
      <c r="F3" s="5">
        <v>1.839012604623091E-107</v>
      </c>
      <c r="G3" s="5">
        <v>1</v>
      </c>
      <c r="H3" s="5">
        <v>0</v>
      </c>
      <c r="I3" s="5">
        <v>1</v>
      </c>
      <c r="J3" s="5">
        <v>1</v>
      </c>
      <c r="K3" s="5">
        <v>6.8171275703417015E-64</v>
      </c>
      <c r="L3" s="5">
        <v>1</v>
      </c>
      <c r="M3" s="5">
        <v>6.6654584147196171E-60</v>
      </c>
      <c r="N3" s="5">
        <v>8.2873783617900435E-17</v>
      </c>
      <c r="O3" s="5">
        <v>1</v>
      </c>
      <c r="P3" s="5">
        <v>1.110223024625157E-16</v>
      </c>
      <c r="Q3" s="5">
        <v>0.99999999999999989</v>
      </c>
      <c r="R3" s="5">
        <v>4.092554003950535E-131</v>
      </c>
      <c r="S3" s="5">
        <v>1</v>
      </c>
      <c r="T3" s="5">
        <v>0</v>
      </c>
      <c r="U3" s="5">
        <v>1</v>
      </c>
      <c r="V3" s="5">
        <v>3.5029776358737497E-141</v>
      </c>
      <c r="W3" s="5">
        <v>1</v>
      </c>
      <c r="X3" s="5">
        <v>0</v>
      </c>
      <c r="Y3" s="5">
        <v>1</v>
      </c>
      <c r="Z3" s="5">
        <v>1.624786414533184E-64</v>
      </c>
      <c r="AA3" s="5">
        <v>1</v>
      </c>
      <c r="AB3" s="5">
        <v>0</v>
      </c>
      <c r="AC3" s="5">
        <v>1</v>
      </c>
      <c r="AD3" s="5">
        <v>3.47484664341686E-171</v>
      </c>
      <c r="AE3" s="5">
        <v>1</v>
      </c>
      <c r="AF3" s="5">
        <v>0</v>
      </c>
      <c r="AG3" s="5">
        <v>1</v>
      </c>
      <c r="AH3" s="5">
        <v>1</v>
      </c>
      <c r="AI3" s="5">
        <v>1.122046647098312E-86</v>
      </c>
      <c r="AJ3" s="5">
        <v>1</v>
      </c>
      <c r="AK3" s="5">
        <v>6.7601803827379018E-79</v>
      </c>
      <c r="AL3" s="5">
        <v>6.5456300674276173E-83</v>
      </c>
      <c r="AM3" s="5">
        <v>1</v>
      </c>
      <c r="AN3" s="5">
        <v>0</v>
      </c>
      <c r="AO3" s="5">
        <v>1</v>
      </c>
      <c r="AP3" s="5">
        <v>7.3023648994880731E-180</v>
      </c>
      <c r="AQ3" s="5">
        <v>1</v>
      </c>
      <c r="AR3" s="5">
        <v>0</v>
      </c>
      <c r="AS3" s="5">
        <v>1</v>
      </c>
      <c r="AT3" s="5">
        <v>1</v>
      </c>
      <c r="AU3" s="5">
        <v>4.5751546069952298E-175</v>
      </c>
      <c r="AV3" s="5">
        <v>1</v>
      </c>
      <c r="AW3" s="5">
        <v>7.7991891820315469E-161</v>
      </c>
      <c r="AX3" s="5">
        <v>7.0562677454433879E-58</v>
      </c>
      <c r="AY3" s="5">
        <v>1</v>
      </c>
      <c r="AZ3" s="5">
        <v>0</v>
      </c>
      <c r="BA3" s="5">
        <v>1</v>
      </c>
      <c r="BB3" s="5">
        <v>1.076185694569204E-197</v>
      </c>
      <c r="BC3" s="5">
        <v>1</v>
      </c>
      <c r="BD3" s="5">
        <v>0</v>
      </c>
      <c r="BE3" s="5">
        <v>1</v>
      </c>
      <c r="BF3" s="5">
        <v>0.99999999999996669</v>
      </c>
      <c r="BG3" s="2">
        <v>4.8624237484994682E-14</v>
      </c>
      <c r="BH3" s="2">
        <v>0.99999999999995282</v>
      </c>
      <c r="BI3" s="2">
        <v>4.7175616965351608E-14</v>
      </c>
    </row>
    <row r="4" spans="1:61" x14ac:dyDescent="0.35">
      <c r="A4" s="5" t="s">
        <v>13</v>
      </c>
      <c r="B4" s="5">
        <v>1.9942195158585969E-76</v>
      </c>
      <c r="C4" s="5">
        <v>1</v>
      </c>
      <c r="D4" s="5">
        <v>0</v>
      </c>
      <c r="E4" s="5">
        <v>1</v>
      </c>
      <c r="F4" s="5">
        <v>4.0049764702122049E-147</v>
      </c>
      <c r="G4" s="5">
        <v>1</v>
      </c>
      <c r="H4" s="5">
        <v>0</v>
      </c>
      <c r="I4" s="5">
        <v>1</v>
      </c>
      <c r="J4" s="5">
        <v>1</v>
      </c>
      <c r="K4" s="5">
        <v>1.968098275663992E-45</v>
      </c>
      <c r="L4" s="5">
        <v>1</v>
      </c>
      <c r="M4" s="5">
        <v>1.382071735899184E-43</v>
      </c>
      <c r="N4" s="5">
        <v>2.9804535640973499E-16</v>
      </c>
      <c r="O4" s="5">
        <v>0.99999999999999989</v>
      </c>
      <c r="P4" s="5">
        <v>3.3306690738754701E-16</v>
      </c>
      <c r="Q4" s="5">
        <v>0.99999999999999967</v>
      </c>
      <c r="R4" s="5">
        <v>9.6669904004877135E-138</v>
      </c>
      <c r="S4" s="5">
        <v>1</v>
      </c>
      <c r="T4" s="5">
        <v>0</v>
      </c>
      <c r="U4" s="5">
        <v>1</v>
      </c>
      <c r="V4" s="5">
        <v>7.0502656550163309E-139</v>
      </c>
      <c r="W4" s="5">
        <v>1</v>
      </c>
      <c r="X4" s="5">
        <v>0</v>
      </c>
      <c r="Y4" s="5">
        <v>1</v>
      </c>
      <c r="Z4" s="5">
        <v>1.672935226012477E-36</v>
      </c>
      <c r="AA4" s="5">
        <v>1</v>
      </c>
      <c r="AB4" s="5">
        <v>0</v>
      </c>
      <c r="AC4" s="5">
        <v>1</v>
      </c>
      <c r="AD4" s="5">
        <v>1.0319786181859531E-169</v>
      </c>
      <c r="AE4" s="5">
        <v>1</v>
      </c>
      <c r="AF4" s="5">
        <v>0</v>
      </c>
      <c r="AG4" s="5">
        <v>1</v>
      </c>
      <c r="AH4" s="5">
        <v>1</v>
      </c>
      <c r="AI4" s="5">
        <v>1.945343773751816E-81</v>
      </c>
      <c r="AJ4" s="5">
        <v>1</v>
      </c>
      <c r="AK4" s="5">
        <v>1.2100716971802989E-74</v>
      </c>
      <c r="AL4" s="5">
        <v>1.945343773751816E-81</v>
      </c>
      <c r="AM4" s="5">
        <v>1</v>
      </c>
      <c r="AN4" s="5">
        <v>0</v>
      </c>
      <c r="AO4" s="5">
        <v>1</v>
      </c>
      <c r="AP4" s="5">
        <v>3.7336137155963601E-153</v>
      </c>
      <c r="AQ4" s="5">
        <v>1</v>
      </c>
      <c r="AR4" s="5">
        <v>0</v>
      </c>
      <c r="AS4" s="5">
        <v>1</v>
      </c>
      <c r="AT4" s="5">
        <v>1</v>
      </c>
      <c r="AU4" s="5">
        <v>1.72030872965962E-205</v>
      </c>
      <c r="AV4" s="5">
        <v>1</v>
      </c>
      <c r="AW4" s="5">
        <v>1.4935489606977599E-185</v>
      </c>
      <c r="AX4" s="5">
        <v>4.7432684194368774E-59</v>
      </c>
      <c r="AY4" s="5">
        <v>1</v>
      </c>
      <c r="AZ4" s="5">
        <v>0</v>
      </c>
      <c r="BA4" s="5">
        <v>1</v>
      </c>
      <c r="BB4" s="5">
        <v>1.5818165607475441E-166</v>
      </c>
      <c r="BC4" s="5">
        <v>1</v>
      </c>
      <c r="BD4" s="5">
        <v>0</v>
      </c>
      <c r="BE4" s="5">
        <v>1</v>
      </c>
      <c r="BF4" s="5">
        <v>1</v>
      </c>
      <c r="BG4" s="2">
        <v>1.6632149456940519E-24</v>
      </c>
      <c r="BH4" s="2">
        <v>1</v>
      </c>
      <c r="BI4" s="2">
        <v>2.2255828756059409E-24</v>
      </c>
    </row>
    <row r="5" spans="1:61" x14ac:dyDescent="0.35">
      <c r="A5" s="7" t="s">
        <v>14</v>
      </c>
      <c r="B5" s="7">
        <v>3.3687294616113379E-110</v>
      </c>
      <c r="C5" s="7">
        <v>1</v>
      </c>
      <c r="D5" s="7">
        <v>0</v>
      </c>
      <c r="E5" s="7">
        <v>1</v>
      </c>
      <c r="F5" s="7">
        <v>5.6257607611593558E-129</v>
      </c>
      <c r="G5" s="7">
        <v>1</v>
      </c>
      <c r="H5" s="7">
        <v>0</v>
      </c>
      <c r="I5" s="7">
        <v>1</v>
      </c>
      <c r="J5" s="7">
        <v>1</v>
      </c>
      <c r="K5" s="7">
        <v>4.7432684194368774E-59</v>
      </c>
      <c r="L5" s="7">
        <v>1</v>
      </c>
      <c r="M5" s="7">
        <v>1.0595317956978339E-55</v>
      </c>
      <c r="N5" s="7">
        <v>2.755242345259783E-38</v>
      </c>
      <c r="O5" s="7">
        <v>1</v>
      </c>
      <c r="P5" s="7">
        <v>0</v>
      </c>
      <c r="Q5" s="7">
        <v>1</v>
      </c>
      <c r="R5" s="7">
        <v>3.2323281818118338E-88</v>
      </c>
      <c r="S5" s="7">
        <v>1</v>
      </c>
      <c r="T5" s="7">
        <v>0</v>
      </c>
      <c r="U5" s="7">
        <v>1</v>
      </c>
      <c r="V5" s="7">
        <v>3.9580772877522923E-77</v>
      </c>
      <c r="W5" s="7">
        <v>1</v>
      </c>
      <c r="X5" s="7">
        <v>0</v>
      </c>
      <c r="Y5" s="7">
        <v>1</v>
      </c>
      <c r="Z5" s="7">
        <v>3.0901002623633379E-52</v>
      </c>
      <c r="AA5" s="7">
        <v>1</v>
      </c>
      <c r="AB5" s="7">
        <v>0</v>
      </c>
      <c r="AC5" s="7">
        <v>1</v>
      </c>
      <c r="AD5" s="7">
        <v>6.2672177835785651E-156</v>
      </c>
      <c r="AE5" s="7">
        <v>1</v>
      </c>
      <c r="AF5" s="7">
        <v>0</v>
      </c>
      <c r="AG5" s="7">
        <v>1</v>
      </c>
      <c r="AH5" s="7">
        <v>1</v>
      </c>
      <c r="AI5" s="7">
        <v>1.1812979235370811E-83</v>
      </c>
      <c r="AJ5" s="7">
        <v>1</v>
      </c>
      <c r="AK5" s="7">
        <v>1.8833144248287539E-76</v>
      </c>
      <c r="AL5" s="7">
        <v>2.185671853612087E-134</v>
      </c>
      <c r="AM5" s="7">
        <v>1</v>
      </c>
      <c r="AN5" s="7">
        <v>0</v>
      </c>
      <c r="AO5" s="7">
        <v>1</v>
      </c>
      <c r="AP5" s="7">
        <v>7.0536890593392512E-157</v>
      </c>
      <c r="AQ5" s="7">
        <v>1</v>
      </c>
      <c r="AR5" s="7">
        <v>0</v>
      </c>
      <c r="AS5" s="7">
        <v>1</v>
      </c>
      <c r="AT5" s="7">
        <v>1</v>
      </c>
      <c r="AU5" s="7">
        <v>6.1984441124480788E-100</v>
      </c>
      <c r="AV5" s="7">
        <v>1</v>
      </c>
      <c r="AW5" s="7">
        <v>1.3363159349402741E-95</v>
      </c>
      <c r="AX5" s="7">
        <v>1.9942195158585969E-76</v>
      </c>
      <c r="AY5" s="7">
        <v>1</v>
      </c>
      <c r="AZ5" s="7">
        <v>0</v>
      </c>
      <c r="BA5" s="7">
        <v>1</v>
      </c>
      <c r="BB5" s="7">
        <v>1.569241167657816E-170</v>
      </c>
      <c r="BC5" s="7">
        <v>1</v>
      </c>
      <c r="BD5" s="7">
        <v>0</v>
      </c>
      <c r="BE5" s="7">
        <v>1</v>
      </c>
      <c r="BF5" s="7">
        <v>1</v>
      </c>
      <c r="BG5" s="2">
        <v>1.7171803494803709E-56</v>
      </c>
      <c r="BH5" s="2">
        <v>1</v>
      </c>
      <c r="BI5" s="2">
        <v>6.2638655463945211E-55</v>
      </c>
    </row>
    <row r="6" spans="1:61" x14ac:dyDescent="0.35">
      <c r="A6" s="7" t="s">
        <v>15</v>
      </c>
      <c r="B6" s="7">
        <v>1.0319786181859531E-169</v>
      </c>
      <c r="C6" s="7">
        <v>1</v>
      </c>
      <c r="D6" s="7">
        <v>0</v>
      </c>
      <c r="E6" s="7">
        <v>1</v>
      </c>
      <c r="F6" s="7">
        <v>3.1662095471866539E-96</v>
      </c>
      <c r="G6" s="7">
        <v>1</v>
      </c>
      <c r="H6" s="7">
        <v>0</v>
      </c>
      <c r="I6" s="7">
        <v>1</v>
      </c>
      <c r="J6" s="7">
        <v>1</v>
      </c>
      <c r="K6" s="7">
        <v>3.3511207137447161E-27</v>
      </c>
      <c r="L6" s="7">
        <v>1</v>
      </c>
      <c r="M6" s="7">
        <v>1.1007343539196E-26</v>
      </c>
      <c r="N6" s="7">
        <v>5.4826488871356029E-69</v>
      </c>
      <c r="O6" s="7">
        <v>1</v>
      </c>
      <c r="P6" s="7">
        <v>0</v>
      </c>
      <c r="Q6" s="7">
        <v>1</v>
      </c>
      <c r="R6" s="7">
        <v>2.9522028872401471E-30</v>
      </c>
      <c r="S6" s="7">
        <v>1</v>
      </c>
      <c r="T6" s="7">
        <v>0</v>
      </c>
      <c r="U6" s="7">
        <v>1</v>
      </c>
      <c r="V6" s="7">
        <v>0.99999652535152628</v>
      </c>
      <c r="W6" s="7">
        <v>4.9504061134201882E-6</v>
      </c>
      <c r="X6" s="7">
        <v>0.999995652027029</v>
      </c>
      <c r="Y6" s="7">
        <v>4.3479729710524754E-6</v>
      </c>
      <c r="Z6" s="7">
        <v>2.7496109338662921E-133</v>
      </c>
      <c r="AA6" s="7">
        <v>1</v>
      </c>
      <c r="AB6" s="7">
        <v>0</v>
      </c>
      <c r="AC6" s="7">
        <v>1</v>
      </c>
      <c r="AD6" s="7">
        <v>6.8373850169727422E-98</v>
      </c>
      <c r="AE6" s="7">
        <v>1</v>
      </c>
      <c r="AF6" s="7">
        <v>0</v>
      </c>
      <c r="AG6" s="7">
        <v>1</v>
      </c>
      <c r="AH6" s="7">
        <v>0.99288163498380022</v>
      </c>
      <c r="AI6" s="7">
        <v>8.7576396766929094E-3</v>
      </c>
      <c r="AJ6" s="7">
        <v>0.99206933363011351</v>
      </c>
      <c r="AK6" s="7">
        <v>7.9306663698864906E-3</v>
      </c>
      <c r="AL6" s="7">
        <v>7.2250008608970368E-179</v>
      </c>
      <c r="AM6" s="7">
        <v>1</v>
      </c>
      <c r="AN6" s="7">
        <v>0</v>
      </c>
      <c r="AO6" s="7">
        <v>1</v>
      </c>
      <c r="AP6" s="7">
        <v>6.3197111296909042E-146</v>
      </c>
      <c r="AQ6" s="7">
        <v>1</v>
      </c>
      <c r="AR6" s="7">
        <v>0</v>
      </c>
      <c r="AS6" s="7">
        <v>1</v>
      </c>
      <c r="AT6" s="7">
        <v>1</v>
      </c>
      <c r="AU6" s="7">
        <v>3.2704090284594898E-79</v>
      </c>
      <c r="AV6" s="7">
        <v>1</v>
      </c>
      <c r="AW6" s="7">
        <v>1.354856089629423E-76</v>
      </c>
      <c r="AX6" s="7">
        <v>2.185671853612087E-134</v>
      </c>
      <c r="AY6" s="7">
        <v>1</v>
      </c>
      <c r="AZ6" s="7">
        <v>0</v>
      </c>
      <c r="BA6" s="7">
        <v>1</v>
      </c>
      <c r="BB6" s="7">
        <v>2.3213986636838901E-117</v>
      </c>
      <c r="BC6" s="7">
        <v>1</v>
      </c>
      <c r="BD6" s="7">
        <v>0</v>
      </c>
      <c r="BE6" s="7">
        <v>1</v>
      </c>
      <c r="BF6" s="7">
        <v>1</v>
      </c>
      <c r="BG6" s="2">
        <v>6.1001136515688869E-81</v>
      </c>
      <c r="BH6" s="2">
        <v>1</v>
      </c>
      <c r="BI6" s="2">
        <v>3.3843284313094139E-78</v>
      </c>
    </row>
    <row r="7" spans="1:61" x14ac:dyDescent="0.35">
      <c r="A7" s="7" t="s">
        <v>16</v>
      </c>
      <c r="B7" s="7">
        <v>1.117537562774113E-172</v>
      </c>
      <c r="C7" s="7">
        <v>1</v>
      </c>
      <c r="D7" s="7">
        <v>0</v>
      </c>
      <c r="E7" s="7">
        <v>1</v>
      </c>
      <c r="F7" s="7">
        <v>2.3998560594315532E-74</v>
      </c>
      <c r="G7" s="7">
        <v>1</v>
      </c>
      <c r="H7" s="7">
        <v>0</v>
      </c>
      <c r="I7" s="7">
        <v>1</v>
      </c>
      <c r="J7" s="7">
        <v>1</v>
      </c>
      <c r="K7" s="7">
        <v>3.7226817068810093E-85</v>
      </c>
      <c r="L7" s="7">
        <v>1</v>
      </c>
      <c r="M7" s="7">
        <v>1.141199903740764E-77</v>
      </c>
      <c r="N7" s="7">
        <v>1.043564636923742E-80</v>
      </c>
      <c r="O7" s="7">
        <v>1</v>
      </c>
      <c r="P7" s="7">
        <v>0</v>
      </c>
      <c r="Q7" s="7">
        <v>1</v>
      </c>
      <c r="R7" s="7">
        <v>8.2873783617900435E-17</v>
      </c>
      <c r="S7" s="7">
        <v>1</v>
      </c>
      <c r="T7" s="7">
        <v>1.110223024625157E-16</v>
      </c>
      <c r="U7" s="7">
        <v>0.99999999999999989</v>
      </c>
      <c r="V7" s="7">
        <v>1</v>
      </c>
      <c r="W7" s="7">
        <v>1.378744080652062E-40</v>
      </c>
      <c r="X7" s="7">
        <v>1</v>
      </c>
      <c r="Y7" s="7">
        <v>3.6055191761920078E-39</v>
      </c>
      <c r="Z7" s="7">
        <v>7.0502656550163309E-139</v>
      </c>
      <c r="AA7" s="7">
        <v>1</v>
      </c>
      <c r="AB7" s="7">
        <v>0</v>
      </c>
      <c r="AC7" s="7">
        <v>1</v>
      </c>
      <c r="AD7" s="7">
        <v>2.7936919739005708E-109</v>
      </c>
      <c r="AE7" s="7">
        <v>1</v>
      </c>
      <c r="AF7" s="7">
        <v>0</v>
      </c>
      <c r="AG7" s="7">
        <v>1</v>
      </c>
      <c r="AH7" s="7">
        <v>0.99999999992226063</v>
      </c>
      <c r="AI7" s="7">
        <v>1.279181887347529E-10</v>
      </c>
      <c r="AJ7" s="7">
        <v>0.99999999987879273</v>
      </c>
      <c r="AK7" s="7">
        <v>1.212072519999565E-10</v>
      </c>
      <c r="AL7" s="7">
        <v>2.761758638022099E-177</v>
      </c>
      <c r="AM7" s="7">
        <v>1</v>
      </c>
      <c r="AN7" s="7">
        <v>0</v>
      </c>
      <c r="AO7" s="7">
        <v>1</v>
      </c>
      <c r="AP7" s="7">
        <v>2.9974819174971911E-89</v>
      </c>
      <c r="AQ7" s="7">
        <v>1</v>
      </c>
      <c r="AR7" s="7">
        <v>0</v>
      </c>
      <c r="AS7" s="7">
        <v>1</v>
      </c>
      <c r="AT7" s="7">
        <v>1</v>
      </c>
      <c r="AU7" s="7">
        <v>5.4050506386481497E-108</v>
      </c>
      <c r="AV7" s="7">
        <v>1</v>
      </c>
      <c r="AW7" s="7">
        <v>7.0851202982248118E-103</v>
      </c>
      <c r="AX7" s="7">
        <v>1.2964756745662891E-136</v>
      </c>
      <c r="AY7" s="7">
        <v>1</v>
      </c>
      <c r="AZ7" s="7">
        <v>0</v>
      </c>
      <c r="BA7" s="7">
        <v>1</v>
      </c>
      <c r="BB7" s="7">
        <v>9.3485474238570638E-77</v>
      </c>
      <c r="BC7" s="7">
        <v>1</v>
      </c>
      <c r="BD7" s="7">
        <v>0</v>
      </c>
      <c r="BE7" s="7">
        <v>1</v>
      </c>
      <c r="BF7" s="7">
        <v>1</v>
      </c>
      <c r="BG7" s="2">
        <v>5.2514967197364547E-53</v>
      </c>
      <c r="BH7" s="2">
        <v>1</v>
      </c>
      <c r="BI7" s="2">
        <v>5.9887492935154951E-52</v>
      </c>
    </row>
    <row r="8" spans="1:61" x14ac:dyDescent="0.35">
      <c r="A8" s="9" t="s">
        <v>17</v>
      </c>
      <c r="B8" s="9">
        <v>2.375499723161504E-153</v>
      </c>
      <c r="C8" s="9">
        <v>1</v>
      </c>
      <c r="D8" s="9">
        <v>0</v>
      </c>
      <c r="E8" s="9">
        <v>1</v>
      </c>
      <c r="F8" s="9">
        <v>2.755242345259783E-38</v>
      </c>
      <c r="G8" s="9">
        <v>1</v>
      </c>
      <c r="H8" s="9">
        <v>0</v>
      </c>
      <c r="I8" s="9">
        <v>1</v>
      </c>
      <c r="J8" s="9">
        <v>1</v>
      </c>
      <c r="K8" s="9">
        <v>2.7496109338662921E-133</v>
      </c>
      <c r="L8" s="9">
        <v>1</v>
      </c>
      <c r="M8" s="9">
        <v>1.601390365178456E-113</v>
      </c>
      <c r="N8" s="9">
        <v>3.3886224594721331E-132</v>
      </c>
      <c r="O8" s="9">
        <v>1</v>
      </c>
      <c r="P8" s="9">
        <v>0</v>
      </c>
      <c r="Q8" s="9">
        <v>1</v>
      </c>
      <c r="R8" s="9">
        <v>5.0438205584933382E-5</v>
      </c>
      <c r="S8" s="9">
        <v>0.99996318795309103</v>
      </c>
      <c r="T8" s="9">
        <v>4.4339291497941247E-5</v>
      </c>
      <c r="U8" s="9">
        <v>0.99995566070850206</v>
      </c>
      <c r="V8" s="9">
        <v>1</v>
      </c>
      <c r="W8" s="9">
        <v>1.8925852581976919E-54</v>
      </c>
      <c r="X8" s="9">
        <v>1</v>
      </c>
      <c r="Y8" s="9">
        <v>1.172466424714592E-51</v>
      </c>
      <c r="Z8" s="9">
        <v>4.092554003950535E-131</v>
      </c>
      <c r="AA8" s="9">
        <v>1</v>
      </c>
      <c r="AB8" s="9">
        <v>0</v>
      </c>
      <c r="AC8" s="9">
        <v>1</v>
      </c>
      <c r="AD8" s="9">
        <v>6.0128866720584896E-28</v>
      </c>
      <c r="AE8" s="9">
        <v>1</v>
      </c>
      <c r="AF8" s="9">
        <v>0</v>
      </c>
      <c r="AG8" s="9">
        <v>1</v>
      </c>
      <c r="AH8" s="9">
        <v>1</v>
      </c>
      <c r="AI8" s="9">
        <v>5.0454549307334114E-103</v>
      </c>
      <c r="AJ8" s="9">
        <v>1</v>
      </c>
      <c r="AK8" s="9">
        <v>1.0339590642827929E-91</v>
      </c>
      <c r="AL8" s="9">
        <v>1.405935159882604E-149</v>
      </c>
      <c r="AM8" s="9">
        <v>1</v>
      </c>
      <c r="AN8" s="9">
        <v>0</v>
      </c>
      <c r="AO8" s="9">
        <v>1</v>
      </c>
      <c r="AP8" s="9">
        <v>2.5192600171359881E-49</v>
      </c>
      <c r="AQ8" s="9">
        <v>1</v>
      </c>
      <c r="AR8" s="9">
        <v>0</v>
      </c>
      <c r="AS8" s="9">
        <v>1</v>
      </c>
      <c r="AT8" s="9">
        <v>1</v>
      </c>
      <c r="AU8" s="9">
        <v>1.7371330387893021E-307</v>
      </c>
      <c r="AV8" s="9">
        <v>1</v>
      </c>
      <c r="AW8" s="9">
        <v>1.0789254876175429E-260</v>
      </c>
      <c r="AX8" s="9">
        <v>2.0822370290439729E-66</v>
      </c>
      <c r="AY8" s="9">
        <v>1</v>
      </c>
      <c r="AZ8" s="9">
        <v>0</v>
      </c>
      <c r="BA8" s="9">
        <v>1</v>
      </c>
      <c r="BB8" s="9">
        <v>2.1353120423697011E-38</v>
      </c>
      <c r="BC8" s="9">
        <v>1</v>
      </c>
      <c r="BD8" s="9">
        <v>0</v>
      </c>
      <c r="BE8" s="9">
        <v>1</v>
      </c>
      <c r="BF8" s="9">
        <v>1</v>
      </c>
      <c r="BG8" s="2">
        <v>0</v>
      </c>
      <c r="BH8" s="2">
        <v>1</v>
      </c>
      <c r="BI8" s="2">
        <v>1.076568944999984E-272</v>
      </c>
    </row>
    <row r="9" spans="1:61" x14ac:dyDescent="0.35">
      <c r="A9" s="9" t="s">
        <v>18</v>
      </c>
      <c r="B9" s="9">
        <v>4.6823633021019584E-97</v>
      </c>
      <c r="C9" s="9">
        <v>1</v>
      </c>
      <c r="D9" s="9">
        <v>0</v>
      </c>
      <c r="E9" s="9">
        <v>1</v>
      </c>
      <c r="F9" s="9">
        <v>2.178335365085946E-37</v>
      </c>
      <c r="G9" s="9">
        <v>1</v>
      </c>
      <c r="H9" s="9">
        <v>0</v>
      </c>
      <c r="I9" s="9">
        <v>1</v>
      </c>
      <c r="J9" s="9">
        <v>1</v>
      </c>
      <c r="K9" s="9">
        <v>1.9942195158585969E-76</v>
      </c>
      <c r="L9" s="9">
        <v>1</v>
      </c>
      <c r="M9" s="9">
        <v>1.641003513735691E-70</v>
      </c>
      <c r="N9" s="9">
        <v>6.8373850169727422E-98</v>
      </c>
      <c r="O9" s="9">
        <v>1</v>
      </c>
      <c r="P9" s="9">
        <v>0</v>
      </c>
      <c r="Q9" s="9">
        <v>1</v>
      </c>
      <c r="R9" s="9">
        <v>6.2158512455527271E-45</v>
      </c>
      <c r="S9" s="9">
        <v>1</v>
      </c>
      <c r="T9" s="9">
        <v>0</v>
      </c>
      <c r="U9" s="9">
        <v>1</v>
      </c>
      <c r="V9" s="9">
        <v>1</v>
      </c>
      <c r="W9" s="9">
        <v>1.741043016652972E-42</v>
      </c>
      <c r="X9" s="9">
        <v>1</v>
      </c>
      <c r="Y9" s="9">
        <v>6.604562072102192E-41</v>
      </c>
      <c r="Z9" s="9">
        <v>1.3944129081349429E-94</v>
      </c>
      <c r="AA9" s="9">
        <v>1</v>
      </c>
      <c r="AB9" s="9">
        <v>0</v>
      </c>
      <c r="AC9" s="9">
        <v>1</v>
      </c>
      <c r="AD9" s="9">
        <v>1.405935159882604E-149</v>
      </c>
      <c r="AE9" s="9">
        <v>1</v>
      </c>
      <c r="AF9" s="9">
        <v>0</v>
      </c>
      <c r="AG9" s="9">
        <v>1</v>
      </c>
      <c r="AH9" s="9">
        <v>1</v>
      </c>
      <c r="AI9" s="9">
        <v>2.3349270348625991E-91</v>
      </c>
      <c r="AJ9" s="9">
        <v>1</v>
      </c>
      <c r="AK9" s="9">
        <v>1.226562243104154E-82</v>
      </c>
      <c r="AL9" s="9">
        <v>6.1300941690726921E-114</v>
      </c>
      <c r="AM9" s="9">
        <v>1</v>
      </c>
      <c r="AN9" s="9">
        <v>0</v>
      </c>
      <c r="AO9" s="9">
        <v>1</v>
      </c>
      <c r="AP9" s="9">
        <v>9.8164763680076484E-111</v>
      </c>
      <c r="AQ9" s="9">
        <v>1</v>
      </c>
      <c r="AR9" s="9">
        <v>0</v>
      </c>
      <c r="AS9" s="9">
        <v>1</v>
      </c>
      <c r="AT9" s="9">
        <v>1</v>
      </c>
      <c r="AU9" s="9">
        <v>3.9370182237869448E-149</v>
      </c>
      <c r="AV9" s="9">
        <v>1</v>
      </c>
      <c r="AW9" s="9">
        <v>5.5830240707489164E-139</v>
      </c>
      <c r="AX9" s="9">
        <v>6.7186205577721868E-104</v>
      </c>
      <c r="AY9" s="9">
        <v>1</v>
      </c>
      <c r="AZ9" s="9">
        <v>0</v>
      </c>
      <c r="BA9" s="9">
        <v>1</v>
      </c>
      <c r="BB9" s="9">
        <v>3.740680254232027E-22</v>
      </c>
      <c r="BC9" s="9">
        <v>1</v>
      </c>
      <c r="BD9" s="9">
        <v>0</v>
      </c>
      <c r="BE9" s="9">
        <v>1</v>
      </c>
      <c r="BF9" s="9">
        <v>1</v>
      </c>
      <c r="BG9" s="2">
        <v>8.37768328240384E-258</v>
      </c>
      <c r="BH9" s="2">
        <v>1</v>
      </c>
      <c r="BI9" s="2">
        <v>1.2395709101915819E-225</v>
      </c>
    </row>
    <row r="10" spans="1:61" x14ac:dyDescent="0.35">
      <c r="A10" s="9" t="s">
        <v>19</v>
      </c>
      <c r="B10" s="9">
        <v>1.9304614207791681E-61</v>
      </c>
      <c r="C10" s="9">
        <v>1</v>
      </c>
      <c r="D10" s="9">
        <v>0</v>
      </c>
      <c r="E10" s="9">
        <v>1</v>
      </c>
      <c r="F10" s="9">
        <v>4.7695483598372971E-62</v>
      </c>
      <c r="G10" s="9">
        <v>1</v>
      </c>
      <c r="H10" s="9">
        <v>0</v>
      </c>
      <c r="I10" s="9">
        <v>1</v>
      </c>
      <c r="J10" s="9">
        <v>1</v>
      </c>
      <c r="K10" s="9">
        <v>3.9580772877522923E-77</v>
      </c>
      <c r="L10" s="9">
        <v>1</v>
      </c>
      <c r="M10" s="9">
        <v>4.287076819625759E-71</v>
      </c>
      <c r="N10" s="9">
        <v>7.5380420569438527E-116</v>
      </c>
      <c r="O10" s="9">
        <v>1</v>
      </c>
      <c r="P10" s="9">
        <v>0</v>
      </c>
      <c r="Q10" s="9">
        <v>1</v>
      </c>
      <c r="R10" s="9">
        <v>1.5346390564693779E-18</v>
      </c>
      <c r="S10" s="9">
        <v>1</v>
      </c>
      <c r="T10" s="9">
        <v>0</v>
      </c>
      <c r="U10" s="9">
        <v>1</v>
      </c>
      <c r="V10" s="9">
        <v>3.6812046908991251E-5</v>
      </c>
      <c r="W10" s="9">
        <v>0.99997328140396202</v>
      </c>
      <c r="X10" s="9">
        <v>3.2343670252954482E-5</v>
      </c>
      <c r="Y10" s="9">
        <v>0.99996765632974705</v>
      </c>
      <c r="Z10" s="9">
        <v>3.3886224594721331E-132</v>
      </c>
      <c r="AA10" s="9">
        <v>1</v>
      </c>
      <c r="AB10" s="9">
        <v>0</v>
      </c>
      <c r="AC10" s="9">
        <v>1</v>
      </c>
      <c r="AD10" s="9">
        <v>4.7432684194368774E-59</v>
      </c>
      <c r="AE10" s="9">
        <v>1</v>
      </c>
      <c r="AF10" s="9">
        <v>0</v>
      </c>
      <c r="AG10" s="9">
        <v>1</v>
      </c>
      <c r="AH10" s="9">
        <v>1</v>
      </c>
      <c r="AI10" s="9">
        <v>6.8498175314148838E-54</v>
      </c>
      <c r="AJ10" s="9">
        <v>1</v>
      </c>
      <c r="AK10" s="9">
        <v>3.6605063015607933E-51</v>
      </c>
      <c r="AL10" s="9">
        <v>3.7378802256302499E-102</v>
      </c>
      <c r="AM10" s="9">
        <v>1</v>
      </c>
      <c r="AN10" s="9">
        <v>0</v>
      </c>
      <c r="AO10" s="9">
        <v>1</v>
      </c>
      <c r="AP10" s="9">
        <v>8.8336644347912755E-54</v>
      </c>
      <c r="AQ10" s="9">
        <v>1</v>
      </c>
      <c r="AR10" s="9">
        <v>0</v>
      </c>
      <c r="AS10" s="9">
        <v>1</v>
      </c>
      <c r="AT10" s="9">
        <v>1</v>
      </c>
      <c r="AU10" s="9">
        <v>3.4809960898400051E-93</v>
      </c>
      <c r="AV10" s="9">
        <v>1</v>
      </c>
      <c r="AW10" s="9">
        <v>1.8584080588475611E-89</v>
      </c>
      <c r="AX10" s="9">
        <v>3.5800149477577373E-15</v>
      </c>
      <c r="AY10" s="9">
        <v>0.99999999999999811</v>
      </c>
      <c r="AZ10" s="9">
        <v>4.1078251911130792E-15</v>
      </c>
      <c r="BA10" s="9">
        <v>0.99999999999999589</v>
      </c>
      <c r="BB10" s="9">
        <v>3.0794260643292591E-18</v>
      </c>
      <c r="BC10" s="9">
        <v>1</v>
      </c>
      <c r="BD10" s="9">
        <v>0</v>
      </c>
      <c r="BE10" s="9">
        <v>1</v>
      </c>
      <c r="BF10" s="9">
        <v>1</v>
      </c>
      <c r="BG10" s="2">
        <v>3.839964698151187E-224</v>
      </c>
      <c r="BH10" s="2">
        <v>1</v>
      </c>
      <c r="BI10" s="2">
        <v>3.3582224258010629E-200</v>
      </c>
    </row>
    <row r="11" spans="1:61" x14ac:dyDescent="0.35">
      <c r="A11" s="9" t="s">
        <v>20</v>
      </c>
      <c r="B11" s="9">
        <v>5.7444478971644066E-23</v>
      </c>
      <c r="C11" s="9">
        <v>1</v>
      </c>
      <c r="D11" s="9">
        <v>0</v>
      </c>
      <c r="E11" s="9">
        <v>1</v>
      </c>
      <c r="F11" s="9">
        <v>1.6835630691730059E-48</v>
      </c>
      <c r="G11" s="9">
        <v>1</v>
      </c>
      <c r="H11" s="9">
        <v>0</v>
      </c>
      <c r="I11" s="9">
        <v>1</v>
      </c>
      <c r="J11" s="9">
        <v>1</v>
      </c>
      <c r="K11" s="9">
        <v>4.6823633021019584E-97</v>
      </c>
      <c r="L11" s="9">
        <v>1</v>
      </c>
      <c r="M11" s="9">
        <v>4.0916597394635436E-87</v>
      </c>
      <c r="N11" s="9">
        <v>1.460229168655794E-106</v>
      </c>
      <c r="O11" s="9">
        <v>1</v>
      </c>
      <c r="P11" s="9">
        <v>0</v>
      </c>
      <c r="Q11" s="9">
        <v>1</v>
      </c>
      <c r="R11" s="9">
        <v>2.2479212144743419E-17</v>
      </c>
      <c r="S11" s="9">
        <v>1</v>
      </c>
      <c r="T11" s="9">
        <v>0</v>
      </c>
      <c r="U11" s="9">
        <v>1</v>
      </c>
      <c r="V11" s="9">
        <v>2.9804535640973499E-16</v>
      </c>
      <c r="W11" s="9">
        <v>0.99999999999999989</v>
      </c>
      <c r="X11" s="9">
        <v>3.3306690738754701E-16</v>
      </c>
      <c r="Y11" s="9">
        <v>0.99999999999999967</v>
      </c>
      <c r="Z11" s="9">
        <v>1.945343773751816E-81</v>
      </c>
      <c r="AA11" s="9">
        <v>1</v>
      </c>
      <c r="AB11" s="9">
        <v>0</v>
      </c>
      <c r="AC11" s="9">
        <v>1</v>
      </c>
      <c r="AD11" s="9">
        <v>5.4000264204073981E-113</v>
      </c>
      <c r="AE11" s="9">
        <v>1</v>
      </c>
      <c r="AF11" s="9">
        <v>0</v>
      </c>
      <c r="AG11" s="9">
        <v>1</v>
      </c>
      <c r="AH11" s="9">
        <v>1</v>
      </c>
      <c r="AI11" s="9">
        <v>2.4113559914503591E-34</v>
      </c>
      <c r="AJ11" s="9">
        <v>1</v>
      </c>
      <c r="AK11" s="9">
        <v>2.1272712436654091E-33</v>
      </c>
      <c r="AL11" s="9">
        <v>1.5118112287067971E-78</v>
      </c>
      <c r="AM11" s="9">
        <v>1</v>
      </c>
      <c r="AN11" s="9">
        <v>0</v>
      </c>
      <c r="AO11" s="9">
        <v>1</v>
      </c>
      <c r="AP11" s="9">
        <v>1.0946544440119319E-93</v>
      </c>
      <c r="AQ11" s="9">
        <v>1</v>
      </c>
      <c r="AR11" s="9">
        <v>0</v>
      </c>
      <c r="AS11" s="9">
        <v>1</v>
      </c>
      <c r="AT11" s="9">
        <v>1</v>
      </c>
      <c r="AU11" s="9">
        <v>4.3799894387829347E-135</v>
      </c>
      <c r="AV11" s="9">
        <v>1</v>
      </c>
      <c r="AW11" s="9">
        <v>7.5560811539014732E-127</v>
      </c>
      <c r="AX11" s="9">
        <v>6.7296703835153783E-13</v>
      </c>
      <c r="AY11" s="9">
        <v>0.99999999999961464</v>
      </c>
      <c r="AZ11" s="9">
        <v>6.9266814506363517E-13</v>
      </c>
      <c r="BA11" s="9">
        <v>0.99999999999930733</v>
      </c>
      <c r="BB11" s="9">
        <v>0.80530098914564607</v>
      </c>
      <c r="BC11" s="9">
        <v>0.21274114780457171</v>
      </c>
      <c r="BD11" s="9">
        <v>0.7964052771323199</v>
      </c>
      <c r="BE11" s="9">
        <v>0.2035947228676801</v>
      </c>
      <c r="BF11" s="9">
        <v>1</v>
      </c>
      <c r="BG11" s="2">
        <v>5.8356576079966777E-245</v>
      </c>
      <c r="BH11" s="2">
        <v>1</v>
      </c>
      <c r="BI11" s="2">
        <v>4.3832807984660782E-216</v>
      </c>
    </row>
    <row r="12" spans="1:61" x14ac:dyDescent="0.35">
      <c r="A12" s="11" t="s">
        <v>21</v>
      </c>
      <c r="B12" s="11">
        <v>9.8573896760042079E-99</v>
      </c>
      <c r="C12" s="11">
        <v>1</v>
      </c>
      <c r="D12" s="11">
        <v>0</v>
      </c>
      <c r="E12" s="11">
        <v>1</v>
      </c>
      <c r="F12" s="11">
        <v>1.4586047453265601E-158</v>
      </c>
      <c r="G12" s="11">
        <v>1</v>
      </c>
      <c r="H12" s="11">
        <v>0</v>
      </c>
      <c r="I12" s="11">
        <v>1</v>
      </c>
      <c r="J12" s="11">
        <v>0.99999999987208177</v>
      </c>
      <c r="K12" s="11">
        <v>2.0924884743097259E-10</v>
      </c>
      <c r="L12" s="11">
        <v>0.99999999980296728</v>
      </c>
      <c r="M12" s="11">
        <v>1.9703275787215481E-10</v>
      </c>
      <c r="N12" s="11">
        <v>8.1621766870248294E-117</v>
      </c>
      <c r="O12" s="11">
        <v>1</v>
      </c>
      <c r="P12" s="11">
        <v>0</v>
      </c>
      <c r="Q12" s="11">
        <v>1</v>
      </c>
      <c r="R12" s="11">
        <v>2.404943654208772E-148</v>
      </c>
      <c r="S12" s="11">
        <v>1</v>
      </c>
      <c r="T12" s="11">
        <v>0</v>
      </c>
      <c r="U12" s="11">
        <v>1</v>
      </c>
      <c r="V12" s="11">
        <v>0.8932160997258477</v>
      </c>
      <c r="W12" s="11">
        <v>0.12132136960569349</v>
      </c>
      <c r="X12" s="11">
        <v>0.88610000300588521</v>
      </c>
      <c r="Y12" s="11">
        <v>0.1138999969941147</v>
      </c>
      <c r="Z12" s="11">
        <v>1.3944129081349429E-94</v>
      </c>
      <c r="AA12" s="11">
        <v>1</v>
      </c>
      <c r="AB12" s="11">
        <v>0</v>
      </c>
      <c r="AC12" s="11">
        <v>1</v>
      </c>
      <c r="AD12" s="11">
        <v>1.4586047453265601E-158</v>
      </c>
      <c r="AE12" s="11">
        <v>1</v>
      </c>
      <c r="AF12" s="11">
        <v>0</v>
      </c>
      <c r="AG12" s="11">
        <v>1</v>
      </c>
      <c r="AH12" s="11">
        <v>1</v>
      </c>
      <c r="AI12" s="11">
        <v>1.2129767875644901E-69</v>
      </c>
      <c r="AJ12" s="11">
        <v>1</v>
      </c>
      <c r="AK12" s="11">
        <v>8.1154085633445948E-65</v>
      </c>
      <c r="AL12" s="11">
        <v>1.970744891997375E-100</v>
      </c>
      <c r="AM12" s="11">
        <v>1</v>
      </c>
      <c r="AN12" s="11">
        <v>0</v>
      </c>
      <c r="AO12" s="11">
        <v>1</v>
      </c>
      <c r="AP12" s="11">
        <v>2.673259630904494E-212</v>
      </c>
      <c r="AQ12" s="11">
        <v>1</v>
      </c>
      <c r="AR12" s="11">
        <v>0</v>
      </c>
      <c r="AS12" s="11">
        <v>1</v>
      </c>
      <c r="AT12" s="11">
        <v>1.6523142715001319E-32</v>
      </c>
      <c r="AU12" s="11">
        <v>1</v>
      </c>
      <c r="AV12" s="11">
        <v>0</v>
      </c>
      <c r="AW12" s="11">
        <v>1</v>
      </c>
      <c r="AX12" s="11">
        <v>4.1928894555716279E-26</v>
      </c>
      <c r="AY12" s="11">
        <v>1</v>
      </c>
      <c r="AZ12" s="11">
        <v>0</v>
      </c>
      <c r="BA12" s="11">
        <v>1</v>
      </c>
      <c r="BB12" s="11">
        <v>3.6748513402275478E-55</v>
      </c>
      <c r="BC12" s="11">
        <v>1</v>
      </c>
      <c r="BD12" s="11">
        <v>0</v>
      </c>
      <c r="BE12" s="11">
        <v>1</v>
      </c>
      <c r="BF12" s="11">
        <v>1</v>
      </c>
      <c r="BG12" s="2">
        <v>1.054100885799422E-62</v>
      </c>
      <c r="BH12" s="2">
        <v>1</v>
      </c>
      <c r="BI12" s="2">
        <v>3.7877029334664702E-61</v>
      </c>
    </row>
    <row r="13" spans="1:61" x14ac:dyDescent="0.35">
      <c r="A13" s="11" t="s">
        <v>22</v>
      </c>
      <c r="B13" s="11">
        <v>3.3886224594721331E-132</v>
      </c>
      <c r="C13" s="11">
        <v>1</v>
      </c>
      <c r="D13" s="11">
        <v>0</v>
      </c>
      <c r="E13" s="11">
        <v>1</v>
      </c>
      <c r="F13" s="11">
        <v>2.089901580498296E-165</v>
      </c>
      <c r="G13" s="11">
        <v>1</v>
      </c>
      <c r="H13" s="11">
        <v>0</v>
      </c>
      <c r="I13" s="11">
        <v>1</v>
      </c>
      <c r="J13" s="11">
        <v>1.4495075047826989E-90</v>
      </c>
      <c r="K13" s="11">
        <v>1</v>
      </c>
      <c r="L13" s="11">
        <v>0</v>
      </c>
      <c r="M13" s="11">
        <v>1</v>
      </c>
      <c r="N13" s="11">
        <v>1.728284543766001E-194</v>
      </c>
      <c r="O13" s="11">
        <v>1</v>
      </c>
      <c r="P13" s="11">
        <v>0</v>
      </c>
      <c r="Q13" s="11">
        <v>1</v>
      </c>
      <c r="R13" s="11">
        <v>5.0271216826926082E-140</v>
      </c>
      <c r="S13" s="11">
        <v>1</v>
      </c>
      <c r="T13" s="11">
        <v>0</v>
      </c>
      <c r="U13" s="11">
        <v>1</v>
      </c>
      <c r="V13" s="11">
        <v>2.9328384174142829E-168</v>
      </c>
      <c r="W13" s="11">
        <v>1</v>
      </c>
      <c r="X13" s="11">
        <v>0</v>
      </c>
      <c r="Y13" s="11">
        <v>1</v>
      </c>
      <c r="Z13" s="11">
        <v>1.728284543766001E-194</v>
      </c>
      <c r="AA13" s="11">
        <v>1</v>
      </c>
      <c r="AB13" s="11">
        <v>0</v>
      </c>
      <c r="AC13" s="11">
        <v>1</v>
      </c>
      <c r="AD13" s="11">
        <v>1.98356930329381E-198</v>
      </c>
      <c r="AE13" s="11">
        <v>1</v>
      </c>
      <c r="AF13" s="11">
        <v>0</v>
      </c>
      <c r="AG13" s="11">
        <v>1</v>
      </c>
      <c r="AH13" s="11">
        <v>7.3853968232725039E-8</v>
      </c>
      <c r="AI13" s="11">
        <v>0.99999995130455599</v>
      </c>
      <c r="AJ13" s="11">
        <v>6.5855741970821668E-8</v>
      </c>
      <c r="AK13" s="11">
        <v>0.99999993414425803</v>
      </c>
      <c r="AL13" s="11">
        <v>2.7496109338662921E-133</v>
      </c>
      <c r="AM13" s="11">
        <v>1</v>
      </c>
      <c r="AN13" s="11">
        <v>0</v>
      </c>
      <c r="AO13" s="11">
        <v>1</v>
      </c>
      <c r="AP13" s="11">
        <v>1.2269891234164789E-271</v>
      </c>
      <c r="AQ13" s="11">
        <v>1</v>
      </c>
      <c r="AR13" s="11">
        <v>0</v>
      </c>
      <c r="AS13" s="11">
        <v>1</v>
      </c>
      <c r="AT13" s="11">
        <v>1.780879237193481E-140</v>
      </c>
      <c r="AU13" s="11">
        <v>1</v>
      </c>
      <c r="AV13" s="11">
        <v>0</v>
      </c>
      <c r="AW13" s="11">
        <v>1</v>
      </c>
      <c r="AX13" s="11">
        <v>2.404943654208772E-148</v>
      </c>
      <c r="AY13" s="11">
        <v>1</v>
      </c>
      <c r="AZ13" s="11">
        <v>0</v>
      </c>
      <c r="BA13" s="11">
        <v>1</v>
      </c>
      <c r="BB13" s="11">
        <v>2.9615810909522833E-185</v>
      </c>
      <c r="BC13" s="11">
        <v>1</v>
      </c>
      <c r="BD13" s="11">
        <v>0</v>
      </c>
      <c r="BE13" s="11">
        <v>1</v>
      </c>
      <c r="BF13" s="11">
        <v>1.4624497416904881E-15</v>
      </c>
      <c r="BG13" s="2">
        <v>0.999999999999999</v>
      </c>
      <c r="BH13" s="2">
        <v>1.4432899320127041E-15</v>
      </c>
      <c r="BI13" s="2">
        <v>0.99999999999999856</v>
      </c>
    </row>
    <row r="14" spans="1:61" x14ac:dyDescent="0.35">
      <c r="A14" s="11" t="s">
        <v>23</v>
      </c>
      <c r="B14" s="11">
        <v>1.122046647098312E-86</v>
      </c>
      <c r="C14" s="11">
        <v>1</v>
      </c>
      <c r="D14" s="11">
        <v>0</v>
      </c>
      <c r="E14" s="11">
        <v>1</v>
      </c>
      <c r="F14" s="11">
        <v>1.3944129081349429E-94</v>
      </c>
      <c r="G14" s="11">
        <v>1</v>
      </c>
      <c r="H14" s="11">
        <v>0</v>
      </c>
      <c r="I14" s="11">
        <v>1</v>
      </c>
      <c r="J14" s="11">
        <v>3.7585550675657738E-51</v>
      </c>
      <c r="K14" s="11">
        <v>1</v>
      </c>
      <c r="L14" s="11">
        <v>0</v>
      </c>
      <c r="M14" s="11">
        <v>1</v>
      </c>
      <c r="N14" s="11">
        <v>6.4971223240490441E-146</v>
      </c>
      <c r="O14" s="11">
        <v>1</v>
      </c>
      <c r="P14" s="11">
        <v>0</v>
      </c>
      <c r="Q14" s="11">
        <v>1</v>
      </c>
      <c r="R14" s="11">
        <v>7.2250008608970368E-179</v>
      </c>
      <c r="S14" s="11">
        <v>1</v>
      </c>
      <c r="T14" s="11">
        <v>0</v>
      </c>
      <c r="U14" s="11">
        <v>1</v>
      </c>
      <c r="V14" s="11">
        <v>7.0562677454433879E-58</v>
      </c>
      <c r="W14" s="11">
        <v>1</v>
      </c>
      <c r="X14" s="11">
        <v>0</v>
      </c>
      <c r="Y14" s="11">
        <v>1</v>
      </c>
      <c r="Z14" s="11">
        <v>5.4000264204073981E-113</v>
      </c>
      <c r="AA14" s="11">
        <v>1</v>
      </c>
      <c r="AB14" s="11">
        <v>0</v>
      </c>
      <c r="AC14" s="11">
        <v>1</v>
      </c>
      <c r="AD14" s="11">
        <v>3.4045060532262742E-187</v>
      </c>
      <c r="AE14" s="11">
        <v>1</v>
      </c>
      <c r="AF14" s="11">
        <v>0</v>
      </c>
      <c r="AG14" s="11">
        <v>1</v>
      </c>
      <c r="AH14" s="11">
        <v>2.425141220284132E-6</v>
      </c>
      <c r="AI14" s="11">
        <v>0.99999831688327856</v>
      </c>
      <c r="AJ14" s="11">
        <v>1.4810834696454829E-6</v>
      </c>
      <c r="AK14" s="11">
        <v>0.99999851891653035</v>
      </c>
      <c r="AL14" s="11">
        <v>2.454723128522135E-68</v>
      </c>
      <c r="AM14" s="11">
        <v>1</v>
      </c>
      <c r="AN14" s="11">
        <v>0</v>
      </c>
      <c r="AO14" s="11">
        <v>1</v>
      </c>
      <c r="AP14" s="11">
        <v>1.157860406755632E-260</v>
      </c>
      <c r="AQ14" s="11">
        <v>1</v>
      </c>
      <c r="AR14" s="11">
        <v>0</v>
      </c>
      <c r="AS14" s="11">
        <v>1</v>
      </c>
      <c r="AT14" s="11">
        <v>6.6569854056430112E-3</v>
      </c>
      <c r="AU14" s="11">
        <v>0.99421172315698081</v>
      </c>
      <c r="AV14" s="11">
        <v>6.2209463336887483E-3</v>
      </c>
      <c r="AW14" s="11">
        <v>0.99377905366631125</v>
      </c>
      <c r="AX14" s="11">
        <v>1.9304614207791681E-61</v>
      </c>
      <c r="AY14" s="11">
        <v>1</v>
      </c>
      <c r="AZ14" s="11">
        <v>0</v>
      </c>
      <c r="BA14" s="11">
        <v>1</v>
      </c>
      <c r="BB14" s="11">
        <v>7.3023648994880731E-180</v>
      </c>
      <c r="BC14" s="11">
        <v>1</v>
      </c>
      <c r="BD14" s="11">
        <v>0</v>
      </c>
      <c r="BE14" s="11">
        <v>1</v>
      </c>
      <c r="BF14" s="11">
        <v>0.9998184688162598</v>
      </c>
      <c r="BG14" s="2">
        <v>2.1906055714975949E-4</v>
      </c>
      <c r="BH14" s="2">
        <v>0.99979894375553213</v>
      </c>
      <c r="BI14" s="2">
        <v>2.0105624446782041E-4</v>
      </c>
    </row>
    <row r="15" spans="1:61" x14ac:dyDescent="0.35">
      <c r="A15" s="9" t="s">
        <v>24</v>
      </c>
      <c r="B15" s="9">
        <v>1.027366975828463E-144</v>
      </c>
      <c r="C15" s="9">
        <v>1</v>
      </c>
      <c r="D15" s="9">
        <v>0</v>
      </c>
      <c r="E15" s="9">
        <v>1</v>
      </c>
      <c r="F15" s="9">
        <v>5.4000264204073981E-113</v>
      </c>
      <c r="G15" s="9">
        <v>1</v>
      </c>
      <c r="H15" s="9">
        <v>0</v>
      </c>
      <c r="I15" s="9">
        <v>1</v>
      </c>
      <c r="J15" s="9">
        <v>1.4495075047826989E-90</v>
      </c>
      <c r="K15" s="9">
        <v>1</v>
      </c>
      <c r="L15" s="9">
        <v>0</v>
      </c>
      <c r="M15" s="9">
        <v>1</v>
      </c>
      <c r="N15" s="9">
        <v>6.6978574091944809E-160</v>
      </c>
      <c r="O15" s="9">
        <v>1</v>
      </c>
      <c r="P15" s="9">
        <v>0</v>
      </c>
      <c r="Q15" s="9">
        <v>1</v>
      </c>
      <c r="R15" s="9">
        <v>4.7695483598372971E-62</v>
      </c>
      <c r="S15" s="9">
        <v>1</v>
      </c>
      <c r="T15" s="9">
        <v>0</v>
      </c>
      <c r="U15" s="9">
        <v>1</v>
      </c>
      <c r="V15" s="9">
        <v>5.7444478971644066E-23</v>
      </c>
      <c r="W15" s="9">
        <v>1</v>
      </c>
      <c r="X15" s="9">
        <v>0</v>
      </c>
      <c r="Y15" s="9">
        <v>1</v>
      </c>
      <c r="Z15" s="9">
        <v>7.7756403794340515E-78</v>
      </c>
      <c r="AA15" s="9">
        <v>1</v>
      </c>
      <c r="AB15" s="9">
        <v>0</v>
      </c>
      <c r="AC15" s="9">
        <v>1</v>
      </c>
      <c r="AD15" s="9">
        <v>3.5029776358737497E-141</v>
      </c>
      <c r="AE15" s="9">
        <v>1</v>
      </c>
      <c r="AF15" s="9">
        <v>0</v>
      </c>
      <c r="AG15" s="9">
        <v>1</v>
      </c>
      <c r="AH15" s="9">
        <v>0.99999831688327856</v>
      </c>
      <c r="AI15" s="9">
        <v>2.425141220284132E-6</v>
      </c>
      <c r="AJ15" s="9">
        <v>0.99999786766127818</v>
      </c>
      <c r="AK15" s="9">
        <v>2.1323387218256759E-6</v>
      </c>
      <c r="AL15" s="9">
        <v>3.7585550675657738E-51</v>
      </c>
      <c r="AM15" s="9">
        <v>1</v>
      </c>
      <c r="AN15" s="9">
        <v>0</v>
      </c>
      <c r="AO15" s="9">
        <v>1</v>
      </c>
      <c r="AP15" s="9">
        <v>3.2199735654230919E-194</v>
      </c>
      <c r="AQ15" s="9">
        <v>1</v>
      </c>
      <c r="AR15" s="9">
        <v>0</v>
      </c>
      <c r="AS15" s="9">
        <v>1</v>
      </c>
      <c r="AT15" s="9">
        <v>5.5319197747443668E-220</v>
      </c>
      <c r="AU15" s="9">
        <v>1</v>
      </c>
      <c r="AV15" s="9">
        <v>0</v>
      </c>
      <c r="AW15" s="9">
        <v>1</v>
      </c>
      <c r="AX15" s="9">
        <v>5.0454549307334114E-103</v>
      </c>
      <c r="AY15" s="9">
        <v>1</v>
      </c>
      <c r="AZ15" s="9">
        <v>0</v>
      </c>
      <c r="BA15" s="9">
        <v>1</v>
      </c>
      <c r="BB15" s="9">
        <v>1.27371932048623E-174</v>
      </c>
      <c r="BC15" s="9">
        <v>1</v>
      </c>
      <c r="BD15" s="9">
        <v>0</v>
      </c>
      <c r="BE15" s="9">
        <v>1</v>
      </c>
      <c r="BF15" s="9">
        <v>1.0561768432081439E-29</v>
      </c>
      <c r="BG15" s="2">
        <v>1</v>
      </c>
      <c r="BH15" s="2">
        <v>0</v>
      </c>
      <c r="BI15" s="2">
        <v>1</v>
      </c>
    </row>
    <row r="16" spans="1:61" x14ac:dyDescent="0.35">
      <c r="A16" s="9" t="s">
        <v>25</v>
      </c>
      <c r="B16" s="9">
        <v>7.9964358221981858E-151</v>
      </c>
      <c r="C16" s="9">
        <v>1</v>
      </c>
      <c r="D16" s="9">
        <v>0</v>
      </c>
      <c r="E16" s="9">
        <v>1</v>
      </c>
      <c r="F16" s="9">
        <v>1.1881822289344749E-212</v>
      </c>
      <c r="G16" s="9">
        <v>1</v>
      </c>
      <c r="H16" s="9">
        <v>0</v>
      </c>
      <c r="I16" s="9">
        <v>1</v>
      </c>
      <c r="J16" s="9">
        <v>1.1881822289344749E-212</v>
      </c>
      <c r="K16" s="9">
        <v>1</v>
      </c>
      <c r="L16" s="9">
        <v>0</v>
      </c>
      <c r="M16" s="9">
        <v>1</v>
      </c>
      <c r="N16" s="9">
        <v>6.7186205577721868E-104</v>
      </c>
      <c r="O16" s="9">
        <v>1</v>
      </c>
      <c r="P16" s="9">
        <v>0</v>
      </c>
      <c r="Q16" s="9">
        <v>1</v>
      </c>
      <c r="R16" s="9">
        <v>2.3842679704473091E-142</v>
      </c>
      <c r="S16" s="9">
        <v>1</v>
      </c>
      <c r="T16" s="9">
        <v>0</v>
      </c>
      <c r="U16" s="9">
        <v>1</v>
      </c>
      <c r="V16" s="9">
        <v>7.0502656550163309E-139</v>
      </c>
      <c r="W16" s="9">
        <v>1</v>
      </c>
      <c r="X16" s="9">
        <v>0</v>
      </c>
      <c r="Y16" s="9">
        <v>1</v>
      </c>
      <c r="Z16" s="9">
        <v>8.1621766870248294E-117</v>
      </c>
      <c r="AA16" s="9">
        <v>1</v>
      </c>
      <c r="AB16" s="9">
        <v>0</v>
      </c>
      <c r="AC16" s="9">
        <v>1</v>
      </c>
      <c r="AD16" s="9">
        <v>1.1881822289344749E-212</v>
      </c>
      <c r="AE16" s="9">
        <v>1</v>
      </c>
      <c r="AF16" s="9">
        <v>0</v>
      </c>
      <c r="AG16" s="9">
        <v>1</v>
      </c>
      <c r="AH16" s="9">
        <v>3.0726242659104559E-157</v>
      </c>
      <c r="AI16" s="9">
        <v>1</v>
      </c>
      <c r="AJ16" s="9">
        <v>0</v>
      </c>
      <c r="AK16" s="9">
        <v>1</v>
      </c>
      <c r="AL16" s="9">
        <v>6.2672177835785651E-156</v>
      </c>
      <c r="AM16" s="9">
        <v>1</v>
      </c>
      <c r="AN16" s="9">
        <v>0</v>
      </c>
      <c r="AO16" s="9">
        <v>1</v>
      </c>
      <c r="AP16" s="9">
        <v>6.1162364502226952E-297</v>
      </c>
      <c r="AQ16" s="9">
        <v>1</v>
      </c>
      <c r="AR16" s="9">
        <v>0</v>
      </c>
      <c r="AS16" s="9">
        <v>1</v>
      </c>
      <c r="AT16" s="9">
        <v>0</v>
      </c>
      <c r="AU16" s="9">
        <v>1</v>
      </c>
      <c r="AV16" s="9">
        <v>0</v>
      </c>
      <c r="AW16" s="9">
        <v>1</v>
      </c>
      <c r="AX16" s="9">
        <v>7.2250008608970368E-179</v>
      </c>
      <c r="AY16" s="9">
        <v>1</v>
      </c>
      <c r="AZ16" s="9">
        <v>0</v>
      </c>
      <c r="BA16" s="9">
        <v>1</v>
      </c>
      <c r="BB16" s="9">
        <v>6.1162364502226952E-297</v>
      </c>
      <c r="BC16" s="9">
        <v>1</v>
      </c>
      <c r="BD16" s="9">
        <v>0</v>
      </c>
      <c r="BE16" s="9">
        <v>1</v>
      </c>
      <c r="BF16" s="9">
        <v>0</v>
      </c>
      <c r="BG16" s="2">
        <v>1</v>
      </c>
      <c r="BH16" s="2">
        <v>0</v>
      </c>
      <c r="BI16" s="2">
        <v>1</v>
      </c>
    </row>
    <row r="17" spans="1:61" x14ac:dyDescent="0.35">
      <c r="A17" s="9" t="s">
        <v>26</v>
      </c>
      <c r="B17" s="9">
        <v>1.7001674144718879E-200</v>
      </c>
      <c r="C17" s="9">
        <v>1</v>
      </c>
      <c r="D17" s="9">
        <v>0</v>
      </c>
      <c r="E17" s="9">
        <v>1</v>
      </c>
      <c r="F17" s="9">
        <v>1.1881822289344749E-212</v>
      </c>
      <c r="G17" s="9">
        <v>1</v>
      </c>
      <c r="H17" s="9">
        <v>0</v>
      </c>
      <c r="I17" s="9">
        <v>1</v>
      </c>
      <c r="J17" s="9">
        <v>1.1881822289344749E-212</v>
      </c>
      <c r="K17" s="9">
        <v>1</v>
      </c>
      <c r="L17" s="9">
        <v>0</v>
      </c>
      <c r="M17" s="9">
        <v>1</v>
      </c>
      <c r="N17" s="9">
        <v>1.2126531082110179E-202</v>
      </c>
      <c r="O17" s="9">
        <v>1</v>
      </c>
      <c r="P17" s="9">
        <v>0</v>
      </c>
      <c r="Q17" s="9">
        <v>1</v>
      </c>
      <c r="R17" s="9">
        <v>1.1881822289344749E-212</v>
      </c>
      <c r="S17" s="9">
        <v>1</v>
      </c>
      <c r="T17" s="9">
        <v>0</v>
      </c>
      <c r="U17" s="9">
        <v>1</v>
      </c>
      <c r="V17" s="9">
        <v>8.376684713988048E-210</v>
      </c>
      <c r="W17" s="9">
        <v>1</v>
      </c>
      <c r="X17" s="9">
        <v>0</v>
      </c>
      <c r="Y17" s="9">
        <v>1</v>
      </c>
      <c r="Z17" s="9">
        <v>9.3163432430796114E-191</v>
      </c>
      <c r="AA17" s="9">
        <v>1</v>
      </c>
      <c r="AB17" s="9">
        <v>0</v>
      </c>
      <c r="AC17" s="9">
        <v>1</v>
      </c>
      <c r="AD17" s="9">
        <v>1.1881822289344749E-212</v>
      </c>
      <c r="AE17" s="9">
        <v>1</v>
      </c>
      <c r="AF17" s="9">
        <v>0</v>
      </c>
      <c r="AG17" s="9">
        <v>1</v>
      </c>
      <c r="AH17" s="9">
        <v>1.1881822289344749E-212</v>
      </c>
      <c r="AI17" s="9">
        <v>1</v>
      </c>
      <c r="AJ17" s="9">
        <v>0</v>
      </c>
      <c r="AK17" s="9">
        <v>1</v>
      </c>
      <c r="AL17" s="9">
        <v>2.9486049011460819E-207</v>
      </c>
      <c r="AM17" s="9">
        <v>1</v>
      </c>
      <c r="AN17" s="9">
        <v>0</v>
      </c>
      <c r="AO17" s="9">
        <v>1</v>
      </c>
      <c r="AP17" s="9">
        <v>6.1162364502226952E-297</v>
      </c>
      <c r="AQ17" s="9">
        <v>1</v>
      </c>
      <c r="AR17" s="9">
        <v>0</v>
      </c>
      <c r="AS17" s="9">
        <v>1</v>
      </c>
      <c r="AT17" s="9">
        <v>0</v>
      </c>
      <c r="AU17" s="9">
        <v>1</v>
      </c>
      <c r="AV17" s="9">
        <v>0</v>
      </c>
      <c r="AW17" s="9">
        <v>1</v>
      </c>
      <c r="AX17" s="9">
        <v>7.2250008608970368E-179</v>
      </c>
      <c r="AY17" s="9">
        <v>1</v>
      </c>
      <c r="AZ17" s="9">
        <v>0</v>
      </c>
      <c r="BA17" s="9">
        <v>1</v>
      </c>
      <c r="BB17" s="9">
        <v>6.1162364502226952E-297</v>
      </c>
      <c r="BC17" s="9">
        <v>1</v>
      </c>
      <c r="BD17" s="9">
        <v>0</v>
      </c>
      <c r="BE17" s="9">
        <v>1</v>
      </c>
      <c r="BF17" s="9">
        <v>0</v>
      </c>
      <c r="BG17" s="2">
        <v>1</v>
      </c>
      <c r="BH17" s="2">
        <v>0</v>
      </c>
      <c r="BI17" s="2">
        <v>1</v>
      </c>
    </row>
    <row r="18" spans="1:61" x14ac:dyDescent="0.35">
      <c r="A18" s="9" t="s">
        <v>27</v>
      </c>
      <c r="B18" s="9">
        <v>6.9096200754625612E-205</v>
      </c>
      <c r="C18" s="9">
        <v>1</v>
      </c>
      <c r="D18" s="9">
        <v>0</v>
      </c>
      <c r="E18" s="9">
        <v>1</v>
      </c>
      <c r="F18" s="9">
        <v>1.1881822289344749E-212</v>
      </c>
      <c r="G18" s="9">
        <v>1</v>
      </c>
      <c r="H18" s="9">
        <v>0</v>
      </c>
      <c r="I18" s="9">
        <v>1</v>
      </c>
      <c r="J18" s="9">
        <v>1.1881822289344749E-212</v>
      </c>
      <c r="K18" s="9">
        <v>1</v>
      </c>
      <c r="L18" s="9">
        <v>0</v>
      </c>
      <c r="M18" s="9">
        <v>1</v>
      </c>
      <c r="N18" s="9">
        <v>1.1881822289344749E-212</v>
      </c>
      <c r="O18" s="9">
        <v>1</v>
      </c>
      <c r="P18" s="9">
        <v>0</v>
      </c>
      <c r="Q18" s="9">
        <v>1</v>
      </c>
      <c r="R18" s="9">
        <v>1.1881822289344749E-212</v>
      </c>
      <c r="S18" s="9">
        <v>1</v>
      </c>
      <c r="T18" s="9">
        <v>0</v>
      </c>
      <c r="U18" s="9">
        <v>1</v>
      </c>
      <c r="V18" s="9">
        <v>1.1881822289344749E-212</v>
      </c>
      <c r="W18" s="9">
        <v>1</v>
      </c>
      <c r="X18" s="9">
        <v>0</v>
      </c>
      <c r="Y18" s="9">
        <v>1</v>
      </c>
      <c r="Z18" s="9">
        <v>1.1881822289344749E-212</v>
      </c>
      <c r="AA18" s="9">
        <v>1</v>
      </c>
      <c r="AB18" s="9">
        <v>0</v>
      </c>
      <c r="AC18" s="9">
        <v>1</v>
      </c>
      <c r="AD18" s="9">
        <v>8.376684713988048E-210</v>
      </c>
      <c r="AE18" s="9">
        <v>1</v>
      </c>
      <c r="AF18" s="9">
        <v>0</v>
      </c>
      <c r="AG18" s="9">
        <v>1</v>
      </c>
      <c r="AH18" s="9">
        <v>1.1881822289344749E-212</v>
      </c>
      <c r="AI18" s="9">
        <v>1</v>
      </c>
      <c r="AJ18" s="9">
        <v>0</v>
      </c>
      <c r="AK18" s="9">
        <v>1</v>
      </c>
      <c r="AL18" s="9">
        <v>1.1881822289344749E-212</v>
      </c>
      <c r="AM18" s="9">
        <v>1</v>
      </c>
      <c r="AN18" s="9">
        <v>0</v>
      </c>
      <c r="AO18" s="9">
        <v>1</v>
      </c>
      <c r="AP18" s="9">
        <v>6.1162364502226952E-297</v>
      </c>
      <c r="AQ18" s="9">
        <v>1</v>
      </c>
      <c r="AR18" s="9">
        <v>0</v>
      </c>
      <c r="AS18" s="9">
        <v>1</v>
      </c>
      <c r="AT18" s="9">
        <v>0</v>
      </c>
      <c r="AU18" s="9">
        <v>1</v>
      </c>
      <c r="AV18" s="9">
        <v>0</v>
      </c>
      <c r="AW18" s="9">
        <v>1</v>
      </c>
      <c r="AX18" s="9">
        <v>8.376684713988048E-210</v>
      </c>
      <c r="AY18" s="9">
        <v>1</v>
      </c>
      <c r="AZ18" s="9">
        <v>0</v>
      </c>
      <c r="BA18" s="9">
        <v>1</v>
      </c>
      <c r="BB18" s="9">
        <v>2.9640566247433731E-291</v>
      </c>
      <c r="BC18" s="9">
        <v>1</v>
      </c>
      <c r="BD18" s="9">
        <v>0</v>
      </c>
      <c r="BE18" s="9">
        <v>1</v>
      </c>
      <c r="BF18" s="9">
        <v>0</v>
      </c>
      <c r="BG18" s="2">
        <v>1</v>
      </c>
      <c r="BH18" s="2">
        <v>0</v>
      </c>
      <c r="BI18" s="2">
        <v>1</v>
      </c>
    </row>
    <row r="19" spans="1:61" x14ac:dyDescent="0.35">
      <c r="A19" s="9" t="s">
        <v>28</v>
      </c>
      <c r="B19" s="9">
        <v>1.1881822289344749E-212</v>
      </c>
      <c r="C19" s="9">
        <v>1</v>
      </c>
      <c r="D19" s="9">
        <v>0</v>
      </c>
      <c r="E19" s="9">
        <v>1</v>
      </c>
      <c r="F19" s="9">
        <v>1.1881822289344749E-212</v>
      </c>
      <c r="G19" s="9">
        <v>1</v>
      </c>
      <c r="H19" s="9">
        <v>0</v>
      </c>
      <c r="I19" s="9">
        <v>1</v>
      </c>
      <c r="J19" s="9">
        <v>1.1881822289344749E-212</v>
      </c>
      <c r="K19" s="9">
        <v>1</v>
      </c>
      <c r="L19" s="9">
        <v>0</v>
      </c>
      <c r="M19" s="9">
        <v>1</v>
      </c>
      <c r="N19" s="9">
        <v>1.1881822289344749E-212</v>
      </c>
      <c r="O19" s="9">
        <v>1</v>
      </c>
      <c r="P19" s="9">
        <v>0</v>
      </c>
      <c r="Q19" s="9">
        <v>1</v>
      </c>
      <c r="R19" s="9">
        <v>1.1881822289344749E-212</v>
      </c>
      <c r="S19" s="9">
        <v>1</v>
      </c>
      <c r="T19" s="9">
        <v>0</v>
      </c>
      <c r="U19" s="9">
        <v>1</v>
      </c>
      <c r="V19" s="9">
        <v>1.1881822289344749E-212</v>
      </c>
      <c r="W19" s="9">
        <v>1</v>
      </c>
      <c r="X19" s="9">
        <v>0</v>
      </c>
      <c r="Y19" s="9">
        <v>1</v>
      </c>
      <c r="Z19" s="9">
        <v>1.1881822289344749E-212</v>
      </c>
      <c r="AA19" s="9">
        <v>1</v>
      </c>
      <c r="AB19" s="9">
        <v>0</v>
      </c>
      <c r="AC19" s="9">
        <v>1</v>
      </c>
      <c r="AD19" s="9">
        <v>1.1881822289344749E-212</v>
      </c>
      <c r="AE19" s="9">
        <v>1</v>
      </c>
      <c r="AF19" s="9">
        <v>0</v>
      </c>
      <c r="AG19" s="9">
        <v>1</v>
      </c>
      <c r="AH19" s="9">
        <v>1.1881822289344749E-212</v>
      </c>
      <c r="AI19" s="9">
        <v>1</v>
      </c>
      <c r="AJ19" s="9">
        <v>0</v>
      </c>
      <c r="AK19" s="9">
        <v>1</v>
      </c>
      <c r="AL19" s="9">
        <v>1.1881822289344749E-212</v>
      </c>
      <c r="AM19" s="9">
        <v>1</v>
      </c>
      <c r="AN19" s="9">
        <v>0</v>
      </c>
      <c r="AO19" s="9">
        <v>1</v>
      </c>
      <c r="AP19" s="9">
        <v>6.1162364502226952E-297</v>
      </c>
      <c r="AQ19" s="9">
        <v>1</v>
      </c>
      <c r="AR19" s="9">
        <v>0</v>
      </c>
      <c r="AS19" s="9">
        <v>1</v>
      </c>
      <c r="AT19" s="9">
        <v>0</v>
      </c>
      <c r="AU19" s="9">
        <v>1</v>
      </c>
      <c r="AV19" s="9">
        <v>0</v>
      </c>
      <c r="AW19" s="9">
        <v>1</v>
      </c>
      <c r="AX19" s="9">
        <v>1.2126531082110179E-202</v>
      </c>
      <c r="AY19" s="9">
        <v>1</v>
      </c>
      <c r="AZ19" s="9">
        <v>0</v>
      </c>
      <c r="BA19" s="9">
        <v>1</v>
      </c>
      <c r="BB19" s="9">
        <v>6.1162364502226952E-297</v>
      </c>
      <c r="BC19" s="9">
        <v>1</v>
      </c>
      <c r="BD19" s="9">
        <v>0</v>
      </c>
      <c r="BE19" s="9">
        <v>1</v>
      </c>
      <c r="BF19" s="9">
        <v>0</v>
      </c>
      <c r="BG19" s="2">
        <v>1</v>
      </c>
      <c r="BH19" s="2">
        <v>0</v>
      </c>
      <c r="BI19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vgg16_Class_0_all</vt:lpstr>
      <vt:lpstr>vgg16_Class_1_all</vt:lpstr>
      <vt:lpstr>vgg16_Class_2_all</vt:lpstr>
      <vt:lpstr>vgg16_Class_0_bg</vt:lpstr>
      <vt:lpstr>vgg16_Class_1_bg</vt:lpstr>
      <vt:lpstr>vgg16_Class_2_bg</vt:lpstr>
      <vt:lpstr>vgg16_Class_0_coat</vt:lpstr>
      <vt:lpstr>vgg16_Class_1_coat</vt:lpstr>
      <vt:lpstr>vgg16_Class_2_coat</vt:lpstr>
      <vt:lpstr>vgg16_Class_0_face</vt:lpstr>
      <vt:lpstr>vgg16_Class_1_face</vt:lpstr>
      <vt:lpstr>vgg16_Class_2_face</vt:lpstr>
      <vt:lpstr>vgg16_Class_0_legs</vt:lpstr>
      <vt:lpstr>vgg16_Class_1_legs</vt:lpstr>
      <vt:lpstr>vgg16_Class_2_legs</vt:lpstr>
      <vt:lpstr>Summary</vt:lpstr>
      <vt:lpstr>PValue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2026-02-01T13:51:12Z</dcterms:created>
  <dcterms:modified xsi:type="dcterms:W3CDTF">2026-02-01T17:41:20Z</dcterms:modified>
</cp:coreProperties>
</file>