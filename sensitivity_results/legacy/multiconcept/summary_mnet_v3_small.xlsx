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rikant1\Downloads\results\sensitivity_summmary\Updatedsummary\mnetsmall\"/>
    </mc:Choice>
  </mc:AlternateContent>
  <xr:revisionPtr revIDLastSave="0" documentId="13_ncr:1_{42A72EE1-0EA4-4B33-B16D-6B07DEBD08CE}" xr6:coauthVersionLast="47" xr6:coauthVersionMax="47" xr10:uidLastSave="{00000000-0000-0000-0000-000000000000}"/>
  <bookViews>
    <workbookView xWindow="-110" yWindow="-110" windowWidth="19420" windowHeight="11500" firstSheet="13" activeTab="16" xr2:uid="{00000000-000D-0000-FFFF-FFFF00000000}"/>
  </bookViews>
  <sheets>
    <sheet name="mnet_v3_small_Class_0_all" sheetId="1" r:id="rId1"/>
    <sheet name="mnet_v3_small_Class_1_all" sheetId="2" r:id="rId2"/>
    <sheet name="mnet_v3_small_Class_2_all" sheetId="3" r:id="rId3"/>
    <sheet name="mnet_v3_small_Class_0_bg" sheetId="4" r:id="rId4"/>
    <sheet name="mnet_v3_small_Class_1_bg" sheetId="5" r:id="rId5"/>
    <sheet name="mnet_v3_small_Class_2_bg" sheetId="6" r:id="rId6"/>
    <sheet name="mnet_v3_small_Class_0_coat" sheetId="7" r:id="rId7"/>
    <sheet name="mnet_v3_small_Class_1_coat" sheetId="8" r:id="rId8"/>
    <sheet name="mnet_v3_small_Class_2_coat" sheetId="9" r:id="rId9"/>
    <sheet name="mnet_v3_small_Class_0_face" sheetId="10" r:id="rId10"/>
    <sheet name="mnet_v3_small_Class_1_face" sheetId="11" r:id="rId11"/>
    <sheet name="mnet_v3_small_Class_2_face" sheetId="12" r:id="rId12"/>
    <sheet name="mnet_v3_small_Class_0_legs" sheetId="13" r:id="rId13"/>
    <sheet name="mnet_v3_small_Class_1_legs" sheetId="14" r:id="rId14"/>
    <sheet name="mnet_v3_small_Class_2_legs" sheetId="15" r:id="rId15"/>
    <sheet name="Summary" sheetId="16" r:id="rId16"/>
    <sheet name="PValue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" i="16" l="1"/>
  <c r="Q52" i="16"/>
  <c r="Q51" i="16"/>
  <c r="Q50" i="16"/>
  <c r="Q49" i="16"/>
  <c r="Q48" i="16"/>
  <c r="Q47" i="16"/>
  <c r="Q46" i="16"/>
  <c r="Q45" i="16"/>
  <c r="Q44" i="16"/>
  <c r="Q43" i="16"/>
  <c r="Q42" i="16"/>
  <c r="Q41" i="16"/>
  <c r="Q40" i="16"/>
  <c r="Q39" i="16"/>
  <c r="Q38" i="16"/>
  <c r="Q37" i="16"/>
  <c r="Q36" i="16"/>
  <c r="Q35" i="16"/>
  <c r="Q34" i="16"/>
  <c r="Q33" i="16"/>
  <c r="Q32" i="16"/>
  <c r="Q31" i="16"/>
  <c r="Q30" i="16"/>
  <c r="Q29" i="16"/>
  <c r="Q28" i="16"/>
  <c r="Q27" i="16"/>
  <c r="Q26" i="16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Q4" i="16"/>
  <c r="Q3" i="16"/>
  <c r="Q2" i="16"/>
  <c r="P69" i="16"/>
  <c r="O69" i="16"/>
  <c r="N69" i="16"/>
  <c r="M69" i="16"/>
  <c r="L69" i="16"/>
  <c r="K69" i="16"/>
  <c r="J69" i="16"/>
  <c r="I69" i="16"/>
  <c r="H69" i="16"/>
  <c r="G69" i="16"/>
  <c r="G71" i="16" s="1"/>
  <c r="F69" i="16"/>
  <c r="F71" i="16" s="1"/>
  <c r="E69" i="16"/>
  <c r="E71" i="16" s="1"/>
  <c r="D69" i="16"/>
  <c r="D71" i="16" s="1"/>
  <c r="C69" i="16"/>
  <c r="C71" i="16" s="1"/>
  <c r="B69" i="16"/>
  <c r="G70" i="16"/>
  <c r="F70" i="16"/>
  <c r="E70" i="16"/>
  <c r="D70" i="16"/>
  <c r="F68" i="16"/>
  <c r="P67" i="16"/>
  <c r="O67" i="16"/>
  <c r="N67" i="16"/>
  <c r="M67" i="16"/>
  <c r="L67" i="16"/>
  <c r="K67" i="16"/>
  <c r="J67" i="16"/>
  <c r="I67" i="16"/>
  <c r="H67" i="16"/>
  <c r="G67" i="16"/>
  <c r="G68" i="16" s="1"/>
  <c r="F67" i="16"/>
  <c r="E67" i="16"/>
  <c r="D67" i="16"/>
  <c r="C67" i="16"/>
  <c r="B67" i="16"/>
  <c r="P66" i="16"/>
  <c r="O66" i="16"/>
  <c r="N66" i="16"/>
  <c r="M66" i="16"/>
  <c r="L66" i="16"/>
  <c r="K66" i="16"/>
  <c r="J66" i="16"/>
  <c r="I66" i="16"/>
  <c r="H66" i="16"/>
  <c r="H70" i="16" s="1"/>
  <c r="G66" i="16"/>
  <c r="F66" i="16"/>
  <c r="E66" i="16"/>
  <c r="D66" i="16"/>
  <c r="C66" i="16"/>
  <c r="B66" i="16"/>
  <c r="P65" i="16"/>
  <c r="P71" i="16" s="1"/>
  <c r="O65" i="16"/>
  <c r="O71" i="16" s="1"/>
  <c r="N65" i="16"/>
  <c r="N71" i="16" s="1"/>
  <c r="M65" i="16"/>
  <c r="M71" i="16" s="1"/>
  <c r="L65" i="16"/>
  <c r="L70" i="16" s="1"/>
  <c r="K65" i="16"/>
  <c r="K70" i="16" s="1"/>
  <c r="J65" i="16"/>
  <c r="J70" i="16" s="1"/>
  <c r="I65" i="16"/>
  <c r="I70" i="16" s="1"/>
  <c r="H65" i="16"/>
  <c r="G65" i="16"/>
  <c r="F65" i="16"/>
  <c r="E65" i="16"/>
  <c r="E68" i="16" s="1"/>
  <c r="D65" i="16"/>
  <c r="D68" i="16" s="1"/>
  <c r="C65" i="16"/>
  <c r="C70" i="16" s="1"/>
  <c r="B65" i="16"/>
  <c r="B71" i="16" s="1"/>
  <c r="J71" i="16" l="1"/>
  <c r="H68" i="16"/>
  <c r="I68" i="16"/>
  <c r="J68" i="16"/>
  <c r="K68" i="16"/>
  <c r="H71" i="16"/>
  <c r="I71" i="16"/>
  <c r="M68" i="16"/>
  <c r="N68" i="16"/>
  <c r="K71" i="16"/>
  <c r="O68" i="16"/>
  <c r="M70" i="16"/>
  <c r="L71" i="16"/>
  <c r="B68" i="16"/>
  <c r="P68" i="16"/>
  <c r="N70" i="16"/>
  <c r="L68" i="16"/>
  <c r="C68" i="16"/>
  <c r="O70" i="16"/>
  <c r="B70" i="16"/>
  <c r="P70" i="16"/>
</calcChain>
</file>

<file path=xl/sharedStrings.xml><?xml version="1.0" encoding="utf-8"?>
<sst xmlns="http://schemas.openxmlformats.org/spreadsheetml/2006/main" count="3180" uniqueCount="231">
  <si>
    <t>Layer</t>
  </si>
  <si>
    <t>Positive Sensitivity</t>
  </si>
  <si>
    <t>Negative Sensitivity</t>
  </si>
  <si>
    <t>Proportion of Positive Sensitivity</t>
  </si>
  <si>
    <t>Binomial P-value (Positive)</t>
  </si>
  <si>
    <t>Binomial P-value (Negative)</t>
  </si>
  <si>
    <t>Binomial P-value (Two-sided)</t>
  </si>
  <si>
    <t>Z-test P-value (Positive)</t>
  </si>
  <si>
    <t>Z-test P-value (Negative)</t>
  </si>
  <si>
    <t>Z-test P-value (Two-sided)</t>
  </si>
  <si>
    <t>Hypothesis Test Result</t>
  </si>
  <si>
    <t>features.0.0</t>
  </si>
  <si>
    <t>Approximation sensitive</t>
  </si>
  <si>
    <t>features.1.block.0.0</t>
  </si>
  <si>
    <t>features.1.block.1.fc1</t>
  </si>
  <si>
    <t>features.1.block.1.fc2</t>
  </si>
  <si>
    <t>features.1.block.2.0</t>
  </si>
  <si>
    <t>features.2.block.0.0</t>
  </si>
  <si>
    <t>features.2.block.1.0</t>
  </si>
  <si>
    <t>features.2.block.2.0</t>
  </si>
  <si>
    <t>features.3.block.0.0</t>
  </si>
  <si>
    <t>features.3.block.1.0</t>
  </si>
  <si>
    <t>features.3.block.2.0</t>
  </si>
  <si>
    <t>features.4.block.0.0</t>
  </si>
  <si>
    <t>features.4.block.1.0</t>
  </si>
  <si>
    <t>features.4.block.2.fc1</t>
  </si>
  <si>
    <t>features.4.block.2.fc2</t>
  </si>
  <si>
    <t>features.4.block.3.0</t>
  </si>
  <si>
    <t>features.5.block.0.0</t>
  </si>
  <si>
    <t>features.5.block.1.0</t>
  </si>
  <si>
    <t>features.5.block.2.fc1</t>
  </si>
  <si>
    <t>features.5.block.2.fc2</t>
  </si>
  <si>
    <t>features.5.block.3.0</t>
  </si>
  <si>
    <t>features.6.block.0.0</t>
  </si>
  <si>
    <t>features.6.block.1.0</t>
  </si>
  <si>
    <t>features.6.block.2.fc1</t>
  </si>
  <si>
    <t>features.6.block.2.fc2</t>
  </si>
  <si>
    <t>features.6.block.3.0</t>
  </si>
  <si>
    <t>features.7.block.0.0</t>
  </si>
  <si>
    <t>features.7.block.1.0</t>
  </si>
  <si>
    <t>features.7.block.2.fc1</t>
  </si>
  <si>
    <t>features.7.block.2.fc2</t>
  </si>
  <si>
    <t>features.7.block.3.0</t>
  </si>
  <si>
    <t>features.8.block.0.0</t>
  </si>
  <si>
    <t>features.8.block.1.0</t>
  </si>
  <si>
    <t>features.8.block.2.fc1</t>
  </si>
  <si>
    <t>features.8.block.2.fc2</t>
  </si>
  <si>
    <t>features.8.block.3.0</t>
  </si>
  <si>
    <t>features.9.block.0.0</t>
  </si>
  <si>
    <t>features.9.block.1.0</t>
  </si>
  <si>
    <t>features.9.block.2.fc1</t>
  </si>
  <si>
    <t>features.9.block.2.fc2</t>
  </si>
  <si>
    <t>features.9.block.3.0</t>
  </si>
  <si>
    <t>features.10.block.0.0</t>
  </si>
  <si>
    <t>features.10.block.1.0</t>
  </si>
  <si>
    <t>features.10.block.2.fc1</t>
  </si>
  <si>
    <t>features.10.block.2.fc2</t>
  </si>
  <si>
    <t>features.10.block.3.0</t>
  </si>
  <si>
    <t>features.11.block.0.0</t>
  </si>
  <si>
    <t>features.11.block.1.0</t>
  </si>
  <si>
    <t>features.11.block.2.fc1</t>
  </si>
  <si>
    <t>features.11.block.2.fc2</t>
  </si>
  <si>
    <t>features.11.block.3.0</t>
  </si>
  <si>
    <t>features.12.0</t>
  </si>
  <si>
    <t>Class_0_all_Hypothesis Test Result</t>
  </si>
  <si>
    <t>Class_1_all_Hypothesis Test Result</t>
  </si>
  <si>
    <t>Class_2_all_Hypothesis Test Result</t>
  </si>
  <si>
    <t>Class_0_bg_Hypothesis Test Result</t>
  </si>
  <si>
    <t>Class_1_bg_Hypothesis Test Result</t>
  </si>
  <si>
    <t>Class_2_bg_Hypothesis Test Result</t>
  </si>
  <si>
    <t>Class_0_coat_Hypothesis Test Result</t>
  </si>
  <si>
    <t>Class_1_coat_Hypothesis Test Result</t>
  </si>
  <si>
    <t>Class_2_coat_Hypothesis Test Result</t>
  </si>
  <si>
    <t>Class_0_face_Hypothesis Test Result</t>
  </si>
  <si>
    <t>Class_1_face_Hypothesis Test Result</t>
  </si>
  <si>
    <t>Class_2_face_Hypothesis Test Result</t>
  </si>
  <si>
    <t>Class_0_legs_Hypothesis Test Result</t>
  </si>
  <si>
    <t>Class_1_legs_Hypothesis Test Result</t>
  </si>
  <si>
    <t>Class_2_legs_Hypothesis Test Result</t>
  </si>
  <si>
    <t>Class_0_all_Binomial P-value (Positive)</t>
  </si>
  <si>
    <t>Class_0_all_Binomial P-value (Negative)</t>
  </si>
  <si>
    <t>Class_0_all_Z-test P-value (Positive)</t>
  </si>
  <si>
    <t>Class_0_all_Z-test P-value (Negative)</t>
  </si>
  <si>
    <t>Class_1_all_Binomial P-value (Positive)</t>
  </si>
  <si>
    <t>Class_1_all_Binomial P-value (Negative)</t>
  </si>
  <si>
    <t>Class_1_all_Z-test P-value (Positive)</t>
  </si>
  <si>
    <t>Class_1_all_Z-test P-value (Negative)</t>
  </si>
  <si>
    <t>Class_2_all_Binomial P-value (Positive)</t>
  </si>
  <si>
    <t>Class_2_all_Binomial P-value (Negative)</t>
  </si>
  <si>
    <t>Class_2_all_Z-test P-value (Positive)</t>
  </si>
  <si>
    <t>Class_2_all_Z-test P-value (Negative)</t>
  </si>
  <si>
    <t>Sum</t>
  </si>
  <si>
    <t>Row count</t>
  </si>
  <si>
    <t>Purity Index</t>
  </si>
  <si>
    <t>CSI</t>
  </si>
  <si>
    <t xml:space="preserve"> (Conv2d)</t>
  </si>
  <si>
    <t>features.0.1</t>
  </si>
  <si>
    <t xml:space="preserve"> (BatchNorm2d)</t>
  </si>
  <si>
    <t>features.0.2</t>
  </si>
  <si>
    <t xml:space="preserve"> (Hardswish)</t>
  </si>
  <si>
    <t>features.1.block.0.1</t>
  </si>
  <si>
    <t>features.1.block.0.2</t>
  </si>
  <si>
    <t xml:space="preserve"> (ReLU)</t>
  </si>
  <si>
    <t>features.1.block.1.avgpool</t>
  </si>
  <si>
    <t xml:space="preserve"> (AdaptiveAvgPool2d)</t>
  </si>
  <si>
    <t>features.1.block.1.activation</t>
  </si>
  <si>
    <t>features.1.block.1.scale_activation</t>
  </si>
  <si>
    <t xml:space="preserve"> (Hardsigmoid)</t>
  </si>
  <si>
    <t>features.1.block.1</t>
  </si>
  <si>
    <t xml:space="preserve"> (SqueezeExcitation)</t>
  </si>
  <si>
    <t>features.1.block.2.1</t>
  </si>
  <si>
    <t>features.1</t>
  </si>
  <si>
    <t xml:space="preserve"> (InvertedResidual)</t>
  </si>
  <si>
    <t>features.2.block.0.1</t>
  </si>
  <si>
    <t>features.2.block.0.2</t>
  </si>
  <si>
    <t>features.2.block.1.1</t>
  </si>
  <si>
    <t>features.2.block.1.2</t>
  </si>
  <si>
    <t>features.2.block.2.1</t>
  </si>
  <si>
    <t>features.2</t>
  </si>
  <si>
    <t>features.3.block.0.1</t>
  </si>
  <si>
    <t>features.3.block.0.2</t>
  </si>
  <si>
    <t>features.3.block.1.1</t>
  </si>
  <si>
    <t>features.3.block.1.2</t>
  </si>
  <si>
    <t>features.3.block.2.1</t>
  </si>
  <si>
    <t>features.3</t>
  </si>
  <si>
    <t>features.4.block.0.1</t>
  </si>
  <si>
    <t>features.4.block.0.2</t>
  </si>
  <si>
    <t>features.4.block.1.1</t>
  </si>
  <si>
    <t>features.4.block.1.2</t>
  </si>
  <si>
    <t>features.4.block.2.avgpool</t>
  </si>
  <si>
    <t>features.4.block.2.activation</t>
  </si>
  <si>
    <t>features.4.block.2.scale_activation</t>
  </si>
  <si>
    <t>features.4.block.2</t>
  </si>
  <si>
    <t>features.4.block.3.1</t>
  </si>
  <si>
    <t>features.4</t>
  </si>
  <si>
    <t>features.5.block.0.1</t>
  </si>
  <si>
    <t>features.5.block.0.2</t>
  </si>
  <si>
    <t>features.5.block.1.1</t>
  </si>
  <si>
    <t>features.5.block.1.2</t>
  </si>
  <si>
    <t>features.5.block.2.avgpool</t>
  </si>
  <si>
    <t>features.5.block.2.activation</t>
  </si>
  <si>
    <t>features.5.block.2.scale_activation</t>
  </si>
  <si>
    <t>features.5.block.2</t>
  </si>
  <si>
    <t>features.5.block.3.1</t>
  </si>
  <si>
    <t>features.5</t>
  </si>
  <si>
    <t>features.6.block.0.1</t>
  </si>
  <si>
    <t>features.6.block.0.2</t>
  </si>
  <si>
    <t>features.6.block.1.1</t>
  </si>
  <si>
    <t>features.6.block.1.2</t>
  </si>
  <si>
    <t>features.6.block.2.avgpool</t>
  </si>
  <si>
    <t>features.6.block.2.activation</t>
  </si>
  <si>
    <t>features.6.block.2.scale_activation</t>
  </si>
  <si>
    <t>features.6.block.2</t>
  </si>
  <si>
    <t>features.6.block.3.1</t>
  </si>
  <si>
    <t>features.6</t>
  </si>
  <si>
    <t>features.7.block.0.1</t>
  </si>
  <si>
    <t>features.7.block.0.2</t>
  </si>
  <si>
    <t>features.7.block.1.1</t>
  </si>
  <si>
    <t>features.7.block.1.2</t>
  </si>
  <si>
    <t>features.7.block.2.avgpool</t>
  </si>
  <si>
    <t>features.7.block.2.activation</t>
  </si>
  <si>
    <t>features.7.block.2.scale_activation</t>
  </si>
  <si>
    <t>features.7.block.2</t>
  </si>
  <si>
    <t>features.7.block.3.1</t>
  </si>
  <si>
    <t>features.7</t>
  </si>
  <si>
    <t>features.8.block.0.1</t>
  </si>
  <si>
    <t>features.8.block.0.2</t>
  </si>
  <si>
    <t>features.8.block.1.1</t>
  </si>
  <si>
    <t>features.8.block.1.2</t>
  </si>
  <si>
    <t>features.8.block.2.avgpool</t>
  </si>
  <si>
    <t>features.8.block.2.activation</t>
  </si>
  <si>
    <t>features.8.block.2.scale_activation</t>
  </si>
  <si>
    <t>features.8.block.2</t>
  </si>
  <si>
    <t>features.8.block.3.1</t>
  </si>
  <si>
    <t>features.8</t>
  </si>
  <si>
    <t>features.9.block.0.1</t>
  </si>
  <si>
    <t>features.9.block.0.2</t>
  </si>
  <si>
    <t>features.9.block.1.1</t>
  </si>
  <si>
    <t>features.9.block.1.2</t>
  </si>
  <si>
    <t>features.9.block.2.avgpool</t>
  </si>
  <si>
    <t>features.9.block.2.activation</t>
  </si>
  <si>
    <t>features.9.block.2.scale_activation</t>
  </si>
  <si>
    <t>features.9.block.2</t>
  </si>
  <si>
    <t>features.9.block.3.1</t>
  </si>
  <si>
    <t>features.9</t>
  </si>
  <si>
    <t>features.10.block.0.1</t>
  </si>
  <si>
    <t>features.10.block.0.2</t>
  </si>
  <si>
    <t>features.10.block.1.1</t>
  </si>
  <si>
    <t>features.10.block.1.2</t>
  </si>
  <si>
    <t>features.10.block.2.avgpool</t>
  </si>
  <si>
    <t>features.10.block.2.activation</t>
  </si>
  <si>
    <t>features.10.block.2.scale_activation</t>
  </si>
  <si>
    <t>features.10.block.2</t>
  </si>
  <si>
    <t>features.10.block.3.1</t>
  </si>
  <si>
    <t>features.10</t>
  </si>
  <si>
    <t>features.11.block.0.1</t>
  </si>
  <si>
    <t>features.11.block.0.2</t>
  </si>
  <si>
    <t>features.11.block.1.1</t>
  </si>
  <si>
    <t>features.11.block.1.2</t>
  </si>
  <si>
    <t>features.11.block.2.avgpool</t>
  </si>
  <si>
    <t>features.11.block.2.activation</t>
  </si>
  <si>
    <t>features.11.block.2.scale_activation</t>
  </si>
  <si>
    <t>features.11.block.2</t>
  </si>
  <si>
    <t>features.11.block.3.1</t>
  </si>
  <si>
    <t>features.11</t>
  </si>
  <si>
    <t>features.12.1</t>
  </si>
  <si>
    <t>features.12.2</t>
  </si>
  <si>
    <t>avgpool</t>
  </si>
  <si>
    <t>classifier.0</t>
  </si>
  <si>
    <t xml:space="preserve"> (Linear)</t>
  </si>
  <si>
    <t>classifier.1</t>
  </si>
  <si>
    <t>classifier.2</t>
  </si>
  <si>
    <t xml:space="preserve"> (Dropout)</t>
  </si>
  <si>
    <t>classifier.3</t>
  </si>
  <si>
    <t>Stem</t>
  </si>
  <si>
    <t>Inverted Residue 1</t>
  </si>
  <si>
    <t>Inverted Residue 2</t>
  </si>
  <si>
    <t>Inverted Residue 3</t>
  </si>
  <si>
    <t>Inverted Residue .4</t>
  </si>
  <si>
    <t>Inverted Residue .5</t>
  </si>
  <si>
    <t>Inverted Residue .6</t>
  </si>
  <si>
    <t>Inverted Residue .7</t>
  </si>
  <si>
    <t>Inverted Residue .8</t>
  </si>
  <si>
    <t>Inverted Residue .9</t>
  </si>
  <si>
    <t>Inverted Residue .10</t>
  </si>
  <si>
    <t>Inverted Residue .11</t>
  </si>
  <si>
    <t>Inverted Residue .12</t>
  </si>
  <si>
    <t>FC</t>
  </si>
  <si>
    <t>Hardswish</t>
  </si>
  <si>
    <t>Dropout</t>
  </si>
  <si>
    <t xml:space="preserve">Classifier FC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</si>
</sst>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7" borderId="0" xfId="0" applyFill="1" applyAlignment="1">
      <alignment horizontal="left"/>
    </xf>
    <xf numFmtId="0" fontId="0" fillId="7" borderId="0" xfId="0" applyFill="1"/>
    <xf numFmtId="0" fontId="0" fillId="8" borderId="0" xfId="0" applyFill="1" applyAlignment="1">
      <alignment horizontal="left"/>
    </xf>
    <xf numFmtId="0" fontId="0" fillId="8" borderId="0" xfId="0" applyFill="1"/>
    <xf numFmtId="0" fontId="0" fillId="9" borderId="0" xfId="0" applyFill="1" applyAlignment="1">
      <alignment horizontal="left"/>
    </xf>
    <xf numFmtId="0" fontId="0" fillId="9" borderId="0" xfId="0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11" borderId="0" xfId="0" applyFill="1" applyAlignment="1">
      <alignment horizontal="left"/>
    </xf>
    <xf numFmtId="0" fontId="0" fillId="11" borderId="0" xfId="0" applyFill="1"/>
    <xf numFmtId="0" fontId="0" fillId="12" borderId="0" xfId="0" applyFill="1" applyAlignment="1">
      <alignment horizontal="left"/>
    </xf>
    <xf numFmtId="0" fontId="0" fillId="12" borderId="0" xfId="0" applyFill="1"/>
    <xf numFmtId="0" fontId="0" fillId="13" borderId="0" xfId="0" applyFill="1" applyAlignment="1">
      <alignment horizontal="left"/>
    </xf>
    <xf numFmtId="0" fontId="0" fillId="13" borderId="0" xfId="0" applyFill="1"/>
    <xf numFmtId="0" fontId="0" fillId="14" borderId="0" xfId="0" applyFill="1" applyAlignment="1">
      <alignment horizontal="left"/>
    </xf>
    <xf numFmtId="0" fontId="0" fillId="1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370</v>
      </c>
      <c r="C2" s="2">
        <v>334</v>
      </c>
      <c r="D2" s="2">
        <v>0.52556818181818177</v>
      </c>
      <c r="E2" s="2">
        <v>0.1067839002741523</v>
      </c>
      <c r="F2" s="2">
        <v>0.90645347017408007</v>
      </c>
      <c r="G2" s="2">
        <v>0.21356780054830449</v>
      </c>
      <c r="H2" s="2">
        <v>8.7422216805207897E-2</v>
      </c>
      <c r="I2" s="2">
        <v>0.9125777831947921</v>
      </c>
      <c r="J2" s="2">
        <v>0.17484443361041579</v>
      </c>
      <c r="K2" s="2" t="s">
        <v>12</v>
      </c>
    </row>
    <row r="3" spans="1:11" x14ac:dyDescent="0.35">
      <c r="A3" s="2" t="s">
        <v>13</v>
      </c>
      <c r="B3" s="2">
        <v>406</v>
      </c>
      <c r="C3" s="2">
        <v>298</v>
      </c>
      <c r="D3" s="2">
        <v>0.57670454545454541</v>
      </c>
      <c r="E3" s="2">
        <v>2.6718596037924099E-5</v>
      </c>
      <c r="F3" s="2">
        <v>0.99998071475817496</v>
      </c>
      <c r="G3" s="2">
        <v>5.3437192075848198E-5</v>
      </c>
      <c r="H3" s="2">
        <v>2.346592452884266E-5</v>
      </c>
      <c r="I3" s="2">
        <v>0.99997653407547116</v>
      </c>
      <c r="J3" s="2">
        <v>4.6931849057685333E-5</v>
      </c>
      <c r="K3" s="2" t="s">
        <v>1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308</v>
      </c>
      <c r="C5" s="2">
        <v>396</v>
      </c>
      <c r="D5" s="2">
        <v>0.4375</v>
      </c>
      <c r="E5" s="2">
        <v>0.99960803532611964</v>
      </c>
      <c r="F5" s="2">
        <v>5.140143795173258E-4</v>
      </c>
      <c r="G5" s="2">
        <v>1.028028759034652E-3</v>
      </c>
      <c r="H5" s="2">
        <v>0.99954444056142311</v>
      </c>
      <c r="I5" s="2">
        <v>4.5555943857685638E-4</v>
      </c>
      <c r="J5" s="2">
        <v>9.1111887715378259E-4</v>
      </c>
      <c r="K5" s="2" t="s">
        <v>2</v>
      </c>
    </row>
    <row r="6" spans="1:11" x14ac:dyDescent="0.35">
      <c r="A6" s="2" t="s">
        <v>16</v>
      </c>
      <c r="B6" s="2">
        <v>404</v>
      </c>
      <c r="C6" s="2">
        <v>300</v>
      </c>
      <c r="D6" s="2">
        <v>0.57386363636363635</v>
      </c>
      <c r="E6" s="2">
        <v>5.0438205584933382E-5</v>
      </c>
      <c r="F6" s="2">
        <v>0.99996318795309103</v>
      </c>
      <c r="G6" s="2">
        <v>1.008764111698668E-4</v>
      </c>
      <c r="H6" s="2">
        <v>4.4339291497941247E-5</v>
      </c>
      <c r="I6" s="2">
        <v>0.99995566070850206</v>
      </c>
      <c r="J6" s="2">
        <v>8.8678582995882493E-5</v>
      </c>
      <c r="K6" s="2" t="s">
        <v>1</v>
      </c>
    </row>
    <row r="7" spans="1:11" x14ac:dyDescent="0.35">
      <c r="A7" s="2" t="s">
        <v>17</v>
      </c>
      <c r="B7" s="2">
        <v>411</v>
      </c>
      <c r="C7" s="2">
        <v>293</v>
      </c>
      <c r="D7" s="2">
        <v>0.58380681818181823</v>
      </c>
      <c r="E7" s="2">
        <v>4.9504061134201882E-6</v>
      </c>
      <c r="F7" s="2">
        <v>0.99999652535152628</v>
      </c>
      <c r="G7" s="2">
        <v>9.9008122268403763E-6</v>
      </c>
      <c r="H7" s="2">
        <v>4.3479729709972048E-6</v>
      </c>
      <c r="I7" s="2">
        <v>0.999995652027029</v>
      </c>
      <c r="J7" s="2">
        <v>8.6959459419944096E-6</v>
      </c>
      <c r="K7" s="2" t="s">
        <v>1</v>
      </c>
    </row>
    <row r="8" spans="1:11" x14ac:dyDescent="0.35">
      <c r="A8" s="2" t="s">
        <v>18</v>
      </c>
      <c r="B8" s="2">
        <v>382</v>
      </c>
      <c r="C8" s="2">
        <v>322</v>
      </c>
      <c r="D8" s="2">
        <v>0.54261363636363635</v>
      </c>
      <c r="E8" s="2">
        <v>1.305113666870847E-2</v>
      </c>
      <c r="F8" s="2">
        <v>0.98928135886028723</v>
      </c>
      <c r="G8" s="2">
        <v>2.610227333741693E-2</v>
      </c>
      <c r="H8" s="2">
        <v>1.186925762502733E-2</v>
      </c>
      <c r="I8" s="2">
        <v>0.98813074237497267</v>
      </c>
      <c r="J8" s="2">
        <v>2.3738515250054659E-2</v>
      </c>
      <c r="K8" s="2" t="s">
        <v>1</v>
      </c>
    </row>
    <row r="9" spans="1:11" x14ac:dyDescent="0.35">
      <c r="A9" s="2" t="s">
        <v>19</v>
      </c>
      <c r="B9" s="2">
        <v>337</v>
      </c>
      <c r="C9" s="2">
        <v>367</v>
      </c>
      <c r="D9" s="2">
        <v>0.47869318181818182</v>
      </c>
      <c r="E9" s="2">
        <v>0.87867863039430649</v>
      </c>
      <c r="F9" s="2">
        <v>0.1371961135641718</v>
      </c>
      <c r="G9" s="2">
        <v>0.27439222712834371</v>
      </c>
      <c r="H9" s="2">
        <v>0.8709024762080273</v>
      </c>
      <c r="I9" s="2">
        <v>0.12909752379197259</v>
      </c>
      <c r="J9" s="2">
        <v>0.2581950475839454</v>
      </c>
      <c r="K9" s="2" t="s">
        <v>12</v>
      </c>
    </row>
    <row r="10" spans="1:11" x14ac:dyDescent="0.35">
      <c r="A10" s="2" t="s">
        <v>20</v>
      </c>
      <c r="B10" s="2">
        <v>374</v>
      </c>
      <c r="C10" s="2">
        <v>330</v>
      </c>
      <c r="D10" s="2">
        <v>0.53125</v>
      </c>
      <c r="E10" s="2">
        <v>5.2515725500884958E-2</v>
      </c>
      <c r="F10" s="2">
        <v>0.955092866564618</v>
      </c>
      <c r="G10" s="2">
        <v>0.1050314510017699</v>
      </c>
      <c r="H10" s="2">
        <v>4.8627214219501669E-2</v>
      </c>
      <c r="I10" s="2">
        <v>0.95137278578049833</v>
      </c>
      <c r="J10" s="2">
        <v>9.7254428439003338E-2</v>
      </c>
      <c r="K10" s="2" t="s">
        <v>12</v>
      </c>
    </row>
    <row r="11" spans="1:11" x14ac:dyDescent="0.35">
      <c r="A11" s="2" t="s">
        <v>21</v>
      </c>
      <c r="B11" s="2">
        <v>430</v>
      </c>
      <c r="C11" s="2">
        <v>274</v>
      </c>
      <c r="D11" s="2">
        <v>0.61079545454545459</v>
      </c>
      <c r="E11" s="2">
        <v>2.2443084356065412E-9</v>
      </c>
      <c r="F11" s="2">
        <v>0.99999999858720068</v>
      </c>
      <c r="G11" s="2">
        <v>4.4886168712130824E-9</v>
      </c>
      <c r="H11" s="2">
        <v>2.0578957427019869E-9</v>
      </c>
      <c r="I11" s="2">
        <v>0.99999999794210426</v>
      </c>
      <c r="J11" s="2">
        <v>4.1157914854039754E-9</v>
      </c>
      <c r="K11" s="2" t="s">
        <v>1</v>
      </c>
    </row>
    <row r="12" spans="1:11" x14ac:dyDescent="0.35">
      <c r="A12" s="2" t="s">
        <v>22</v>
      </c>
      <c r="B12" s="2">
        <v>455</v>
      </c>
      <c r="C12" s="2">
        <v>249</v>
      </c>
      <c r="D12" s="2">
        <v>0.64630681818181823</v>
      </c>
      <c r="E12" s="2">
        <v>3.5800149477577373E-15</v>
      </c>
      <c r="F12" s="2">
        <v>0.99999999999999811</v>
      </c>
      <c r="G12" s="2">
        <v>7.160029895515473E-15</v>
      </c>
      <c r="H12" s="2">
        <v>4.1078251911130792E-15</v>
      </c>
      <c r="I12" s="2">
        <v>0.99999999999999589</v>
      </c>
      <c r="J12" s="2">
        <v>8.2156503822261584E-15</v>
      </c>
      <c r="K12" s="2" t="s">
        <v>1</v>
      </c>
    </row>
    <row r="13" spans="1:11" x14ac:dyDescent="0.35">
      <c r="A13" s="2" t="s">
        <v>23</v>
      </c>
      <c r="B13" s="2">
        <v>372</v>
      </c>
      <c r="C13" s="2">
        <v>332</v>
      </c>
      <c r="D13" s="2">
        <v>0.52840909090909094</v>
      </c>
      <c r="E13" s="2">
        <v>7.0771444478710852E-2</v>
      </c>
      <c r="F13" s="2">
        <v>0.93888725506558557</v>
      </c>
      <c r="G13" s="2">
        <v>0.1415428889574217</v>
      </c>
      <c r="H13" s="2">
        <v>6.583400801140693E-2</v>
      </c>
      <c r="I13" s="2">
        <v>0.93416599198859307</v>
      </c>
      <c r="J13" s="2">
        <v>0.13166801602281389</v>
      </c>
      <c r="K13" s="2" t="s">
        <v>12</v>
      </c>
    </row>
    <row r="14" spans="1:11" x14ac:dyDescent="0.35">
      <c r="A14" s="2" t="s">
        <v>24</v>
      </c>
      <c r="B14" s="2">
        <v>502</v>
      </c>
      <c r="C14" s="2">
        <v>202</v>
      </c>
      <c r="D14" s="2">
        <v>0.71306818181818177</v>
      </c>
      <c r="E14" s="2">
        <v>2.9522028872401471E-30</v>
      </c>
      <c r="F14" s="2">
        <v>1</v>
      </c>
      <c r="G14" s="2">
        <v>5.9044057744802949E-30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25</v>
      </c>
      <c r="B15" s="2">
        <v>55</v>
      </c>
      <c r="C15" s="2">
        <v>56</v>
      </c>
      <c r="D15" s="2">
        <v>0.49549549549549549</v>
      </c>
      <c r="E15" s="2">
        <v>0.57522490634277323</v>
      </c>
      <c r="F15" s="2">
        <v>0.50000000000000067</v>
      </c>
      <c r="G15" s="2">
        <v>1</v>
      </c>
      <c r="H15" s="2">
        <v>0.53780914653439471</v>
      </c>
      <c r="I15" s="2">
        <v>0.46219085346560529</v>
      </c>
      <c r="J15" s="2">
        <v>0.92438170693121058</v>
      </c>
      <c r="K15" s="2" t="s">
        <v>12</v>
      </c>
    </row>
    <row r="16" spans="1:11" x14ac:dyDescent="0.35">
      <c r="A16" s="2" t="s">
        <v>26</v>
      </c>
      <c r="B16" s="2">
        <v>406</v>
      </c>
      <c r="C16" s="2">
        <v>298</v>
      </c>
      <c r="D16" s="2">
        <v>0.57670454545454541</v>
      </c>
      <c r="E16" s="2">
        <v>2.6718596037924099E-5</v>
      </c>
      <c r="F16" s="2">
        <v>0.99998071475817496</v>
      </c>
      <c r="G16" s="2">
        <v>5.3437192075848198E-5</v>
      </c>
      <c r="H16" s="2">
        <v>2.346592452884266E-5</v>
      </c>
      <c r="I16" s="2">
        <v>0.99997653407547116</v>
      </c>
      <c r="J16" s="2">
        <v>4.6931849057685333E-5</v>
      </c>
      <c r="K16" s="2" t="s">
        <v>1</v>
      </c>
    </row>
    <row r="17" spans="1:11" x14ac:dyDescent="0.35">
      <c r="A17" s="2" t="s">
        <v>27</v>
      </c>
      <c r="B17" s="2">
        <v>462</v>
      </c>
      <c r="C17" s="2">
        <v>242</v>
      </c>
      <c r="D17" s="2">
        <v>0.65625</v>
      </c>
      <c r="E17" s="2">
        <v>4.3296064439747961E-17</v>
      </c>
      <c r="F17" s="2">
        <v>1</v>
      </c>
      <c r="G17" s="2">
        <v>8.6592128879495922E-17</v>
      </c>
      <c r="H17" s="2">
        <v>1.110223024625157E-16</v>
      </c>
      <c r="I17" s="2">
        <v>0.99999999999999989</v>
      </c>
      <c r="J17" s="2">
        <v>2.2204460492503131E-16</v>
      </c>
      <c r="K17" s="2" t="s">
        <v>1</v>
      </c>
    </row>
    <row r="18" spans="1:11" x14ac:dyDescent="0.35">
      <c r="A18" s="2" t="s">
        <v>28</v>
      </c>
      <c r="B18" s="2">
        <v>450</v>
      </c>
      <c r="C18" s="2">
        <v>254</v>
      </c>
      <c r="D18" s="2">
        <v>0.63920454545454541</v>
      </c>
      <c r="E18" s="2">
        <v>6.9760701953280878E-14</v>
      </c>
      <c r="F18" s="2">
        <v>0.99999999999996103</v>
      </c>
      <c r="G18" s="2">
        <v>1.3952140390656181E-13</v>
      </c>
      <c r="H18" s="2">
        <v>7.5051076464660582E-14</v>
      </c>
      <c r="I18" s="2">
        <v>0.99999999999992495</v>
      </c>
      <c r="J18" s="2">
        <v>1.5010215292932119E-13</v>
      </c>
      <c r="K18" s="2" t="s">
        <v>1</v>
      </c>
    </row>
    <row r="19" spans="1:11" x14ac:dyDescent="0.35">
      <c r="A19" s="2" t="s">
        <v>29</v>
      </c>
      <c r="B19" s="2">
        <v>396</v>
      </c>
      <c r="C19" s="2">
        <v>308</v>
      </c>
      <c r="D19" s="2">
        <v>0.5625</v>
      </c>
      <c r="E19" s="2">
        <v>5.140143795173258E-4</v>
      </c>
      <c r="F19" s="2">
        <v>0.99960803532611964</v>
      </c>
      <c r="G19" s="2">
        <v>1.028028759034652E-3</v>
      </c>
      <c r="H19" s="2">
        <v>4.555594385768913E-4</v>
      </c>
      <c r="I19" s="2">
        <v>0.99954444056142311</v>
      </c>
      <c r="J19" s="2">
        <v>9.1111887715378259E-4</v>
      </c>
      <c r="K19" s="2" t="s">
        <v>1</v>
      </c>
    </row>
    <row r="20" spans="1:11" x14ac:dyDescent="0.35">
      <c r="A20" s="2" t="s">
        <v>30</v>
      </c>
      <c r="B20" s="2">
        <v>393</v>
      </c>
      <c r="C20" s="2">
        <v>311</v>
      </c>
      <c r="D20" s="2">
        <v>0.55823863636363635</v>
      </c>
      <c r="E20" s="2">
        <v>1.122218591755879E-3</v>
      </c>
      <c r="F20" s="2">
        <v>0.99913027169606761</v>
      </c>
      <c r="G20" s="2">
        <v>2.244437183511758E-3</v>
      </c>
      <c r="H20" s="2">
        <v>9.9912835415094658E-4</v>
      </c>
      <c r="I20" s="2">
        <v>0.99900087164584905</v>
      </c>
      <c r="J20" s="2">
        <v>1.9982567083018932E-3</v>
      </c>
      <c r="K20" s="2" t="s">
        <v>1</v>
      </c>
    </row>
    <row r="21" spans="1:11" x14ac:dyDescent="0.35">
      <c r="A21" s="2" t="s">
        <v>31</v>
      </c>
      <c r="B21" s="2">
        <v>318</v>
      </c>
      <c r="C21" s="2">
        <v>386</v>
      </c>
      <c r="D21" s="2">
        <v>0.45170454545454553</v>
      </c>
      <c r="E21" s="2">
        <v>0.99537016444620019</v>
      </c>
      <c r="F21" s="2">
        <v>5.7558510126729696E-3</v>
      </c>
      <c r="G21" s="2">
        <v>1.1511702025345939E-2</v>
      </c>
      <c r="H21" s="2">
        <v>0.99480910210514906</v>
      </c>
      <c r="I21" s="2">
        <v>5.1908978948508964E-3</v>
      </c>
      <c r="J21" s="2">
        <v>1.038179578970189E-2</v>
      </c>
      <c r="K21" s="2" t="s">
        <v>2</v>
      </c>
    </row>
    <row r="22" spans="1:11" x14ac:dyDescent="0.35">
      <c r="A22" s="2" t="s">
        <v>32</v>
      </c>
      <c r="B22" s="2">
        <v>436</v>
      </c>
      <c r="C22" s="2">
        <v>268</v>
      </c>
      <c r="D22" s="2">
        <v>0.61931818181818177</v>
      </c>
      <c r="E22" s="2">
        <v>2.0924884743097259E-10</v>
      </c>
      <c r="F22" s="2">
        <v>0.99999999987208177</v>
      </c>
      <c r="G22" s="2">
        <v>4.1849769486194508E-10</v>
      </c>
      <c r="H22" s="2">
        <v>1.2120726644582189E-10</v>
      </c>
      <c r="I22" s="2">
        <v>0.99999999987879273</v>
      </c>
      <c r="J22" s="2">
        <v>2.4241453289164378E-10</v>
      </c>
      <c r="K22" s="2" t="s">
        <v>1</v>
      </c>
    </row>
    <row r="23" spans="1:11" x14ac:dyDescent="0.35">
      <c r="A23" s="2" t="s">
        <v>33</v>
      </c>
      <c r="B23" s="2">
        <v>288</v>
      </c>
      <c r="C23" s="2">
        <v>416</v>
      </c>
      <c r="D23" s="2">
        <v>0.40909090909090912</v>
      </c>
      <c r="E23" s="2">
        <v>0.99999945612132479</v>
      </c>
      <c r="F23" s="2">
        <v>7.9707961039300455E-7</v>
      </c>
      <c r="G23" s="2">
        <v>1.5941592207860091E-6</v>
      </c>
      <c r="H23" s="2">
        <v>0.99999929710324098</v>
      </c>
      <c r="I23" s="2">
        <v>7.0289675904892766E-7</v>
      </c>
      <c r="J23" s="2">
        <v>1.405793518038934E-6</v>
      </c>
      <c r="K23" s="2" t="s">
        <v>2</v>
      </c>
    </row>
    <row r="24" spans="1:11" x14ac:dyDescent="0.35">
      <c r="A24" s="2" t="s">
        <v>34</v>
      </c>
      <c r="B24" s="2">
        <v>242</v>
      </c>
      <c r="C24" s="2">
        <v>462</v>
      </c>
      <c r="D24" s="2">
        <v>0.34375</v>
      </c>
      <c r="E24" s="2">
        <v>1</v>
      </c>
      <c r="F24" s="2">
        <v>4.3296064439747961E-17</v>
      </c>
      <c r="G24" s="2">
        <v>8.6592128879495922E-17</v>
      </c>
      <c r="H24" s="2">
        <v>0.99999999999999989</v>
      </c>
      <c r="I24" s="2">
        <v>5.5885434417002927E-17</v>
      </c>
      <c r="J24" s="2">
        <v>2.2204460492503131E-16</v>
      </c>
      <c r="K24" s="2" t="s">
        <v>2</v>
      </c>
    </row>
    <row r="25" spans="1:11" x14ac:dyDescent="0.35">
      <c r="A25" s="2" t="s">
        <v>35</v>
      </c>
      <c r="B25" s="2">
        <v>220</v>
      </c>
      <c r="C25" s="2">
        <v>484</v>
      </c>
      <c r="D25" s="2">
        <v>0.3125</v>
      </c>
      <c r="E25" s="2">
        <v>1</v>
      </c>
      <c r="F25" s="2">
        <v>5.4870066049419023E-24</v>
      </c>
      <c r="G25" s="2">
        <v>1.09740132098838E-23</v>
      </c>
      <c r="H25" s="2">
        <v>1</v>
      </c>
      <c r="I25" s="2">
        <v>1.262508831201369E-23</v>
      </c>
      <c r="J25" s="2">
        <v>0</v>
      </c>
      <c r="K25" s="2" t="s">
        <v>2</v>
      </c>
    </row>
    <row r="26" spans="1:11" x14ac:dyDescent="0.35">
      <c r="A26" s="2" t="s">
        <v>36</v>
      </c>
      <c r="B26" s="2">
        <v>214</v>
      </c>
      <c r="C26" s="2">
        <v>490</v>
      </c>
      <c r="D26" s="2">
        <v>0.30397727272727271</v>
      </c>
      <c r="E26" s="2">
        <v>1</v>
      </c>
      <c r="F26" s="2">
        <v>4.1928894555716279E-26</v>
      </c>
      <c r="G26" s="2">
        <v>8.3857789111432569E-26</v>
      </c>
      <c r="H26" s="2">
        <v>1</v>
      </c>
      <c r="I26" s="2">
        <v>1.21211528725007E-25</v>
      </c>
      <c r="J26" s="2">
        <v>0</v>
      </c>
      <c r="K26" s="2" t="s">
        <v>2</v>
      </c>
    </row>
    <row r="27" spans="1:11" x14ac:dyDescent="0.35">
      <c r="A27" s="2" t="s">
        <v>37</v>
      </c>
      <c r="B27" s="2">
        <v>392</v>
      </c>
      <c r="C27" s="2">
        <v>312</v>
      </c>
      <c r="D27" s="2">
        <v>0.55681818181818177</v>
      </c>
      <c r="E27" s="2">
        <v>1.838572134761929E-3</v>
      </c>
      <c r="F27" s="2">
        <v>0.99855974075723575</v>
      </c>
      <c r="G27" s="2">
        <v>3.6771442695238579E-3</v>
      </c>
      <c r="H27" s="2">
        <v>1.284415763511348E-3</v>
      </c>
      <c r="I27" s="2">
        <v>0.99871558423648865</v>
      </c>
      <c r="J27" s="2">
        <v>2.5688315270226969E-3</v>
      </c>
      <c r="K27" s="2" t="s">
        <v>1</v>
      </c>
    </row>
    <row r="28" spans="1:11" x14ac:dyDescent="0.35">
      <c r="A28" s="2" t="s">
        <v>38</v>
      </c>
      <c r="B28" s="2">
        <v>577</v>
      </c>
      <c r="C28" s="2">
        <v>127</v>
      </c>
      <c r="D28" s="2">
        <v>0.81960227272727271</v>
      </c>
      <c r="E28" s="2">
        <v>1.2129767875644901E-69</v>
      </c>
      <c r="F28" s="2">
        <v>1</v>
      </c>
      <c r="G28" s="2">
        <v>2.4259535751289792E-69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481</v>
      </c>
      <c r="C29" s="2">
        <v>223</v>
      </c>
      <c r="D29" s="2">
        <v>0.68323863636363635</v>
      </c>
      <c r="E29" s="2">
        <v>5.7444478971644066E-23</v>
      </c>
      <c r="F29" s="2">
        <v>1</v>
      </c>
      <c r="G29" s="2">
        <v>1.1488895794328811E-22</v>
      </c>
      <c r="H29" s="2">
        <v>0</v>
      </c>
      <c r="I29" s="2">
        <v>1</v>
      </c>
      <c r="J29" s="2">
        <v>0</v>
      </c>
      <c r="K29" s="2" t="s">
        <v>1</v>
      </c>
    </row>
    <row r="30" spans="1:11" x14ac:dyDescent="0.35">
      <c r="A30" s="2" t="s">
        <v>40</v>
      </c>
      <c r="B30" s="2">
        <v>437</v>
      </c>
      <c r="C30" s="2">
        <v>267</v>
      </c>
      <c r="D30" s="2">
        <v>0.62073863636363635</v>
      </c>
      <c r="E30" s="2">
        <v>7.773941077768152E-11</v>
      </c>
      <c r="F30" s="2">
        <v>0.99999999995303379</v>
      </c>
      <c r="G30" s="2">
        <v>1.5547882155536299E-10</v>
      </c>
      <c r="H30" s="2">
        <v>7.414890923485018E-11</v>
      </c>
      <c r="I30" s="2">
        <v>0.99999999992585109</v>
      </c>
      <c r="J30" s="2">
        <v>1.4829781846970041E-10</v>
      </c>
      <c r="K30" s="2" t="s">
        <v>1</v>
      </c>
    </row>
    <row r="31" spans="1:11" x14ac:dyDescent="0.35">
      <c r="A31" s="2" t="s">
        <v>41</v>
      </c>
      <c r="B31" s="2">
        <v>400</v>
      </c>
      <c r="C31" s="2">
        <v>304</v>
      </c>
      <c r="D31" s="2">
        <v>0.56818181818181823</v>
      </c>
      <c r="E31" s="2">
        <v>1.682231284959967E-4</v>
      </c>
      <c r="F31" s="2">
        <v>0.99987448795888501</v>
      </c>
      <c r="G31" s="2">
        <v>3.3644625699199351E-4</v>
      </c>
      <c r="H31" s="2">
        <v>1.4836615564661759E-4</v>
      </c>
      <c r="I31" s="2">
        <v>0.99985163384435338</v>
      </c>
      <c r="J31" s="2">
        <v>2.9673231129323518E-4</v>
      </c>
      <c r="K31" s="2" t="s">
        <v>1</v>
      </c>
    </row>
    <row r="32" spans="1:11" x14ac:dyDescent="0.35">
      <c r="A32" s="2" t="s">
        <v>42</v>
      </c>
      <c r="B32" s="2">
        <v>491</v>
      </c>
      <c r="C32" s="2">
        <v>213</v>
      </c>
      <c r="D32" s="2">
        <v>0.69744318181818177</v>
      </c>
      <c r="E32" s="2">
        <v>4.1928894555716279E-26</v>
      </c>
      <c r="F32" s="2">
        <v>1</v>
      </c>
      <c r="G32" s="2">
        <v>8.3857789111432569E-26</v>
      </c>
      <c r="H32" s="2">
        <v>0</v>
      </c>
      <c r="I32" s="2">
        <v>1</v>
      </c>
      <c r="J32" s="2">
        <v>0</v>
      </c>
      <c r="K32" s="2" t="s">
        <v>1</v>
      </c>
    </row>
    <row r="33" spans="1:11" x14ac:dyDescent="0.35">
      <c r="A33" s="2" t="s">
        <v>43</v>
      </c>
      <c r="B33" s="2">
        <v>379</v>
      </c>
      <c r="C33" s="2">
        <v>325</v>
      </c>
      <c r="D33" s="2">
        <v>0.53835227272727271</v>
      </c>
      <c r="E33" s="2">
        <v>2.284636495568472E-2</v>
      </c>
      <c r="F33" s="2">
        <v>0.98094645180629603</v>
      </c>
      <c r="G33" s="2">
        <v>4.5692729911369447E-2</v>
      </c>
      <c r="H33" s="2">
        <v>2.0915297282622421E-2</v>
      </c>
      <c r="I33" s="2">
        <v>0.97908470271737758</v>
      </c>
      <c r="J33" s="2">
        <v>4.183059456524485E-2</v>
      </c>
      <c r="K33" s="2" t="s">
        <v>1</v>
      </c>
    </row>
    <row r="34" spans="1:11" x14ac:dyDescent="0.35">
      <c r="A34" s="2" t="s">
        <v>44</v>
      </c>
      <c r="B34" s="2">
        <v>293</v>
      </c>
      <c r="C34" s="2">
        <v>411</v>
      </c>
      <c r="D34" s="2">
        <v>0.41619318181818182</v>
      </c>
      <c r="E34" s="2">
        <v>0.99999652535152628</v>
      </c>
      <c r="F34" s="2">
        <v>4.9504061134201882E-6</v>
      </c>
      <c r="G34" s="2">
        <v>9.9008122268403763E-6</v>
      </c>
      <c r="H34" s="2">
        <v>0.999995652027029</v>
      </c>
      <c r="I34" s="2">
        <v>4.3479729710524754E-6</v>
      </c>
      <c r="J34" s="2">
        <v>8.6959459419944096E-6</v>
      </c>
      <c r="K34" s="2" t="s">
        <v>2</v>
      </c>
    </row>
    <row r="35" spans="1:11" x14ac:dyDescent="0.35">
      <c r="A35" s="2" t="s">
        <v>45</v>
      </c>
      <c r="B35" s="2">
        <v>204</v>
      </c>
      <c r="C35" s="2">
        <v>500</v>
      </c>
      <c r="D35" s="2">
        <v>0.28977272727272729</v>
      </c>
      <c r="E35" s="2">
        <v>1</v>
      </c>
      <c r="F35" s="2">
        <v>7.2840856359823728E-30</v>
      </c>
      <c r="G35" s="2">
        <v>1.4568171271964751E-29</v>
      </c>
      <c r="H35" s="2">
        <v>1</v>
      </c>
      <c r="I35" s="2">
        <v>3.3498194480146642E-29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162</v>
      </c>
      <c r="C36" s="2">
        <v>542</v>
      </c>
      <c r="D36" s="2">
        <v>0.23011363636363641</v>
      </c>
      <c r="E36" s="2">
        <v>1</v>
      </c>
      <c r="F36" s="2">
        <v>5.0459623456448502E-49</v>
      </c>
      <c r="G36" s="2">
        <v>1.00919246912897E-48</v>
      </c>
      <c r="H36" s="2">
        <v>1</v>
      </c>
      <c r="I36" s="2">
        <v>7.9976142288709913E-47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454</v>
      </c>
      <c r="C37" s="2">
        <v>250</v>
      </c>
      <c r="D37" s="2">
        <v>0.64488636363636365</v>
      </c>
      <c r="E37" s="2">
        <v>6.5633437089035283E-15</v>
      </c>
      <c r="F37" s="2">
        <v>0.99999999999999645</v>
      </c>
      <c r="G37" s="2">
        <v>1.312668741780706E-14</v>
      </c>
      <c r="H37" s="2">
        <v>7.4384942649885488E-15</v>
      </c>
      <c r="I37" s="2">
        <v>0.99999999999999256</v>
      </c>
      <c r="J37" s="2">
        <v>1.4876988529977101E-14</v>
      </c>
      <c r="K37" s="2" t="s">
        <v>1</v>
      </c>
    </row>
    <row r="38" spans="1:11" x14ac:dyDescent="0.35">
      <c r="A38" s="2" t="s">
        <v>48</v>
      </c>
      <c r="B38" s="2">
        <v>456</v>
      </c>
      <c r="C38" s="2">
        <v>248</v>
      </c>
      <c r="D38" s="2">
        <v>0.64772727272727271</v>
      </c>
      <c r="E38" s="2">
        <v>1.9408233207544449E-15</v>
      </c>
      <c r="F38" s="2">
        <v>0.999999999999999</v>
      </c>
      <c r="G38" s="2">
        <v>3.8816466415088891E-15</v>
      </c>
      <c r="H38" s="2">
        <v>2.2204460492503131E-15</v>
      </c>
      <c r="I38" s="2">
        <v>0.99999999999999778</v>
      </c>
      <c r="J38" s="2">
        <v>4.4408920985006262E-15</v>
      </c>
      <c r="K38" s="2" t="s">
        <v>1</v>
      </c>
    </row>
    <row r="39" spans="1:11" x14ac:dyDescent="0.35">
      <c r="A39" s="2" t="s">
        <v>49</v>
      </c>
      <c r="B39" s="2">
        <v>550</v>
      </c>
      <c r="C39" s="2">
        <v>154</v>
      </c>
      <c r="D39" s="2">
        <v>0.78125</v>
      </c>
      <c r="E39" s="2">
        <v>2.4586408327145892E-53</v>
      </c>
      <c r="F39" s="2">
        <v>1</v>
      </c>
      <c r="G39" s="2">
        <v>4.9172816654291774E-53</v>
      </c>
      <c r="H39" s="2">
        <v>0</v>
      </c>
      <c r="I39" s="2">
        <v>1</v>
      </c>
      <c r="J39" s="2">
        <v>0</v>
      </c>
      <c r="K39" s="2" t="s">
        <v>1</v>
      </c>
    </row>
    <row r="40" spans="1:11" x14ac:dyDescent="0.35">
      <c r="A40" s="2" t="s">
        <v>50</v>
      </c>
      <c r="B40" s="2">
        <v>452</v>
      </c>
      <c r="C40" s="2">
        <v>252</v>
      </c>
      <c r="D40" s="2">
        <v>0.64204545454545459</v>
      </c>
      <c r="E40" s="2">
        <v>2.1659689066834469E-14</v>
      </c>
      <c r="F40" s="2">
        <v>0.99999999999998801</v>
      </c>
      <c r="G40" s="2">
        <v>4.3319378133668937E-14</v>
      </c>
      <c r="H40" s="2">
        <v>2.3869795029440869E-14</v>
      </c>
      <c r="I40" s="2">
        <v>0.99999999999997613</v>
      </c>
      <c r="J40" s="2">
        <v>4.7739590058881731E-14</v>
      </c>
      <c r="K40" s="2" t="s">
        <v>1</v>
      </c>
    </row>
    <row r="41" spans="1:11" x14ac:dyDescent="0.35">
      <c r="A41" s="2" t="s">
        <v>51</v>
      </c>
      <c r="B41" s="2">
        <v>338</v>
      </c>
      <c r="C41" s="2">
        <v>366</v>
      </c>
      <c r="D41" s="2">
        <v>0.48011363636363641</v>
      </c>
      <c r="E41" s="2">
        <v>0.86280388643582817</v>
      </c>
      <c r="F41" s="2">
        <v>0.15443289176760841</v>
      </c>
      <c r="G41" s="2">
        <v>0.30886578353521688</v>
      </c>
      <c r="H41" s="2">
        <v>0.85435357619109364</v>
      </c>
      <c r="I41" s="2">
        <v>0.1456464238089063</v>
      </c>
      <c r="J41" s="2">
        <v>0.29129284761781271</v>
      </c>
      <c r="K41" s="2" t="s">
        <v>12</v>
      </c>
    </row>
    <row r="42" spans="1:11" x14ac:dyDescent="0.35">
      <c r="A42" s="2" t="s">
        <v>52</v>
      </c>
      <c r="B42" s="2">
        <v>531</v>
      </c>
      <c r="C42" s="2">
        <v>173</v>
      </c>
      <c r="D42" s="2">
        <v>0.75426136363636365</v>
      </c>
      <c r="E42" s="2">
        <v>1.869928608147261E-43</v>
      </c>
      <c r="F42" s="2">
        <v>1</v>
      </c>
      <c r="G42" s="2">
        <v>3.739857216294522E-43</v>
      </c>
      <c r="H42" s="2">
        <v>0</v>
      </c>
      <c r="I42" s="2">
        <v>1</v>
      </c>
      <c r="J42" s="2">
        <v>0</v>
      </c>
      <c r="K42" s="2" t="s">
        <v>1</v>
      </c>
    </row>
    <row r="43" spans="1:11" x14ac:dyDescent="0.35">
      <c r="A43" s="2" t="s">
        <v>53</v>
      </c>
      <c r="B43" s="2">
        <v>461</v>
      </c>
      <c r="C43" s="2">
        <v>243</v>
      </c>
      <c r="D43" s="2">
        <v>0.65482954545454541</v>
      </c>
      <c r="E43" s="2">
        <v>8.2873783617900435E-17</v>
      </c>
      <c r="F43" s="2">
        <v>1</v>
      </c>
      <c r="G43" s="2">
        <v>1.6574756723580089E-16</v>
      </c>
      <c r="H43" s="2">
        <v>1.110223024625157E-16</v>
      </c>
      <c r="I43" s="2">
        <v>0.99999999999999989</v>
      </c>
      <c r="J43" s="2">
        <v>2.2204460492503131E-16</v>
      </c>
      <c r="K43" s="2" t="s">
        <v>1</v>
      </c>
    </row>
    <row r="44" spans="1:11" x14ac:dyDescent="0.35">
      <c r="A44" s="2" t="s">
        <v>54</v>
      </c>
      <c r="B44" s="2">
        <v>574</v>
      </c>
      <c r="C44" s="2">
        <v>130</v>
      </c>
      <c r="D44" s="2">
        <v>0.81534090909090906</v>
      </c>
      <c r="E44" s="2">
        <v>1.0887134573828851E-67</v>
      </c>
      <c r="F44" s="2">
        <v>1</v>
      </c>
      <c r="G44" s="2">
        <v>2.1774269147657691E-67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539</v>
      </c>
      <c r="C45" s="2">
        <v>165</v>
      </c>
      <c r="D45" s="2">
        <v>0.765625</v>
      </c>
      <c r="E45" s="2">
        <v>1.83008522618505E-47</v>
      </c>
      <c r="F45" s="2">
        <v>1</v>
      </c>
      <c r="G45" s="2">
        <v>3.6601704523700991E-47</v>
      </c>
      <c r="H45" s="2">
        <v>0</v>
      </c>
      <c r="I45" s="2">
        <v>1</v>
      </c>
      <c r="J45" s="2">
        <v>0</v>
      </c>
      <c r="K45" s="2" t="s">
        <v>1</v>
      </c>
    </row>
    <row r="46" spans="1:11" x14ac:dyDescent="0.35">
      <c r="A46" s="2" t="s">
        <v>56</v>
      </c>
      <c r="B46" s="2">
        <v>380</v>
      </c>
      <c r="C46" s="2">
        <v>324</v>
      </c>
      <c r="D46" s="2">
        <v>0.53977272727272729</v>
      </c>
      <c r="E46" s="2">
        <v>1.9053548193704001E-2</v>
      </c>
      <c r="F46" s="2">
        <v>0.98419030824746367</v>
      </c>
      <c r="G46" s="2">
        <v>3.8107096387408002E-2</v>
      </c>
      <c r="H46" s="2">
        <v>1.7404239405933501E-2</v>
      </c>
      <c r="I46" s="2">
        <v>0.9825957605940665</v>
      </c>
      <c r="J46" s="2">
        <v>3.4808478811866987E-2</v>
      </c>
      <c r="K46" s="2" t="s">
        <v>1</v>
      </c>
    </row>
    <row r="47" spans="1:11" x14ac:dyDescent="0.35">
      <c r="A47" s="2" t="s">
        <v>57</v>
      </c>
      <c r="B47" s="2">
        <v>662</v>
      </c>
      <c r="C47" s="2">
        <v>42</v>
      </c>
      <c r="D47" s="2">
        <v>0.94034090909090906</v>
      </c>
      <c r="E47" s="2">
        <v>1.027366975828463E-144</v>
      </c>
      <c r="F47" s="2">
        <v>1</v>
      </c>
      <c r="G47" s="2">
        <v>2.0547339516569251E-144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450</v>
      </c>
      <c r="C48" s="2">
        <v>254</v>
      </c>
      <c r="D48" s="2">
        <v>0.63920454545454541</v>
      </c>
      <c r="E48" s="2">
        <v>6.9760701953280878E-14</v>
      </c>
      <c r="F48" s="2">
        <v>0.99999999999996103</v>
      </c>
      <c r="G48" s="2">
        <v>1.3952140390656181E-13</v>
      </c>
      <c r="H48" s="2">
        <v>7.5051076464660582E-14</v>
      </c>
      <c r="I48" s="2">
        <v>0.99999999999992495</v>
      </c>
      <c r="J48" s="2">
        <v>1.5010215292932119E-13</v>
      </c>
      <c r="K48" s="2" t="s">
        <v>1</v>
      </c>
    </row>
    <row r="49" spans="1:11" x14ac:dyDescent="0.35">
      <c r="A49" s="2" t="s">
        <v>59</v>
      </c>
      <c r="B49" s="2">
        <v>402</v>
      </c>
      <c r="C49" s="2">
        <v>302</v>
      </c>
      <c r="D49" s="2">
        <v>0.57102272727272729</v>
      </c>
      <c r="E49" s="2">
        <v>9.3132563399741616E-5</v>
      </c>
      <c r="F49" s="2">
        <v>0.99993127286383343</v>
      </c>
      <c r="G49" s="2">
        <v>1.8626512679948321E-4</v>
      </c>
      <c r="H49" s="2">
        <v>8.1986969491132378E-5</v>
      </c>
      <c r="I49" s="2">
        <v>0.99991801303050887</v>
      </c>
      <c r="J49" s="2">
        <v>1.6397393898226481E-4</v>
      </c>
      <c r="K49" s="2" t="s">
        <v>1</v>
      </c>
    </row>
    <row r="50" spans="1:11" x14ac:dyDescent="0.35">
      <c r="A50" s="2" t="s">
        <v>60</v>
      </c>
      <c r="B50" s="2">
        <v>435</v>
      </c>
      <c r="C50" s="2">
        <v>269</v>
      </c>
      <c r="D50" s="2">
        <v>0.61789772727272729</v>
      </c>
      <c r="E50" s="2">
        <v>2.0924884743097259E-10</v>
      </c>
      <c r="F50" s="2">
        <v>0.99999999987208177</v>
      </c>
      <c r="G50" s="2">
        <v>4.1849769486194508E-10</v>
      </c>
      <c r="H50" s="2">
        <v>1.9703272347015849E-10</v>
      </c>
      <c r="I50" s="2">
        <v>0.99999999980296728</v>
      </c>
      <c r="J50" s="2">
        <v>3.9406544694031709E-10</v>
      </c>
      <c r="K50" s="2" t="s">
        <v>1</v>
      </c>
    </row>
    <row r="51" spans="1:11" x14ac:dyDescent="0.35">
      <c r="A51" s="2" t="s">
        <v>61</v>
      </c>
      <c r="B51" s="2">
        <v>453</v>
      </c>
      <c r="C51" s="2">
        <v>251</v>
      </c>
      <c r="D51" s="2">
        <v>0.64346590909090906</v>
      </c>
      <c r="E51" s="2">
        <v>1.1959484177270701E-14</v>
      </c>
      <c r="F51" s="2">
        <v>0.99999999999999345</v>
      </c>
      <c r="G51" s="2">
        <v>2.3918968354541401E-14</v>
      </c>
      <c r="H51" s="2">
        <v>1.332267629550188E-14</v>
      </c>
      <c r="I51" s="2">
        <v>0.99999999999998668</v>
      </c>
      <c r="J51" s="2">
        <v>2.664535259100376E-14</v>
      </c>
      <c r="K51" s="2" t="s">
        <v>1</v>
      </c>
    </row>
    <row r="52" spans="1:11" x14ac:dyDescent="0.35">
      <c r="A52" s="2" t="s">
        <v>62</v>
      </c>
      <c r="B52" s="2">
        <v>461</v>
      </c>
      <c r="C52" s="2">
        <v>243</v>
      </c>
      <c r="D52" s="2">
        <v>0.65482954545454541</v>
      </c>
      <c r="E52" s="2">
        <v>8.2873783617900435E-17</v>
      </c>
      <c r="F52" s="2">
        <v>1</v>
      </c>
      <c r="G52" s="2">
        <v>1.6574756723580089E-16</v>
      </c>
      <c r="H52" s="2">
        <v>1.110223024625157E-16</v>
      </c>
      <c r="I52" s="2">
        <v>0.99999999999999989</v>
      </c>
      <c r="J52" s="2">
        <v>2.2204460492503131E-16</v>
      </c>
      <c r="K52" s="2" t="s">
        <v>1</v>
      </c>
    </row>
    <row r="53" spans="1:11" x14ac:dyDescent="0.35">
      <c r="A53" s="2" t="s">
        <v>63</v>
      </c>
      <c r="B53" s="2">
        <v>472</v>
      </c>
      <c r="C53" s="2">
        <v>232</v>
      </c>
      <c r="D53" s="2">
        <v>0.67045454545454541</v>
      </c>
      <c r="E53" s="2">
        <v>4.6487864535216721E-20</v>
      </c>
      <c r="F53" s="2">
        <v>1</v>
      </c>
      <c r="G53" s="2">
        <v>9.2975729070433442E-20</v>
      </c>
      <c r="H53" s="2">
        <v>0</v>
      </c>
      <c r="I53" s="2">
        <v>1</v>
      </c>
      <c r="J53" s="2">
        <v>0</v>
      </c>
      <c r="K53" s="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353</v>
      </c>
      <c r="C2" s="2">
        <v>351</v>
      </c>
      <c r="D2" s="2">
        <v>0.50142045454545459</v>
      </c>
      <c r="E2" s="2">
        <v>0.4849696355118181</v>
      </c>
      <c r="F2" s="2">
        <v>0.54500593559208865</v>
      </c>
      <c r="G2" s="2">
        <v>0.9699392710236362</v>
      </c>
      <c r="H2" s="2">
        <v>0.46995704661337301</v>
      </c>
      <c r="I2" s="2">
        <v>0.53004295338662699</v>
      </c>
      <c r="J2" s="2">
        <v>0.93991409322674602</v>
      </c>
      <c r="K2" s="2" t="s">
        <v>12</v>
      </c>
    </row>
    <row r="3" spans="1:11" x14ac:dyDescent="0.35">
      <c r="A3" s="2" t="s">
        <v>13</v>
      </c>
      <c r="B3" s="2">
        <v>365</v>
      </c>
      <c r="C3" s="2">
        <v>339</v>
      </c>
      <c r="D3" s="2">
        <v>0.51846590909090906</v>
      </c>
      <c r="E3" s="2">
        <v>0.17304251071291021</v>
      </c>
      <c r="F3" s="2">
        <v>0.84556710823239156</v>
      </c>
      <c r="G3" s="2">
        <v>0.34608502142582048</v>
      </c>
      <c r="H3" s="2">
        <v>0.16356481161757741</v>
      </c>
      <c r="I3" s="2">
        <v>0.83643518838242259</v>
      </c>
      <c r="J3" s="2">
        <v>0.32712962323515482</v>
      </c>
      <c r="K3" s="2" t="s">
        <v>12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302</v>
      </c>
      <c r="C5" s="2">
        <v>402</v>
      </c>
      <c r="D5" s="2">
        <v>0.42897727272727271</v>
      </c>
      <c r="E5" s="2">
        <v>0.99993127286383343</v>
      </c>
      <c r="F5" s="2">
        <v>9.3132563399741616E-5</v>
      </c>
      <c r="G5" s="2">
        <v>1.8626512679948321E-4</v>
      </c>
      <c r="H5" s="2">
        <v>0.99991801303050887</v>
      </c>
      <c r="I5" s="2">
        <v>8.1986969491158737E-5</v>
      </c>
      <c r="J5" s="2">
        <v>1.6397393898226481E-4</v>
      </c>
      <c r="K5" s="2" t="s">
        <v>2</v>
      </c>
    </row>
    <row r="6" spans="1:11" x14ac:dyDescent="0.35">
      <c r="A6" s="2" t="s">
        <v>16</v>
      </c>
      <c r="B6" s="2">
        <v>439</v>
      </c>
      <c r="C6" s="2">
        <v>265</v>
      </c>
      <c r="D6" s="2">
        <v>0.62357954545454541</v>
      </c>
      <c r="E6" s="2">
        <v>2.820711655906156E-11</v>
      </c>
      <c r="F6" s="2">
        <v>0.99999999998315936</v>
      </c>
      <c r="G6" s="2">
        <v>5.641423311812312E-11</v>
      </c>
      <c r="H6" s="2">
        <v>2.7290614212915901E-11</v>
      </c>
      <c r="I6" s="2">
        <v>0.99999999997270939</v>
      </c>
      <c r="J6" s="2">
        <v>5.4581228425831802E-11</v>
      </c>
      <c r="K6" s="2" t="s">
        <v>1</v>
      </c>
    </row>
    <row r="7" spans="1:11" x14ac:dyDescent="0.35">
      <c r="A7" s="2" t="s">
        <v>17</v>
      </c>
      <c r="B7" s="2">
        <v>452</v>
      </c>
      <c r="C7" s="2">
        <v>252</v>
      </c>
      <c r="D7" s="2">
        <v>0.64204545454545459</v>
      </c>
      <c r="E7" s="2">
        <v>2.1659689066834469E-14</v>
      </c>
      <c r="F7" s="2">
        <v>0.99999999999998801</v>
      </c>
      <c r="G7" s="2">
        <v>4.3319378133668937E-14</v>
      </c>
      <c r="H7" s="2">
        <v>2.3869795029440869E-14</v>
      </c>
      <c r="I7" s="2">
        <v>0.99999999999997613</v>
      </c>
      <c r="J7" s="2">
        <v>4.7739590058881731E-14</v>
      </c>
      <c r="K7" s="2" t="s">
        <v>1</v>
      </c>
    </row>
    <row r="8" spans="1:11" x14ac:dyDescent="0.35">
      <c r="A8" s="2" t="s">
        <v>18</v>
      </c>
      <c r="B8" s="2">
        <v>402</v>
      </c>
      <c r="C8" s="2">
        <v>302</v>
      </c>
      <c r="D8" s="2">
        <v>0.57102272727272729</v>
      </c>
      <c r="E8" s="2">
        <v>9.3132563399741616E-5</v>
      </c>
      <c r="F8" s="2">
        <v>0.99993127286383343</v>
      </c>
      <c r="G8" s="2">
        <v>1.8626512679948321E-4</v>
      </c>
      <c r="H8" s="2">
        <v>8.1986969491132378E-5</v>
      </c>
      <c r="I8" s="2">
        <v>0.99991801303050887</v>
      </c>
      <c r="J8" s="2">
        <v>1.6397393898226481E-4</v>
      </c>
      <c r="K8" s="2" t="s">
        <v>1</v>
      </c>
    </row>
    <row r="9" spans="1:11" x14ac:dyDescent="0.35">
      <c r="A9" s="2" t="s">
        <v>19</v>
      </c>
      <c r="B9" s="2">
        <v>361</v>
      </c>
      <c r="C9" s="2">
        <v>343</v>
      </c>
      <c r="D9" s="2">
        <v>0.51278409090909094</v>
      </c>
      <c r="E9" s="2">
        <v>0.26086961327395092</v>
      </c>
      <c r="F9" s="2">
        <v>0.76301913543624389</v>
      </c>
      <c r="G9" s="2">
        <v>0.52173922654790184</v>
      </c>
      <c r="H9" s="2">
        <v>0.2487588880649938</v>
      </c>
      <c r="I9" s="2">
        <v>0.7512411119350062</v>
      </c>
      <c r="J9" s="2">
        <v>0.4975177761299876</v>
      </c>
      <c r="K9" s="2" t="s">
        <v>12</v>
      </c>
    </row>
    <row r="10" spans="1:11" x14ac:dyDescent="0.35">
      <c r="A10" s="2" t="s">
        <v>20</v>
      </c>
      <c r="B10" s="2">
        <v>231</v>
      </c>
      <c r="C10" s="2">
        <v>473</v>
      </c>
      <c r="D10" s="2">
        <v>0.328125</v>
      </c>
      <c r="E10" s="2">
        <v>1</v>
      </c>
      <c r="F10" s="2">
        <v>2.2664703991124299E-20</v>
      </c>
      <c r="G10" s="2">
        <v>4.5329407982248592E-20</v>
      </c>
      <c r="H10" s="2">
        <v>1</v>
      </c>
      <c r="I10" s="2">
        <v>3.7314065090935132E-20</v>
      </c>
      <c r="J10" s="2">
        <v>0</v>
      </c>
      <c r="K10" s="2" t="s">
        <v>2</v>
      </c>
    </row>
    <row r="11" spans="1:11" x14ac:dyDescent="0.35">
      <c r="A11" s="2" t="s">
        <v>21</v>
      </c>
      <c r="B11" s="2">
        <v>298</v>
      </c>
      <c r="C11" s="2">
        <v>406</v>
      </c>
      <c r="D11" s="2">
        <v>0.42329545454545447</v>
      </c>
      <c r="E11" s="2">
        <v>0.99998071475817496</v>
      </c>
      <c r="F11" s="2">
        <v>2.6718596037924099E-5</v>
      </c>
      <c r="G11" s="2">
        <v>5.3437192075848198E-5</v>
      </c>
      <c r="H11" s="2">
        <v>0.99997653407547116</v>
      </c>
      <c r="I11" s="2">
        <v>2.3465924528857771E-5</v>
      </c>
      <c r="J11" s="2">
        <v>4.6931849057685333E-5</v>
      </c>
      <c r="K11" s="2" t="s">
        <v>2</v>
      </c>
    </row>
    <row r="12" spans="1:11" x14ac:dyDescent="0.35">
      <c r="A12" s="2" t="s">
        <v>22</v>
      </c>
      <c r="B12" s="2">
        <v>316</v>
      </c>
      <c r="C12" s="2">
        <v>388</v>
      </c>
      <c r="D12" s="2">
        <v>0.44886363636363641</v>
      </c>
      <c r="E12" s="2">
        <v>0.99705135870899886</v>
      </c>
      <c r="F12" s="2">
        <v>3.7045825410822238E-3</v>
      </c>
      <c r="G12" s="2">
        <v>7.4091650821644477E-3</v>
      </c>
      <c r="H12" s="2">
        <v>0.99667219725852529</v>
      </c>
      <c r="I12" s="2">
        <v>3.3278027414746841E-3</v>
      </c>
      <c r="J12" s="2">
        <v>6.6556054829494116E-3</v>
      </c>
      <c r="K12" s="2" t="s">
        <v>2</v>
      </c>
    </row>
    <row r="13" spans="1:11" x14ac:dyDescent="0.35">
      <c r="A13" s="2" t="s">
        <v>23</v>
      </c>
      <c r="B13" s="2">
        <v>393</v>
      </c>
      <c r="C13" s="2">
        <v>311</v>
      </c>
      <c r="D13" s="2">
        <v>0.55823863636363635</v>
      </c>
      <c r="E13" s="2">
        <v>1.122218591755879E-3</v>
      </c>
      <c r="F13" s="2">
        <v>0.99913027169606761</v>
      </c>
      <c r="G13" s="2">
        <v>2.244437183511758E-3</v>
      </c>
      <c r="H13" s="2">
        <v>9.9912835415094658E-4</v>
      </c>
      <c r="I13" s="2">
        <v>0.99900087164584905</v>
      </c>
      <c r="J13" s="2">
        <v>1.9982567083018932E-3</v>
      </c>
      <c r="K13" s="2" t="s">
        <v>1</v>
      </c>
    </row>
    <row r="14" spans="1:11" x14ac:dyDescent="0.35">
      <c r="A14" s="2" t="s">
        <v>24</v>
      </c>
      <c r="B14" s="2">
        <v>183</v>
      </c>
      <c r="C14" s="2">
        <v>521</v>
      </c>
      <c r="D14" s="2">
        <v>0.25994318181818182</v>
      </c>
      <c r="E14" s="2">
        <v>1</v>
      </c>
      <c r="F14" s="2">
        <v>9.692158585558598E-39</v>
      </c>
      <c r="G14" s="2">
        <v>1.9384317171117201E-38</v>
      </c>
      <c r="H14" s="2">
        <v>1</v>
      </c>
      <c r="I14" s="2">
        <v>1.798186331341236E-37</v>
      </c>
      <c r="J14" s="2">
        <v>0</v>
      </c>
      <c r="K14" s="2" t="s">
        <v>2</v>
      </c>
    </row>
    <row r="15" spans="1:11" x14ac:dyDescent="0.35">
      <c r="A15" s="2" t="s">
        <v>25</v>
      </c>
      <c r="B15" s="2">
        <v>22</v>
      </c>
      <c r="C15" s="2">
        <v>29</v>
      </c>
      <c r="D15" s="2">
        <v>0.43137254901960792</v>
      </c>
      <c r="E15" s="2">
        <v>0.86878123214447811</v>
      </c>
      <c r="F15" s="2">
        <v>0.20053099551396869</v>
      </c>
      <c r="G15" s="2">
        <v>0.40106199102793738</v>
      </c>
      <c r="H15" s="2">
        <v>0.83650532520099241</v>
      </c>
      <c r="I15" s="2">
        <v>0.16349467479900759</v>
      </c>
      <c r="J15" s="2">
        <v>0.32698934959801518</v>
      </c>
      <c r="K15" s="2" t="s">
        <v>12</v>
      </c>
    </row>
    <row r="16" spans="1:11" x14ac:dyDescent="0.35">
      <c r="A16" s="2" t="s">
        <v>26</v>
      </c>
      <c r="B16" s="2">
        <v>357</v>
      </c>
      <c r="C16" s="2">
        <v>347</v>
      </c>
      <c r="D16" s="2">
        <v>0.50710227272727271</v>
      </c>
      <c r="E16" s="2">
        <v>0.36724284954996672</v>
      </c>
      <c r="F16" s="2">
        <v>0.66075969318714201</v>
      </c>
      <c r="G16" s="2">
        <v>0.73448569909993344</v>
      </c>
      <c r="H16" s="2">
        <v>0.35312798105242671</v>
      </c>
      <c r="I16" s="2">
        <v>0.64687201894757329</v>
      </c>
      <c r="J16" s="2">
        <v>0.70625596210485342</v>
      </c>
      <c r="K16" s="2" t="s">
        <v>12</v>
      </c>
    </row>
    <row r="17" spans="1:11" x14ac:dyDescent="0.35">
      <c r="A17" s="2" t="s">
        <v>27</v>
      </c>
      <c r="B17" s="2">
        <v>262</v>
      </c>
      <c r="C17" s="2">
        <v>442</v>
      </c>
      <c r="D17" s="2">
        <v>0.37215909090909088</v>
      </c>
      <c r="E17" s="2">
        <v>0.99999999999654177</v>
      </c>
      <c r="F17" s="2">
        <v>5.8967090318025666E-12</v>
      </c>
      <c r="G17" s="2">
        <v>1.179341806360513E-11</v>
      </c>
      <c r="H17" s="2">
        <v>0.99999999999415556</v>
      </c>
      <c r="I17" s="2">
        <v>5.8444537816941723E-12</v>
      </c>
      <c r="J17" s="2">
        <v>1.16888720924635E-11</v>
      </c>
      <c r="K17" s="2" t="s">
        <v>2</v>
      </c>
    </row>
    <row r="18" spans="1:11" x14ac:dyDescent="0.35">
      <c r="A18" s="2" t="s">
        <v>28</v>
      </c>
      <c r="B18" s="2">
        <v>212</v>
      </c>
      <c r="C18" s="2">
        <v>492</v>
      </c>
      <c r="D18" s="2">
        <v>0.30113636363636359</v>
      </c>
      <c r="E18" s="2">
        <v>1</v>
      </c>
      <c r="F18" s="2">
        <v>7.8319155503437783E-27</v>
      </c>
      <c r="G18" s="2">
        <v>1.5663831100687559E-26</v>
      </c>
      <c r="H18" s="2">
        <v>1</v>
      </c>
      <c r="I18" s="2">
        <v>2.4627260062334011E-26</v>
      </c>
      <c r="J18" s="2">
        <v>0</v>
      </c>
      <c r="K18" s="2" t="s">
        <v>2</v>
      </c>
    </row>
    <row r="19" spans="1:11" x14ac:dyDescent="0.35">
      <c r="A19" s="2" t="s">
        <v>29</v>
      </c>
      <c r="B19" s="2">
        <v>127</v>
      </c>
      <c r="C19" s="2">
        <v>577</v>
      </c>
      <c r="D19" s="2">
        <v>0.18039772727272729</v>
      </c>
      <c r="E19" s="2">
        <v>1</v>
      </c>
      <c r="F19" s="2">
        <v>1.2129767875644901E-69</v>
      </c>
      <c r="G19" s="2">
        <v>2.4259535751289792E-69</v>
      </c>
      <c r="H19" s="2">
        <v>1</v>
      </c>
      <c r="I19" s="2">
        <v>8.1154085633445948E-65</v>
      </c>
      <c r="J19" s="2">
        <v>0</v>
      </c>
      <c r="K19" s="2" t="s">
        <v>2</v>
      </c>
    </row>
    <row r="20" spans="1:11" x14ac:dyDescent="0.35">
      <c r="A20" s="2" t="s">
        <v>30</v>
      </c>
      <c r="B20" s="2">
        <v>83</v>
      </c>
      <c r="C20" s="2">
        <v>621</v>
      </c>
      <c r="D20" s="2">
        <v>0.11789772727272731</v>
      </c>
      <c r="E20" s="2">
        <v>1</v>
      </c>
      <c r="F20" s="2">
        <v>5.0454549307334114E-103</v>
      </c>
      <c r="G20" s="2">
        <v>1.0090909861466821E-102</v>
      </c>
      <c r="H20" s="2">
        <v>1</v>
      </c>
      <c r="I20" s="2">
        <v>1.0339590642827929E-91</v>
      </c>
      <c r="J20" s="2">
        <v>0</v>
      </c>
      <c r="K20" s="2" t="s">
        <v>2</v>
      </c>
    </row>
    <row r="21" spans="1:11" x14ac:dyDescent="0.35">
      <c r="A21" s="2" t="s">
        <v>31</v>
      </c>
      <c r="B21" s="2">
        <v>110</v>
      </c>
      <c r="C21" s="2">
        <v>594</v>
      </c>
      <c r="D21" s="2">
        <v>0.15625</v>
      </c>
      <c r="E21" s="2">
        <v>1</v>
      </c>
      <c r="F21" s="2">
        <v>1.945343773751816E-81</v>
      </c>
      <c r="G21" s="2">
        <v>3.890687547503632E-81</v>
      </c>
      <c r="H21" s="2">
        <v>1</v>
      </c>
      <c r="I21" s="2">
        <v>1.2100716971802989E-74</v>
      </c>
      <c r="J21" s="2">
        <v>0</v>
      </c>
      <c r="K21" s="2" t="s">
        <v>2</v>
      </c>
    </row>
    <row r="22" spans="1:11" x14ac:dyDescent="0.35">
      <c r="A22" s="2" t="s">
        <v>32</v>
      </c>
      <c r="B22" s="2">
        <v>423</v>
      </c>
      <c r="C22" s="2">
        <v>281</v>
      </c>
      <c r="D22" s="2">
        <v>0.60085227272727271</v>
      </c>
      <c r="E22" s="2">
        <v>4.8695444035950358E-8</v>
      </c>
      <c r="F22" s="2">
        <v>0.99999996807690539</v>
      </c>
      <c r="G22" s="2">
        <v>9.7390888071900728E-8</v>
      </c>
      <c r="H22" s="2">
        <v>4.3535463345456549E-8</v>
      </c>
      <c r="I22" s="2">
        <v>0.99999995646453665</v>
      </c>
      <c r="J22" s="2">
        <v>8.7070926690913097E-8</v>
      </c>
      <c r="K22" s="2" t="s">
        <v>1</v>
      </c>
    </row>
    <row r="23" spans="1:11" x14ac:dyDescent="0.35">
      <c r="A23" s="2" t="s">
        <v>33</v>
      </c>
      <c r="B23" s="2">
        <v>176</v>
      </c>
      <c r="C23" s="2">
        <v>528</v>
      </c>
      <c r="D23" s="2">
        <v>0.25</v>
      </c>
      <c r="E23" s="2">
        <v>1</v>
      </c>
      <c r="F23" s="2">
        <v>5.2525601200730668E-42</v>
      </c>
      <c r="G23" s="2">
        <v>1.050512024014613E-41</v>
      </c>
      <c r="H23" s="2">
        <v>1</v>
      </c>
      <c r="I23" s="2">
        <v>1.810530513421601E-40</v>
      </c>
      <c r="J23" s="2">
        <v>0</v>
      </c>
      <c r="K23" s="2" t="s">
        <v>2</v>
      </c>
    </row>
    <row r="24" spans="1:11" x14ac:dyDescent="0.35">
      <c r="A24" s="2" t="s">
        <v>34</v>
      </c>
      <c r="B24" s="2">
        <v>238</v>
      </c>
      <c r="C24" s="2">
        <v>466</v>
      </c>
      <c r="D24" s="2">
        <v>0.33806818181818182</v>
      </c>
      <c r="E24" s="2">
        <v>1</v>
      </c>
      <c r="F24" s="2">
        <v>3.0305948869746912E-18</v>
      </c>
      <c r="G24" s="2">
        <v>6.0611897739493824E-18</v>
      </c>
      <c r="H24" s="2">
        <v>1</v>
      </c>
      <c r="I24" s="2">
        <v>4.2336734104232779E-18</v>
      </c>
      <c r="J24" s="2">
        <v>0</v>
      </c>
      <c r="K24" s="2" t="s">
        <v>2</v>
      </c>
    </row>
    <row r="25" spans="1:11" x14ac:dyDescent="0.35">
      <c r="A25" s="2" t="s">
        <v>35</v>
      </c>
      <c r="B25" s="2">
        <v>326</v>
      </c>
      <c r="C25" s="2">
        <v>378</v>
      </c>
      <c r="D25" s="2">
        <v>0.46306818181818182</v>
      </c>
      <c r="E25" s="2">
        <v>0.97715363504431529</v>
      </c>
      <c r="F25" s="2">
        <v>2.7255805301668649E-2</v>
      </c>
      <c r="G25" s="2">
        <v>5.4511610603337292E-2</v>
      </c>
      <c r="H25" s="2">
        <v>0.97499180225717708</v>
      </c>
      <c r="I25" s="2">
        <v>2.5008197742822879E-2</v>
      </c>
      <c r="J25" s="2">
        <v>5.0016395485645848E-2</v>
      </c>
      <c r="K25" s="2" t="s">
        <v>2</v>
      </c>
    </row>
    <row r="26" spans="1:11" x14ac:dyDescent="0.35">
      <c r="A26" s="2" t="s">
        <v>36</v>
      </c>
      <c r="B26" s="2">
        <v>299</v>
      </c>
      <c r="C26" s="2">
        <v>405</v>
      </c>
      <c r="D26" s="2">
        <v>0.42471590909090912</v>
      </c>
      <c r="E26" s="2">
        <v>0.99997328140396202</v>
      </c>
      <c r="F26" s="2">
        <v>3.6812046908991251E-5</v>
      </c>
      <c r="G26" s="2">
        <v>7.3624093817982502E-5</v>
      </c>
      <c r="H26" s="2">
        <v>0.99996765632974705</v>
      </c>
      <c r="I26" s="2">
        <v>3.2343670252948268E-5</v>
      </c>
      <c r="J26" s="2">
        <v>6.4687340505908963E-5</v>
      </c>
      <c r="K26" s="2" t="s">
        <v>2</v>
      </c>
    </row>
    <row r="27" spans="1:11" x14ac:dyDescent="0.35">
      <c r="A27" s="2" t="s">
        <v>37</v>
      </c>
      <c r="B27" s="2">
        <v>297</v>
      </c>
      <c r="C27" s="2">
        <v>407</v>
      </c>
      <c r="D27" s="2">
        <v>0.421875</v>
      </c>
      <c r="E27" s="2">
        <v>0.99998615736150531</v>
      </c>
      <c r="F27" s="2">
        <v>1.9285241824994172E-5</v>
      </c>
      <c r="G27" s="2">
        <v>3.8570483649988343E-5</v>
      </c>
      <c r="H27" s="2">
        <v>0.99998306712934337</v>
      </c>
      <c r="I27" s="2">
        <v>1.6932870656650061E-5</v>
      </c>
      <c r="J27" s="2">
        <v>3.3865741313254823E-5</v>
      </c>
      <c r="K27" s="2" t="s">
        <v>2</v>
      </c>
    </row>
    <row r="28" spans="1:11" x14ac:dyDescent="0.35">
      <c r="A28" s="2" t="s">
        <v>38</v>
      </c>
      <c r="B28" s="2">
        <v>580</v>
      </c>
      <c r="C28" s="2">
        <v>124</v>
      </c>
      <c r="D28" s="2">
        <v>0.82386363636363635</v>
      </c>
      <c r="E28" s="2">
        <v>1.2400197949969341E-71</v>
      </c>
      <c r="F28" s="2">
        <v>1</v>
      </c>
      <c r="G28" s="2">
        <v>2.4800395899938681E-71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568</v>
      </c>
      <c r="C29" s="2">
        <v>136</v>
      </c>
      <c r="D29" s="2">
        <v>0.80681818181818177</v>
      </c>
      <c r="E29" s="2">
        <v>6.8171275703417015E-64</v>
      </c>
      <c r="F29" s="2">
        <v>1</v>
      </c>
      <c r="G29" s="2">
        <v>1.36342551406834E-63</v>
      </c>
      <c r="H29" s="2">
        <v>0</v>
      </c>
      <c r="I29" s="2">
        <v>1</v>
      </c>
      <c r="J29" s="2">
        <v>0</v>
      </c>
      <c r="K29" s="2" t="s">
        <v>1</v>
      </c>
    </row>
    <row r="30" spans="1:11" x14ac:dyDescent="0.35">
      <c r="A30" s="2" t="s">
        <v>40</v>
      </c>
      <c r="B30" s="2">
        <v>149</v>
      </c>
      <c r="C30" s="2">
        <v>555</v>
      </c>
      <c r="D30" s="2">
        <v>0.21164772727272729</v>
      </c>
      <c r="E30" s="2">
        <v>1</v>
      </c>
      <c r="F30" s="2">
        <v>3.7963523261952142E-56</v>
      </c>
      <c r="G30" s="2">
        <v>7.5927046523904283E-56</v>
      </c>
      <c r="H30" s="2">
        <v>1</v>
      </c>
      <c r="I30" s="2">
        <v>3.7242237622475958E-53</v>
      </c>
      <c r="J30" s="2">
        <v>0</v>
      </c>
      <c r="K30" s="2" t="s">
        <v>2</v>
      </c>
    </row>
    <row r="31" spans="1:11" x14ac:dyDescent="0.35">
      <c r="A31" s="2" t="s">
        <v>41</v>
      </c>
      <c r="B31" s="2">
        <v>253</v>
      </c>
      <c r="C31" s="2">
        <v>451</v>
      </c>
      <c r="D31" s="2">
        <v>0.359375</v>
      </c>
      <c r="E31" s="2">
        <v>0.99999999999997835</v>
      </c>
      <c r="F31" s="2">
        <v>3.8989699383371863E-14</v>
      </c>
      <c r="G31" s="2">
        <v>7.7979398766743726E-14</v>
      </c>
      <c r="H31" s="2">
        <v>0.99999999999995748</v>
      </c>
      <c r="I31" s="2">
        <v>4.2478382908461559E-14</v>
      </c>
      <c r="J31" s="2">
        <v>8.5043083686286991E-14</v>
      </c>
      <c r="K31" s="2" t="s">
        <v>2</v>
      </c>
    </row>
    <row r="32" spans="1:11" x14ac:dyDescent="0.35">
      <c r="A32" s="2" t="s">
        <v>42</v>
      </c>
      <c r="B32" s="2">
        <v>571</v>
      </c>
      <c r="C32" s="2">
        <v>133</v>
      </c>
      <c r="D32" s="2">
        <v>0.81107954545454541</v>
      </c>
      <c r="E32" s="2">
        <v>8.9801460878349132E-66</v>
      </c>
      <c r="F32" s="2">
        <v>1</v>
      </c>
      <c r="G32" s="2">
        <v>1.7960292175669831E-65</v>
      </c>
      <c r="H32" s="2">
        <v>0</v>
      </c>
      <c r="I32" s="2">
        <v>1</v>
      </c>
      <c r="J32" s="2">
        <v>0</v>
      </c>
      <c r="K32" s="2" t="s">
        <v>1</v>
      </c>
    </row>
    <row r="33" spans="1:11" x14ac:dyDescent="0.35">
      <c r="A33" s="2" t="s">
        <v>43</v>
      </c>
      <c r="B33" s="2">
        <v>386</v>
      </c>
      <c r="C33" s="2">
        <v>318</v>
      </c>
      <c r="D33" s="2">
        <v>0.54829545454545459</v>
      </c>
      <c r="E33" s="2">
        <v>5.7558510126729696E-3</v>
      </c>
      <c r="F33" s="2">
        <v>0.99537016444620019</v>
      </c>
      <c r="G33" s="2">
        <v>1.1511702025345939E-2</v>
      </c>
      <c r="H33" s="2">
        <v>5.1908978948508322E-3</v>
      </c>
      <c r="I33" s="2">
        <v>0.99480910210514917</v>
      </c>
      <c r="J33" s="2">
        <v>1.0381795789701659E-2</v>
      </c>
      <c r="K33" s="2" t="s">
        <v>1</v>
      </c>
    </row>
    <row r="34" spans="1:11" x14ac:dyDescent="0.35">
      <c r="A34" s="2" t="s">
        <v>44</v>
      </c>
      <c r="B34" s="2">
        <v>461</v>
      </c>
      <c r="C34" s="2">
        <v>243</v>
      </c>
      <c r="D34" s="2">
        <v>0.65482954545454541</v>
      </c>
      <c r="E34" s="2">
        <v>8.2873783617900435E-17</v>
      </c>
      <c r="F34" s="2">
        <v>1</v>
      </c>
      <c r="G34" s="2">
        <v>1.6574756723580089E-16</v>
      </c>
      <c r="H34" s="2">
        <v>1.110223024625157E-16</v>
      </c>
      <c r="I34" s="2">
        <v>0.99999999999999989</v>
      </c>
      <c r="J34" s="2">
        <v>2.2204460492503131E-16</v>
      </c>
      <c r="K34" s="2" t="s">
        <v>1</v>
      </c>
    </row>
    <row r="35" spans="1:11" x14ac:dyDescent="0.35">
      <c r="A35" s="2" t="s">
        <v>45</v>
      </c>
      <c r="B35" s="2">
        <v>477</v>
      </c>
      <c r="C35" s="2">
        <v>227</v>
      </c>
      <c r="D35" s="2">
        <v>0.67755681818181823</v>
      </c>
      <c r="E35" s="2">
        <v>1.2013044069375279E-21</v>
      </c>
      <c r="F35" s="2">
        <v>1</v>
      </c>
      <c r="G35" s="2">
        <v>2.4026088138750559E-21</v>
      </c>
      <c r="H35" s="2">
        <v>0</v>
      </c>
      <c r="I35" s="2">
        <v>1</v>
      </c>
      <c r="J35" s="2">
        <v>0</v>
      </c>
      <c r="K35" s="2" t="s">
        <v>1</v>
      </c>
    </row>
    <row r="36" spans="1:11" x14ac:dyDescent="0.35">
      <c r="A36" s="2" t="s">
        <v>46</v>
      </c>
      <c r="B36" s="2">
        <v>368</v>
      </c>
      <c r="C36" s="2">
        <v>336</v>
      </c>
      <c r="D36" s="2">
        <v>0.52272727272727271</v>
      </c>
      <c r="E36" s="2">
        <v>0.12132136960569349</v>
      </c>
      <c r="F36" s="2">
        <v>0.8932160997258477</v>
      </c>
      <c r="G36" s="2">
        <v>0.24264273921138699</v>
      </c>
      <c r="H36" s="2">
        <v>0.11389999699411479</v>
      </c>
      <c r="I36" s="2">
        <v>0.88610000300588521</v>
      </c>
      <c r="J36" s="2">
        <v>0.22779999398822959</v>
      </c>
      <c r="K36" s="2" t="s">
        <v>12</v>
      </c>
    </row>
    <row r="37" spans="1:11" x14ac:dyDescent="0.35">
      <c r="A37" s="2" t="s">
        <v>47</v>
      </c>
      <c r="B37" s="2">
        <v>131</v>
      </c>
      <c r="C37" s="2">
        <v>573</v>
      </c>
      <c r="D37" s="2">
        <v>0.18607954545454539</v>
      </c>
      <c r="E37" s="2">
        <v>1</v>
      </c>
      <c r="F37" s="2">
        <v>4.7835258005936953E-67</v>
      </c>
      <c r="G37" s="2">
        <v>9.5670516011873893E-67</v>
      </c>
      <c r="H37" s="2">
        <v>1</v>
      </c>
      <c r="I37" s="2">
        <v>1.312592239028078E-62</v>
      </c>
      <c r="J37" s="2">
        <v>0</v>
      </c>
      <c r="K37" s="2" t="s">
        <v>2</v>
      </c>
    </row>
    <row r="38" spans="1:11" x14ac:dyDescent="0.35">
      <c r="A38" s="2" t="s">
        <v>48</v>
      </c>
      <c r="B38" s="2">
        <v>570</v>
      </c>
      <c r="C38" s="2">
        <v>134</v>
      </c>
      <c r="D38" s="2">
        <v>0.80965909090909094</v>
      </c>
      <c r="E38" s="2">
        <v>3.837347498761025E-65</v>
      </c>
      <c r="F38" s="2">
        <v>1</v>
      </c>
      <c r="G38" s="2">
        <v>7.6746949975220501E-65</v>
      </c>
      <c r="H38" s="2">
        <v>0</v>
      </c>
      <c r="I38" s="2">
        <v>1</v>
      </c>
      <c r="J38" s="2">
        <v>0</v>
      </c>
      <c r="K38" s="2" t="s">
        <v>1</v>
      </c>
    </row>
    <row r="39" spans="1:11" x14ac:dyDescent="0.35">
      <c r="A39" s="2" t="s">
        <v>49</v>
      </c>
      <c r="B39" s="2">
        <v>664</v>
      </c>
      <c r="C39" s="2">
        <v>40</v>
      </c>
      <c r="D39" s="2">
        <v>0.94318181818181823</v>
      </c>
      <c r="E39" s="2">
        <v>4.0049764702122049E-147</v>
      </c>
      <c r="F39" s="2">
        <v>1</v>
      </c>
      <c r="G39" s="2">
        <v>8.0099529404244098E-147</v>
      </c>
      <c r="H39" s="2">
        <v>0</v>
      </c>
      <c r="I39" s="2">
        <v>1</v>
      </c>
      <c r="J39" s="2">
        <v>0</v>
      </c>
      <c r="K39" s="2" t="s">
        <v>1</v>
      </c>
    </row>
    <row r="40" spans="1:11" x14ac:dyDescent="0.35">
      <c r="A40" s="2" t="s">
        <v>50</v>
      </c>
      <c r="B40" s="2">
        <v>426</v>
      </c>
      <c r="C40" s="2">
        <v>278</v>
      </c>
      <c r="D40" s="2">
        <v>0.60511363636363635</v>
      </c>
      <c r="E40" s="2">
        <v>1.348421393509673E-8</v>
      </c>
      <c r="F40" s="2">
        <v>0.9999999913119948</v>
      </c>
      <c r="G40" s="2">
        <v>2.6968427870193469E-8</v>
      </c>
      <c r="H40" s="2">
        <v>1.216778844348454E-8</v>
      </c>
      <c r="I40" s="2">
        <v>0.99999998783221156</v>
      </c>
      <c r="J40" s="2">
        <v>2.4335576886969079E-8</v>
      </c>
      <c r="K40" s="2" t="s">
        <v>1</v>
      </c>
    </row>
    <row r="41" spans="1:11" x14ac:dyDescent="0.35">
      <c r="A41" s="2" t="s">
        <v>51</v>
      </c>
      <c r="B41" s="2">
        <v>134</v>
      </c>
      <c r="C41" s="2">
        <v>570</v>
      </c>
      <c r="D41" s="2">
        <v>0.19034090909090909</v>
      </c>
      <c r="E41" s="2">
        <v>1</v>
      </c>
      <c r="F41" s="2">
        <v>3.837347498761025E-65</v>
      </c>
      <c r="G41" s="2">
        <v>7.6746949975220501E-65</v>
      </c>
      <c r="H41" s="2">
        <v>1</v>
      </c>
      <c r="I41" s="2">
        <v>5.609523190952714E-61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637</v>
      </c>
      <c r="C42" s="2">
        <v>67</v>
      </c>
      <c r="D42" s="2">
        <v>0.90482954545454541</v>
      </c>
      <c r="E42" s="2">
        <v>8.6963136015925153E-118</v>
      </c>
      <c r="F42" s="2">
        <v>1</v>
      </c>
      <c r="G42" s="2">
        <v>1.7392627203185031E-117</v>
      </c>
      <c r="H42" s="2">
        <v>0</v>
      </c>
      <c r="I42" s="2">
        <v>1</v>
      </c>
      <c r="J42" s="2">
        <v>0</v>
      </c>
      <c r="K42" s="2" t="s">
        <v>1</v>
      </c>
    </row>
    <row r="43" spans="1:11" x14ac:dyDescent="0.35">
      <c r="A43" s="2" t="s">
        <v>53</v>
      </c>
      <c r="B43" s="2">
        <v>518</v>
      </c>
      <c r="C43" s="2">
        <v>186</v>
      </c>
      <c r="D43" s="2">
        <v>0.73579545454545459</v>
      </c>
      <c r="E43" s="2">
        <v>2.178335365085946E-37</v>
      </c>
      <c r="F43" s="2">
        <v>1</v>
      </c>
      <c r="G43" s="2">
        <v>4.356670730171892E-37</v>
      </c>
      <c r="H43" s="2">
        <v>0</v>
      </c>
      <c r="I43" s="2">
        <v>1</v>
      </c>
      <c r="J43" s="2">
        <v>0</v>
      </c>
      <c r="K43" s="2" t="s">
        <v>1</v>
      </c>
    </row>
    <row r="44" spans="1:11" x14ac:dyDescent="0.35">
      <c r="A44" s="2" t="s">
        <v>54</v>
      </c>
      <c r="B44" s="2">
        <v>442</v>
      </c>
      <c r="C44" s="2">
        <v>262</v>
      </c>
      <c r="D44" s="2">
        <v>0.62784090909090906</v>
      </c>
      <c r="E44" s="2">
        <v>5.8967090318025666E-12</v>
      </c>
      <c r="F44" s="2">
        <v>0.99999999999654177</v>
      </c>
      <c r="G44" s="2">
        <v>1.179341806360513E-11</v>
      </c>
      <c r="H44" s="2">
        <v>5.8444360462317491E-12</v>
      </c>
      <c r="I44" s="2">
        <v>0.99999999999415556</v>
      </c>
      <c r="J44" s="2">
        <v>1.16888720924635E-11</v>
      </c>
      <c r="K44" s="2" t="s">
        <v>1</v>
      </c>
    </row>
    <row r="45" spans="1:11" x14ac:dyDescent="0.35">
      <c r="A45" s="2" t="s">
        <v>55</v>
      </c>
      <c r="B45" s="2">
        <v>509</v>
      </c>
      <c r="C45" s="2">
        <v>195</v>
      </c>
      <c r="D45" s="2">
        <v>0.72301136363636365</v>
      </c>
      <c r="E45" s="2">
        <v>1.6755297730258412E-33</v>
      </c>
      <c r="F45" s="2">
        <v>1</v>
      </c>
      <c r="G45" s="2">
        <v>3.3510595460516823E-33</v>
      </c>
      <c r="H45" s="2">
        <v>0</v>
      </c>
      <c r="I45" s="2">
        <v>1</v>
      </c>
      <c r="J45" s="2">
        <v>0</v>
      </c>
      <c r="K45" s="2" t="s">
        <v>1</v>
      </c>
    </row>
    <row r="46" spans="1:11" x14ac:dyDescent="0.35">
      <c r="A46" s="2" t="s">
        <v>56</v>
      </c>
      <c r="B46" s="2">
        <v>209</v>
      </c>
      <c r="C46" s="2">
        <v>495</v>
      </c>
      <c r="D46" s="2">
        <v>0.296875</v>
      </c>
      <c r="E46" s="2">
        <v>1</v>
      </c>
      <c r="F46" s="2">
        <v>6.0128866720584896E-28</v>
      </c>
      <c r="G46" s="2">
        <v>1.2025773344116979E-27</v>
      </c>
      <c r="H46" s="2">
        <v>1</v>
      </c>
      <c r="I46" s="2">
        <v>2.162094319784073E-27</v>
      </c>
      <c r="J46" s="2">
        <v>0</v>
      </c>
      <c r="K46" s="2" t="s">
        <v>2</v>
      </c>
    </row>
    <row r="47" spans="1:11" x14ac:dyDescent="0.35">
      <c r="A47" s="2" t="s">
        <v>57</v>
      </c>
      <c r="B47" s="2">
        <v>541</v>
      </c>
      <c r="C47" s="2">
        <v>163</v>
      </c>
      <c r="D47" s="2">
        <v>0.76846590909090906</v>
      </c>
      <c r="E47" s="2">
        <v>1.6835630691730059E-48</v>
      </c>
      <c r="F47" s="2">
        <v>1</v>
      </c>
      <c r="G47" s="2">
        <v>3.3671261383460117E-48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308</v>
      </c>
      <c r="C48" s="2">
        <v>396</v>
      </c>
      <c r="D48" s="2">
        <v>0.4375</v>
      </c>
      <c r="E48" s="2">
        <v>0.99960803532611964</v>
      </c>
      <c r="F48" s="2">
        <v>5.140143795173258E-4</v>
      </c>
      <c r="G48" s="2">
        <v>1.028028759034652E-3</v>
      </c>
      <c r="H48" s="2">
        <v>0.99954444056142311</v>
      </c>
      <c r="I48" s="2">
        <v>4.5555943857685638E-4</v>
      </c>
      <c r="J48" s="2">
        <v>9.1111887715378259E-4</v>
      </c>
      <c r="K48" s="2" t="s">
        <v>2</v>
      </c>
    </row>
    <row r="49" spans="1:11" x14ac:dyDescent="0.35">
      <c r="A49" s="2" t="s">
        <v>59</v>
      </c>
      <c r="B49" s="2">
        <v>490</v>
      </c>
      <c r="C49" s="2">
        <v>214</v>
      </c>
      <c r="D49" s="2">
        <v>0.69602272727272729</v>
      </c>
      <c r="E49" s="2">
        <v>4.1928894555716279E-26</v>
      </c>
      <c r="F49" s="2">
        <v>1</v>
      </c>
      <c r="G49" s="2">
        <v>8.3857789111432569E-26</v>
      </c>
      <c r="H49" s="2">
        <v>0</v>
      </c>
      <c r="I49" s="2">
        <v>1</v>
      </c>
      <c r="J49" s="2">
        <v>0</v>
      </c>
      <c r="K49" s="2" t="s">
        <v>1</v>
      </c>
    </row>
    <row r="50" spans="1:11" x14ac:dyDescent="0.35">
      <c r="A50" s="2" t="s">
        <v>60</v>
      </c>
      <c r="B50" s="2">
        <v>538</v>
      </c>
      <c r="C50" s="2">
        <v>166</v>
      </c>
      <c r="D50" s="2">
        <v>0.76420454545454541</v>
      </c>
      <c r="E50" s="2">
        <v>5.9628957811031605E-47</v>
      </c>
      <c r="F50" s="2">
        <v>1</v>
      </c>
      <c r="G50" s="2">
        <v>1.1925791562206321E-46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257</v>
      </c>
      <c r="C51" s="2">
        <v>447</v>
      </c>
      <c r="D51" s="2">
        <v>0.36505681818181818</v>
      </c>
      <c r="E51" s="2">
        <v>0.99999999999978073</v>
      </c>
      <c r="F51" s="2">
        <v>3.853245326059999E-13</v>
      </c>
      <c r="G51" s="2">
        <v>7.706490652119997E-13</v>
      </c>
      <c r="H51" s="2">
        <v>0.99999999999959921</v>
      </c>
      <c r="I51" s="2">
        <v>4.0076178309946868E-13</v>
      </c>
      <c r="J51" s="2">
        <v>8.0158102377936302E-13</v>
      </c>
      <c r="K51" s="2" t="s">
        <v>2</v>
      </c>
    </row>
    <row r="52" spans="1:11" x14ac:dyDescent="0.35">
      <c r="A52" s="2" t="s">
        <v>62</v>
      </c>
      <c r="B52" s="2">
        <v>556</v>
      </c>
      <c r="C52" s="2">
        <v>148</v>
      </c>
      <c r="D52" s="2">
        <v>0.78977272727272729</v>
      </c>
      <c r="E52" s="2">
        <v>1.014234386638713E-56</v>
      </c>
      <c r="F52" s="2">
        <v>1</v>
      </c>
      <c r="G52" s="2">
        <v>2.0284687732774259E-56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700</v>
      </c>
      <c r="C53" s="2">
        <v>4</v>
      </c>
      <c r="D53" s="2">
        <v>0.99431818181818177</v>
      </c>
      <c r="E53" s="2">
        <v>1.2126531082110179E-202</v>
      </c>
      <c r="F53" s="2">
        <v>1</v>
      </c>
      <c r="G53" s="2">
        <v>2.4253062164220358E-202</v>
      </c>
      <c r="H53" s="2">
        <v>0</v>
      </c>
      <c r="I53" s="2">
        <v>1</v>
      </c>
      <c r="J53" s="2">
        <v>0</v>
      </c>
      <c r="K53" s="2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339</v>
      </c>
      <c r="C2" s="2">
        <v>365</v>
      </c>
      <c r="D2" s="2">
        <v>0.48153409090909088</v>
      </c>
      <c r="E2" s="2">
        <v>0.84556710823239156</v>
      </c>
      <c r="F2" s="2">
        <v>0.17304251071291021</v>
      </c>
      <c r="G2" s="2">
        <v>0.34608502142582048</v>
      </c>
      <c r="H2" s="2">
        <v>0.83643518838242337</v>
      </c>
      <c r="I2" s="2">
        <v>0.16356481161757661</v>
      </c>
      <c r="J2" s="2">
        <v>0.32712962323515332</v>
      </c>
      <c r="K2" s="2" t="s">
        <v>12</v>
      </c>
    </row>
    <row r="3" spans="1:11" x14ac:dyDescent="0.35">
      <c r="A3" s="2" t="s">
        <v>13</v>
      </c>
      <c r="B3" s="2">
        <v>276</v>
      </c>
      <c r="C3" s="2">
        <v>428</v>
      </c>
      <c r="D3" s="2">
        <v>0.39204545454545447</v>
      </c>
      <c r="E3" s="2">
        <v>0.99999999645551363</v>
      </c>
      <c r="F3" s="2">
        <v>5.5654150471749074E-9</v>
      </c>
      <c r="G3" s="2">
        <v>1.113083009434981E-8</v>
      </c>
      <c r="H3" s="2">
        <v>0.99999999494030434</v>
      </c>
      <c r="I3" s="2">
        <v>5.0596957075444564E-9</v>
      </c>
      <c r="J3" s="2">
        <v>1.011939132489204E-8</v>
      </c>
      <c r="K3" s="2" t="s">
        <v>2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457</v>
      </c>
      <c r="C5" s="2">
        <v>247</v>
      </c>
      <c r="D5" s="2">
        <v>0.64914772727272729</v>
      </c>
      <c r="E5" s="2">
        <v>1.045738419167208E-15</v>
      </c>
      <c r="F5" s="2">
        <v>0.99999999999999944</v>
      </c>
      <c r="G5" s="2">
        <v>2.0914768383344149E-15</v>
      </c>
      <c r="H5" s="2">
        <v>1.221245327087672E-15</v>
      </c>
      <c r="I5" s="2">
        <v>0.99999999999999878</v>
      </c>
      <c r="J5" s="2">
        <v>2.442490654175344E-15</v>
      </c>
      <c r="K5" s="2" t="s">
        <v>1</v>
      </c>
    </row>
    <row r="6" spans="1:11" x14ac:dyDescent="0.35">
      <c r="A6" s="2" t="s">
        <v>16</v>
      </c>
      <c r="B6" s="2">
        <v>135</v>
      </c>
      <c r="C6" s="2">
        <v>569</v>
      </c>
      <c r="D6" s="2">
        <v>0.19176136363636359</v>
      </c>
      <c r="E6" s="2">
        <v>1</v>
      </c>
      <c r="F6" s="2">
        <v>1.624786414533184E-64</v>
      </c>
      <c r="G6" s="2">
        <v>3.2495728290663667E-64</v>
      </c>
      <c r="H6" s="2">
        <v>1</v>
      </c>
      <c r="I6" s="2">
        <v>1.939131518997391E-60</v>
      </c>
      <c r="J6" s="2">
        <v>0</v>
      </c>
      <c r="K6" s="2" t="s">
        <v>2</v>
      </c>
    </row>
    <row r="7" spans="1:11" x14ac:dyDescent="0.35">
      <c r="A7" s="2" t="s">
        <v>17</v>
      </c>
      <c r="B7" s="2">
        <v>137</v>
      </c>
      <c r="C7" s="2">
        <v>567</v>
      </c>
      <c r="D7" s="2">
        <v>0.19460227272727271</v>
      </c>
      <c r="E7" s="2">
        <v>1</v>
      </c>
      <c r="F7" s="2">
        <v>2.8344498201723368E-63</v>
      </c>
      <c r="G7" s="2">
        <v>5.6688996403446746E-63</v>
      </c>
      <c r="H7" s="2">
        <v>1</v>
      </c>
      <c r="I7" s="2">
        <v>2.2782128802972632E-59</v>
      </c>
      <c r="J7" s="2">
        <v>0</v>
      </c>
      <c r="K7" s="2" t="s">
        <v>2</v>
      </c>
    </row>
    <row r="8" spans="1:11" x14ac:dyDescent="0.35">
      <c r="A8" s="2" t="s">
        <v>18</v>
      </c>
      <c r="B8" s="2">
        <v>410</v>
      </c>
      <c r="C8" s="2">
        <v>294</v>
      </c>
      <c r="D8" s="2">
        <v>0.58238636363636365</v>
      </c>
      <c r="E8" s="2">
        <v>7.0134550586825282E-6</v>
      </c>
      <c r="F8" s="2">
        <v>0.99999504959388663</v>
      </c>
      <c r="G8" s="2">
        <v>1.402691011736506E-5</v>
      </c>
      <c r="H8" s="2">
        <v>6.1580880682532424E-6</v>
      </c>
      <c r="I8" s="2">
        <v>0.99999384191193175</v>
      </c>
      <c r="J8" s="2">
        <v>1.231617613650648E-5</v>
      </c>
      <c r="K8" s="2" t="s">
        <v>1</v>
      </c>
    </row>
    <row r="9" spans="1:11" x14ac:dyDescent="0.35">
      <c r="A9" s="2" t="s">
        <v>19</v>
      </c>
      <c r="B9" s="2">
        <v>318</v>
      </c>
      <c r="C9" s="2">
        <v>386</v>
      </c>
      <c r="D9" s="2">
        <v>0.45170454545454553</v>
      </c>
      <c r="E9" s="2">
        <v>0.99537016444620019</v>
      </c>
      <c r="F9" s="2">
        <v>5.7558510126729696E-3</v>
      </c>
      <c r="G9" s="2">
        <v>1.1511702025345939E-2</v>
      </c>
      <c r="H9" s="2">
        <v>0.99480910210514906</v>
      </c>
      <c r="I9" s="2">
        <v>5.1908978948508964E-3</v>
      </c>
      <c r="J9" s="2">
        <v>1.038179578970189E-2</v>
      </c>
      <c r="K9" s="2" t="s">
        <v>2</v>
      </c>
    </row>
    <row r="10" spans="1:11" x14ac:dyDescent="0.35">
      <c r="A10" s="2" t="s">
        <v>20</v>
      </c>
      <c r="B10" s="2">
        <v>330</v>
      </c>
      <c r="C10" s="2">
        <v>374</v>
      </c>
      <c r="D10" s="2">
        <v>0.46875</v>
      </c>
      <c r="E10" s="2">
        <v>0.955092866564618</v>
      </c>
      <c r="F10" s="2">
        <v>5.2515725500884958E-2</v>
      </c>
      <c r="G10" s="2">
        <v>0.1050314510017699</v>
      </c>
      <c r="H10" s="2">
        <v>0.95137278578049833</v>
      </c>
      <c r="I10" s="2">
        <v>4.8627214219501641E-2</v>
      </c>
      <c r="J10" s="2">
        <v>9.7254428439003338E-2</v>
      </c>
      <c r="K10" s="2" t="s">
        <v>12</v>
      </c>
    </row>
    <row r="11" spans="1:11" x14ac:dyDescent="0.35">
      <c r="A11" s="2" t="s">
        <v>21</v>
      </c>
      <c r="B11" s="2">
        <v>190</v>
      </c>
      <c r="C11" s="2">
        <v>514</v>
      </c>
      <c r="D11" s="2">
        <v>0.26988636363636359</v>
      </c>
      <c r="E11" s="2">
        <v>1</v>
      </c>
      <c r="F11" s="2">
        <v>1.2482748311847501E-35</v>
      </c>
      <c r="G11" s="2">
        <v>2.4965496623695003E-35</v>
      </c>
      <c r="H11" s="2">
        <v>1</v>
      </c>
      <c r="I11" s="2">
        <v>1.354164553627729E-34</v>
      </c>
      <c r="J11" s="2">
        <v>0</v>
      </c>
      <c r="K11" s="2" t="s">
        <v>2</v>
      </c>
    </row>
    <row r="12" spans="1:11" x14ac:dyDescent="0.35">
      <c r="A12" s="2" t="s">
        <v>22</v>
      </c>
      <c r="B12" s="2">
        <v>433</v>
      </c>
      <c r="C12" s="2">
        <v>271</v>
      </c>
      <c r="D12" s="2">
        <v>0.61505681818181823</v>
      </c>
      <c r="E12" s="2">
        <v>5.5012734621003682E-10</v>
      </c>
      <c r="F12" s="2">
        <v>0.99999999965971842</v>
      </c>
      <c r="G12" s="2">
        <v>1.1002546924200741E-9</v>
      </c>
      <c r="H12" s="2">
        <v>5.1206083817589843E-10</v>
      </c>
      <c r="I12" s="2">
        <v>0.99999999948793916</v>
      </c>
      <c r="J12" s="2">
        <v>1.0241216763517971E-9</v>
      </c>
      <c r="K12" s="2" t="s">
        <v>1</v>
      </c>
    </row>
    <row r="13" spans="1:11" x14ac:dyDescent="0.35">
      <c r="A13" s="2" t="s">
        <v>23</v>
      </c>
      <c r="B13" s="2">
        <v>321</v>
      </c>
      <c r="C13" s="2">
        <v>383</v>
      </c>
      <c r="D13" s="2">
        <v>0.45596590909090912</v>
      </c>
      <c r="E13" s="2">
        <v>0.99124236032330704</v>
      </c>
      <c r="F13" s="2">
        <v>1.07186411397128E-2</v>
      </c>
      <c r="G13" s="2">
        <v>2.143728227942561E-2</v>
      </c>
      <c r="H13" s="2">
        <v>0.99027294186738102</v>
      </c>
      <c r="I13" s="2">
        <v>9.7270581326189907E-3</v>
      </c>
      <c r="J13" s="2">
        <v>1.9454116265237961E-2</v>
      </c>
      <c r="K13" s="2" t="s">
        <v>2</v>
      </c>
    </row>
    <row r="14" spans="1:11" x14ac:dyDescent="0.35">
      <c r="A14" s="2" t="s">
        <v>24</v>
      </c>
      <c r="B14" s="2">
        <v>349</v>
      </c>
      <c r="C14" s="2">
        <v>355</v>
      </c>
      <c r="D14" s="2">
        <v>0.49573863636363641</v>
      </c>
      <c r="E14" s="2">
        <v>0.60403040402144836</v>
      </c>
      <c r="F14" s="2">
        <v>0.42527252356759487</v>
      </c>
      <c r="G14" s="2">
        <v>0.85054504713518975</v>
      </c>
      <c r="H14" s="2">
        <v>0.58945120822402042</v>
      </c>
      <c r="I14" s="2">
        <v>0.41054879177597953</v>
      </c>
      <c r="J14" s="2">
        <v>0.82109758355195916</v>
      </c>
      <c r="K14" s="2" t="s">
        <v>12</v>
      </c>
    </row>
    <row r="15" spans="1:11" x14ac:dyDescent="0.35">
      <c r="A15" s="2" t="s">
        <v>25</v>
      </c>
      <c r="B15" s="2">
        <v>33</v>
      </c>
      <c r="C15" s="2">
        <v>23</v>
      </c>
      <c r="D15" s="2">
        <v>0.5892857142857143</v>
      </c>
      <c r="E15" s="2">
        <v>0.114402770617178</v>
      </c>
      <c r="F15" s="2">
        <v>0.92955228820075964</v>
      </c>
      <c r="G15" s="2">
        <v>0.22880554123435609</v>
      </c>
      <c r="H15" s="2">
        <v>9.0724603860710129E-2</v>
      </c>
      <c r="I15" s="2">
        <v>0.90927539613928987</v>
      </c>
      <c r="J15" s="2">
        <v>0.18144920772142031</v>
      </c>
      <c r="K15" s="2" t="s">
        <v>12</v>
      </c>
    </row>
    <row r="16" spans="1:11" x14ac:dyDescent="0.35">
      <c r="A16" s="2" t="s">
        <v>26</v>
      </c>
      <c r="B16" s="2">
        <v>409</v>
      </c>
      <c r="C16" s="2">
        <v>295</v>
      </c>
      <c r="D16" s="2">
        <v>0.58096590909090906</v>
      </c>
      <c r="E16" s="2">
        <v>9.8807434232840573E-6</v>
      </c>
      <c r="F16" s="2">
        <v>0.99999298654494129</v>
      </c>
      <c r="G16" s="2">
        <v>1.9761486846568111E-5</v>
      </c>
      <c r="H16" s="2">
        <v>8.6743644028830502E-6</v>
      </c>
      <c r="I16" s="2">
        <v>0.99999132563559712</v>
      </c>
      <c r="J16" s="2">
        <v>1.73487288057661E-5</v>
      </c>
      <c r="K16" s="2" t="s">
        <v>1</v>
      </c>
    </row>
    <row r="17" spans="1:11" x14ac:dyDescent="0.35">
      <c r="A17" s="2" t="s">
        <v>27</v>
      </c>
      <c r="B17" s="2">
        <v>377</v>
      </c>
      <c r="C17" s="2">
        <v>327</v>
      </c>
      <c r="D17" s="2">
        <v>0.53551136363636365</v>
      </c>
      <c r="E17" s="2">
        <v>3.2352956527301337E-2</v>
      </c>
      <c r="F17" s="2">
        <v>0.9727441946983314</v>
      </c>
      <c r="G17" s="2">
        <v>6.4705913054602687E-2</v>
      </c>
      <c r="H17" s="2">
        <v>2.975234282021488E-2</v>
      </c>
      <c r="I17" s="2">
        <v>0.97024765717978512</v>
      </c>
      <c r="J17" s="2">
        <v>5.9504685640429773E-2</v>
      </c>
      <c r="K17" s="2" t="s">
        <v>1</v>
      </c>
    </row>
    <row r="18" spans="1:11" x14ac:dyDescent="0.35">
      <c r="A18" s="2" t="s">
        <v>28</v>
      </c>
      <c r="B18" s="2">
        <v>230</v>
      </c>
      <c r="C18" s="2">
        <v>474</v>
      </c>
      <c r="D18" s="2">
        <v>0.32670454545454553</v>
      </c>
      <c r="E18" s="2">
        <v>1</v>
      </c>
      <c r="F18" s="2">
        <v>1.097977112383042E-20</v>
      </c>
      <c r="G18" s="2">
        <v>2.195954224766083E-20</v>
      </c>
      <c r="H18" s="2">
        <v>1</v>
      </c>
      <c r="I18" s="2">
        <v>1.8559548768900859E-20</v>
      </c>
      <c r="J18" s="2">
        <v>0</v>
      </c>
      <c r="K18" s="2" t="s">
        <v>2</v>
      </c>
    </row>
    <row r="19" spans="1:11" x14ac:dyDescent="0.35">
      <c r="A19" s="2" t="s">
        <v>29</v>
      </c>
      <c r="B19" s="2">
        <v>531</v>
      </c>
      <c r="C19" s="2">
        <v>173</v>
      </c>
      <c r="D19" s="2">
        <v>0.75426136363636365</v>
      </c>
      <c r="E19" s="2">
        <v>1.869928608147261E-43</v>
      </c>
      <c r="F19" s="2">
        <v>1</v>
      </c>
      <c r="G19" s="2">
        <v>3.739857216294522E-43</v>
      </c>
      <c r="H19" s="2">
        <v>0</v>
      </c>
      <c r="I19" s="2">
        <v>1</v>
      </c>
      <c r="J19" s="2">
        <v>0</v>
      </c>
      <c r="K19" s="2" t="s">
        <v>1</v>
      </c>
    </row>
    <row r="20" spans="1:11" x14ac:dyDescent="0.35">
      <c r="A20" s="2" t="s">
        <v>30</v>
      </c>
      <c r="B20" s="2">
        <v>303</v>
      </c>
      <c r="C20" s="2">
        <v>401</v>
      </c>
      <c r="D20" s="2">
        <v>0.43039772727272729</v>
      </c>
      <c r="E20" s="2">
        <v>0.99990686743660029</v>
      </c>
      <c r="F20" s="2">
        <v>1.2551204111500489E-4</v>
      </c>
      <c r="G20" s="2">
        <v>2.5102408223000972E-4</v>
      </c>
      <c r="H20" s="2">
        <v>0.99988941182370716</v>
      </c>
      <c r="I20" s="2">
        <v>1.1058817629283019E-4</v>
      </c>
      <c r="J20" s="2">
        <v>2.211763525856725E-4</v>
      </c>
      <c r="K20" s="2" t="s">
        <v>2</v>
      </c>
    </row>
    <row r="21" spans="1:11" x14ac:dyDescent="0.35">
      <c r="A21" s="2" t="s">
        <v>31</v>
      </c>
      <c r="B21" s="2">
        <v>187</v>
      </c>
      <c r="C21" s="2">
        <v>517</v>
      </c>
      <c r="D21" s="2">
        <v>0.265625</v>
      </c>
      <c r="E21" s="2">
        <v>1</v>
      </c>
      <c r="F21" s="2">
        <v>6.0586065370963564E-37</v>
      </c>
      <c r="G21" s="2">
        <v>1.2117213074192709E-36</v>
      </c>
      <c r="H21" s="2">
        <v>1</v>
      </c>
      <c r="I21" s="2">
        <v>8.1932282042043511E-36</v>
      </c>
      <c r="J21" s="2">
        <v>0</v>
      </c>
      <c r="K21" s="2" t="s">
        <v>2</v>
      </c>
    </row>
    <row r="22" spans="1:11" x14ac:dyDescent="0.35">
      <c r="A22" s="2" t="s">
        <v>32</v>
      </c>
      <c r="B22" s="2">
        <v>113</v>
      </c>
      <c r="C22" s="2">
        <v>591</v>
      </c>
      <c r="D22" s="2">
        <v>0.16051136363636359</v>
      </c>
      <c r="E22" s="2">
        <v>1</v>
      </c>
      <c r="F22" s="2">
        <v>2.9089537729386642E-79</v>
      </c>
      <c r="G22" s="2">
        <v>5.8179075458773272E-79</v>
      </c>
      <c r="H22" s="2">
        <v>1</v>
      </c>
      <c r="I22" s="2">
        <v>7.3885072727640264E-73</v>
      </c>
      <c r="J22" s="2">
        <v>0</v>
      </c>
      <c r="K22" s="2" t="s">
        <v>2</v>
      </c>
    </row>
    <row r="23" spans="1:11" x14ac:dyDescent="0.35">
      <c r="A23" s="2" t="s">
        <v>33</v>
      </c>
      <c r="B23" s="2">
        <v>452</v>
      </c>
      <c r="C23" s="2">
        <v>252</v>
      </c>
      <c r="D23" s="2">
        <v>0.64204545454545459</v>
      </c>
      <c r="E23" s="2">
        <v>2.1659689066834469E-14</v>
      </c>
      <c r="F23" s="2">
        <v>0.99999999999998801</v>
      </c>
      <c r="G23" s="2">
        <v>4.3319378133668937E-14</v>
      </c>
      <c r="H23" s="2">
        <v>2.3869795029440869E-14</v>
      </c>
      <c r="I23" s="2">
        <v>0.99999999999997613</v>
      </c>
      <c r="J23" s="2">
        <v>4.7739590058881731E-14</v>
      </c>
      <c r="K23" s="2" t="s">
        <v>1</v>
      </c>
    </row>
    <row r="24" spans="1:11" x14ac:dyDescent="0.35">
      <c r="A24" s="2" t="s">
        <v>34</v>
      </c>
      <c r="B24" s="2">
        <v>393</v>
      </c>
      <c r="C24" s="2">
        <v>311</v>
      </c>
      <c r="D24" s="2">
        <v>0.55823863636363635</v>
      </c>
      <c r="E24" s="2">
        <v>1.122218591755879E-3</v>
      </c>
      <c r="F24" s="2">
        <v>0.99913027169606761</v>
      </c>
      <c r="G24" s="2">
        <v>2.244437183511758E-3</v>
      </c>
      <c r="H24" s="2">
        <v>9.9912835415094658E-4</v>
      </c>
      <c r="I24" s="2">
        <v>0.99900087164584905</v>
      </c>
      <c r="J24" s="2">
        <v>1.9982567083018932E-3</v>
      </c>
      <c r="K24" s="2" t="s">
        <v>1</v>
      </c>
    </row>
    <row r="25" spans="1:11" x14ac:dyDescent="0.35">
      <c r="A25" s="2" t="s">
        <v>35</v>
      </c>
      <c r="B25" s="2">
        <v>356</v>
      </c>
      <c r="C25" s="2">
        <v>348</v>
      </c>
      <c r="D25" s="2">
        <v>0.50568181818181823</v>
      </c>
      <c r="E25" s="2">
        <v>0.39596959597855169</v>
      </c>
      <c r="F25" s="2">
        <v>0.63275715045003333</v>
      </c>
      <c r="G25" s="2">
        <v>0.79193919195710338</v>
      </c>
      <c r="H25" s="2">
        <v>0.38151230027649652</v>
      </c>
      <c r="I25" s="2">
        <v>0.61848769972350348</v>
      </c>
      <c r="J25" s="2">
        <v>0.76302460055299304</v>
      </c>
      <c r="K25" s="2" t="s">
        <v>12</v>
      </c>
    </row>
    <row r="26" spans="1:11" x14ac:dyDescent="0.35">
      <c r="A26" s="2" t="s">
        <v>36</v>
      </c>
      <c r="B26" s="2">
        <v>477</v>
      </c>
      <c r="C26" s="2">
        <v>227</v>
      </c>
      <c r="D26" s="2">
        <v>0.67755681818181823</v>
      </c>
      <c r="E26" s="2">
        <v>1.2013044069375279E-21</v>
      </c>
      <c r="F26" s="2">
        <v>1</v>
      </c>
      <c r="G26" s="2">
        <v>2.4026088138750559E-21</v>
      </c>
      <c r="H26" s="2">
        <v>0</v>
      </c>
      <c r="I26" s="2">
        <v>1</v>
      </c>
      <c r="J26" s="2">
        <v>0</v>
      </c>
      <c r="K26" s="2" t="s">
        <v>1</v>
      </c>
    </row>
    <row r="27" spans="1:11" x14ac:dyDescent="0.35">
      <c r="A27" s="2" t="s">
        <v>37</v>
      </c>
      <c r="B27" s="2">
        <v>307</v>
      </c>
      <c r="C27" s="2">
        <v>397</v>
      </c>
      <c r="D27" s="2">
        <v>0.43607954545454553</v>
      </c>
      <c r="E27" s="2">
        <v>0.99970272376273472</v>
      </c>
      <c r="F27" s="2">
        <v>3.9196467388036299E-4</v>
      </c>
      <c r="G27" s="2">
        <v>7.8392934776072597E-4</v>
      </c>
      <c r="H27" s="2">
        <v>0.99965308112455031</v>
      </c>
      <c r="I27" s="2">
        <v>3.4691887544967281E-4</v>
      </c>
      <c r="J27" s="2">
        <v>6.9383775089937316E-4</v>
      </c>
      <c r="K27" s="2" t="s">
        <v>2</v>
      </c>
    </row>
    <row r="28" spans="1:11" x14ac:dyDescent="0.35">
      <c r="A28" s="2" t="s">
        <v>38</v>
      </c>
      <c r="B28" s="2">
        <v>188</v>
      </c>
      <c r="C28" s="2">
        <v>516</v>
      </c>
      <c r="D28" s="2">
        <v>0.26704545454545447</v>
      </c>
      <c r="E28" s="2">
        <v>1</v>
      </c>
      <c r="F28" s="2">
        <v>1.672935226012477E-36</v>
      </c>
      <c r="G28" s="2">
        <v>3.3458704520249527E-36</v>
      </c>
      <c r="H28" s="2">
        <v>1</v>
      </c>
      <c r="I28" s="2">
        <v>2.0988391493379791E-35</v>
      </c>
      <c r="J28" s="2">
        <v>0</v>
      </c>
      <c r="K28" s="2" t="s">
        <v>2</v>
      </c>
    </row>
    <row r="29" spans="1:11" x14ac:dyDescent="0.35">
      <c r="A29" s="2" t="s">
        <v>39</v>
      </c>
      <c r="B29" s="2">
        <v>170</v>
      </c>
      <c r="C29" s="2">
        <v>534</v>
      </c>
      <c r="D29" s="2">
        <v>0.24147727272727271</v>
      </c>
      <c r="E29" s="2">
        <v>1</v>
      </c>
      <c r="F29" s="2">
        <v>6.2158512455527271E-45</v>
      </c>
      <c r="G29" s="2">
        <v>1.2431702491105449E-44</v>
      </c>
      <c r="H29" s="2">
        <v>1</v>
      </c>
      <c r="I29" s="2">
        <v>3.9193995946946077E-43</v>
      </c>
      <c r="J29" s="2">
        <v>0</v>
      </c>
      <c r="K29" s="2" t="s">
        <v>2</v>
      </c>
    </row>
    <row r="30" spans="1:11" x14ac:dyDescent="0.35">
      <c r="A30" s="2" t="s">
        <v>40</v>
      </c>
      <c r="B30" s="2">
        <v>284</v>
      </c>
      <c r="C30" s="2">
        <v>420</v>
      </c>
      <c r="D30" s="2">
        <v>0.40340909090909088</v>
      </c>
      <c r="E30" s="2">
        <v>0.99999988863049394</v>
      </c>
      <c r="F30" s="2">
        <v>1.6698232803194559E-7</v>
      </c>
      <c r="G30" s="2">
        <v>3.3396465606389117E-7</v>
      </c>
      <c r="H30" s="2">
        <v>0.99999985177723072</v>
      </c>
      <c r="I30" s="2">
        <v>1.482227692405834E-7</v>
      </c>
      <c r="J30" s="2">
        <v>2.9644553856122968E-7</v>
      </c>
      <c r="K30" s="2" t="s">
        <v>2</v>
      </c>
    </row>
    <row r="31" spans="1:11" x14ac:dyDescent="0.35">
      <c r="A31" s="2" t="s">
        <v>41</v>
      </c>
      <c r="B31" s="2">
        <v>383</v>
      </c>
      <c r="C31" s="2">
        <v>321</v>
      </c>
      <c r="D31" s="2">
        <v>0.54403409090909094</v>
      </c>
      <c r="E31" s="2">
        <v>1.07186411397128E-2</v>
      </c>
      <c r="F31" s="2">
        <v>0.99124236032330704</v>
      </c>
      <c r="G31" s="2">
        <v>2.143728227942561E-2</v>
      </c>
      <c r="H31" s="2">
        <v>9.727058132618871E-3</v>
      </c>
      <c r="I31" s="2">
        <v>0.99027294186738113</v>
      </c>
      <c r="J31" s="2">
        <v>1.9454116265237738E-2</v>
      </c>
      <c r="K31" s="2" t="s">
        <v>1</v>
      </c>
    </row>
    <row r="32" spans="1:11" x14ac:dyDescent="0.35">
      <c r="A32" s="2" t="s">
        <v>42</v>
      </c>
      <c r="B32" s="2">
        <v>150</v>
      </c>
      <c r="C32" s="2">
        <v>554</v>
      </c>
      <c r="D32" s="2">
        <v>0.2130681818181818</v>
      </c>
      <c r="E32" s="2">
        <v>1</v>
      </c>
      <c r="F32" s="2">
        <v>1.4090188702553811E-55</v>
      </c>
      <c r="G32" s="2">
        <v>2.8180377405107629E-55</v>
      </c>
      <c r="H32" s="2">
        <v>1</v>
      </c>
      <c r="I32" s="2">
        <v>1.18262708332127E-52</v>
      </c>
      <c r="J32" s="2">
        <v>0</v>
      </c>
      <c r="K32" s="2" t="s">
        <v>2</v>
      </c>
    </row>
    <row r="33" spans="1:11" x14ac:dyDescent="0.35">
      <c r="A33" s="2" t="s">
        <v>43</v>
      </c>
      <c r="B33" s="2">
        <v>173</v>
      </c>
      <c r="C33" s="2">
        <v>531</v>
      </c>
      <c r="D33" s="2">
        <v>0.24573863636363641</v>
      </c>
      <c r="E33" s="2">
        <v>1</v>
      </c>
      <c r="F33" s="2">
        <v>1.869928608147261E-43</v>
      </c>
      <c r="G33" s="2">
        <v>3.739857216294522E-43</v>
      </c>
      <c r="H33" s="2">
        <v>1</v>
      </c>
      <c r="I33" s="2">
        <v>8.6408752887271399E-42</v>
      </c>
      <c r="J33" s="2">
        <v>0</v>
      </c>
      <c r="K33" s="2" t="s">
        <v>2</v>
      </c>
    </row>
    <row r="34" spans="1:11" x14ac:dyDescent="0.35">
      <c r="A34" s="2" t="s">
        <v>44</v>
      </c>
      <c r="B34" s="2">
        <v>108</v>
      </c>
      <c r="C34" s="2">
        <v>596</v>
      </c>
      <c r="D34" s="2">
        <v>0.15340909090909091</v>
      </c>
      <c r="E34" s="2">
        <v>1</v>
      </c>
      <c r="F34" s="2">
        <v>6.5456300674276173E-83</v>
      </c>
      <c r="G34" s="2">
        <v>1.309126013485523E-82</v>
      </c>
      <c r="H34" s="2">
        <v>1</v>
      </c>
      <c r="I34" s="2">
        <v>7.5859967229968314E-76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239</v>
      </c>
      <c r="C35" s="2">
        <v>465</v>
      </c>
      <c r="D35" s="2">
        <v>0.33948863636363641</v>
      </c>
      <c r="E35" s="2">
        <v>1</v>
      </c>
      <c r="F35" s="2">
        <v>5.947395794988822E-18</v>
      </c>
      <c r="G35" s="2">
        <v>1.1894791589977639E-17</v>
      </c>
      <c r="H35" s="2">
        <v>1</v>
      </c>
      <c r="I35" s="2">
        <v>8.1379739360316048E-18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225</v>
      </c>
      <c r="C36" s="2">
        <v>479</v>
      </c>
      <c r="D36" s="2">
        <v>0.31960227272727271</v>
      </c>
      <c r="E36" s="2">
        <v>1</v>
      </c>
      <c r="F36" s="2">
        <v>2.66113438101818E-22</v>
      </c>
      <c r="G36" s="2">
        <v>5.3222687620363591E-22</v>
      </c>
      <c r="H36" s="2">
        <v>1</v>
      </c>
      <c r="I36" s="2">
        <v>5.1931293277504298E-22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122</v>
      </c>
      <c r="C37" s="2">
        <v>582</v>
      </c>
      <c r="D37" s="2">
        <v>0.17329545454545461</v>
      </c>
      <c r="E37" s="2">
        <v>1</v>
      </c>
      <c r="F37" s="2">
        <v>5.5638477973692838E-73</v>
      </c>
      <c r="G37" s="2">
        <v>1.112769559473857E-72</v>
      </c>
      <c r="H37" s="2">
        <v>1</v>
      </c>
      <c r="I37" s="2">
        <v>1.238665603428492E-67</v>
      </c>
      <c r="J37" s="2">
        <v>0</v>
      </c>
      <c r="K37" s="2" t="s">
        <v>2</v>
      </c>
    </row>
    <row r="38" spans="1:11" x14ac:dyDescent="0.35">
      <c r="A38" s="2" t="s">
        <v>48</v>
      </c>
      <c r="B38" s="2">
        <v>132</v>
      </c>
      <c r="C38" s="2">
        <v>572</v>
      </c>
      <c r="D38" s="2">
        <v>0.1875</v>
      </c>
      <c r="E38" s="2">
        <v>1</v>
      </c>
      <c r="F38" s="2">
        <v>2.0822370290439729E-66</v>
      </c>
      <c r="G38" s="2">
        <v>4.1644740580879458E-66</v>
      </c>
      <c r="H38" s="2">
        <v>1</v>
      </c>
      <c r="I38" s="2">
        <v>4.6151658279922241E-62</v>
      </c>
      <c r="J38" s="2">
        <v>0</v>
      </c>
      <c r="K38" s="2" t="s">
        <v>2</v>
      </c>
    </row>
    <row r="39" spans="1:11" x14ac:dyDescent="0.35">
      <c r="A39" s="2" t="s">
        <v>49</v>
      </c>
      <c r="B39" s="2">
        <v>159</v>
      </c>
      <c r="C39" s="2">
        <v>545</v>
      </c>
      <c r="D39" s="2">
        <v>0.22585227272727271</v>
      </c>
      <c r="E39" s="2">
        <v>1</v>
      </c>
      <c r="F39" s="2">
        <v>1.2949402305475899E-50</v>
      </c>
      <c r="G39" s="2">
        <v>2.5898804610951798E-50</v>
      </c>
      <c r="H39" s="2">
        <v>1</v>
      </c>
      <c r="I39" s="2">
        <v>3.0101942364306642E-48</v>
      </c>
      <c r="J39" s="2">
        <v>0</v>
      </c>
      <c r="K39" s="2" t="s">
        <v>2</v>
      </c>
    </row>
    <row r="40" spans="1:11" x14ac:dyDescent="0.35">
      <c r="A40" s="2" t="s">
        <v>50</v>
      </c>
      <c r="B40" s="2">
        <v>343</v>
      </c>
      <c r="C40" s="2">
        <v>361</v>
      </c>
      <c r="D40" s="2">
        <v>0.48721590909090912</v>
      </c>
      <c r="E40" s="2">
        <v>0.76301913543624389</v>
      </c>
      <c r="F40" s="2">
        <v>0.26086961327395092</v>
      </c>
      <c r="G40" s="2">
        <v>0.52173922654790184</v>
      </c>
      <c r="H40" s="2">
        <v>0.7512411119350052</v>
      </c>
      <c r="I40" s="2">
        <v>0.2487588880649948</v>
      </c>
      <c r="J40" s="2">
        <v>0.4975177761299896</v>
      </c>
      <c r="K40" s="2" t="s">
        <v>12</v>
      </c>
    </row>
    <row r="41" spans="1:11" x14ac:dyDescent="0.35">
      <c r="A41" s="2" t="s">
        <v>51</v>
      </c>
      <c r="B41" s="2">
        <v>210</v>
      </c>
      <c r="C41" s="2">
        <v>494</v>
      </c>
      <c r="D41" s="2">
        <v>0.29829545454545447</v>
      </c>
      <c r="E41" s="2">
        <v>1</v>
      </c>
      <c r="F41" s="2">
        <v>1.4242880456734839E-27</v>
      </c>
      <c r="G41" s="2">
        <v>2.848576091346969E-27</v>
      </c>
      <c r="H41" s="2">
        <v>1</v>
      </c>
      <c r="I41" s="2">
        <v>4.8921766065608342E-27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122</v>
      </c>
      <c r="C42" s="2">
        <v>582</v>
      </c>
      <c r="D42" s="2">
        <v>0.17329545454545461</v>
      </c>
      <c r="E42" s="2">
        <v>1</v>
      </c>
      <c r="F42" s="2">
        <v>5.5638477973692838E-73</v>
      </c>
      <c r="G42" s="2">
        <v>1.112769559473857E-72</v>
      </c>
      <c r="H42" s="2">
        <v>1</v>
      </c>
      <c r="I42" s="2">
        <v>1.238665603428492E-67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191</v>
      </c>
      <c r="C43" s="2">
        <v>513</v>
      </c>
      <c r="D43" s="2">
        <v>0.27130681818181818</v>
      </c>
      <c r="E43" s="2">
        <v>1</v>
      </c>
      <c r="F43" s="2">
        <v>3.3733096401047361E-35</v>
      </c>
      <c r="G43" s="2">
        <v>6.7466192802094721E-35</v>
      </c>
      <c r="H43" s="2">
        <v>1</v>
      </c>
      <c r="I43" s="2">
        <v>3.410672294450207E-34</v>
      </c>
      <c r="J43" s="2">
        <v>0</v>
      </c>
      <c r="K43" s="2" t="s">
        <v>2</v>
      </c>
    </row>
    <row r="44" spans="1:11" x14ac:dyDescent="0.35">
      <c r="A44" s="2" t="s">
        <v>54</v>
      </c>
      <c r="B44" s="2">
        <v>196</v>
      </c>
      <c r="C44" s="2">
        <v>508</v>
      </c>
      <c r="D44" s="2">
        <v>0.27840909090909088</v>
      </c>
      <c r="E44" s="2">
        <v>1</v>
      </c>
      <c r="F44" s="2">
        <v>1.6755297730258412E-33</v>
      </c>
      <c r="G44" s="2">
        <v>3.3510595460516823E-33</v>
      </c>
      <c r="H44" s="2">
        <v>1</v>
      </c>
      <c r="I44" s="2">
        <v>3.17624928716035E-32</v>
      </c>
      <c r="J44" s="2">
        <v>0</v>
      </c>
      <c r="K44" s="2" t="s">
        <v>2</v>
      </c>
    </row>
    <row r="45" spans="1:11" x14ac:dyDescent="0.35">
      <c r="A45" s="2" t="s">
        <v>55</v>
      </c>
      <c r="B45" s="2">
        <v>244</v>
      </c>
      <c r="C45" s="2">
        <v>460</v>
      </c>
      <c r="D45" s="2">
        <v>0.34659090909090912</v>
      </c>
      <c r="E45" s="2">
        <v>0.99999999999999989</v>
      </c>
      <c r="F45" s="2">
        <v>1.576497202618777E-16</v>
      </c>
      <c r="G45" s="2">
        <v>3.1529944052375539E-16</v>
      </c>
      <c r="H45" s="2">
        <v>0.99999999999999978</v>
      </c>
      <c r="I45" s="2">
        <v>1.9632706630690171E-16</v>
      </c>
      <c r="J45" s="2">
        <v>4.4408920985006262E-16</v>
      </c>
      <c r="K45" s="2" t="s">
        <v>2</v>
      </c>
    </row>
    <row r="46" spans="1:11" x14ac:dyDescent="0.35">
      <c r="A46" s="2" t="s">
        <v>56</v>
      </c>
      <c r="B46" s="2">
        <v>324</v>
      </c>
      <c r="C46" s="2">
        <v>380</v>
      </c>
      <c r="D46" s="2">
        <v>0.46022727272727271</v>
      </c>
      <c r="E46" s="2">
        <v>0.98419030824746367</v>
      </c>
      <c r="F46" s="2">
        <v>1.9053548193704001E-2</v>
      </c>
      <c r="G46" s="2">
        <v>3.8107096387408002E-2</v>
      </c>
      <c r="H46" s="2">
        <v>0.9825957605940665</v>
      </c>
      <c r="I46" s="2">
        <v>1.7404239405933521E-2</v>
      </c>
      <c r="J46" s="2">
        <v>3.4808478811866987E-2</v>
      </c>
      <c r="K46" s="2" t="s">
        <v>2</v>
      </c>
    </row>
    <row r="47" spans="1:11" x14ac:dyDescent="0.35">
      <c r="A47" s="2" t="s">
        <v>57</v>
      </c>
      <c r="B47" s="2">
        <v>433</v>
      </c>
      <c r="C47" s="2">
        <v>271</v>
      </c>
      <c r="D47" s="2">
        <v>0.61505681818181823</v>
      </c>
      <c r="E47" s="2">
        <v>5.5012734621003682E-10</v>
      </c>
      <c r="F47" s="2">
        <v>0.99999999965971842</v>
      </c>
      <c r="G47" s="2">
        <v>1.1002546924200741E-9</v>
      </c>
      <c r="H47" s="2">
        <v>5.1206083817589843E-10</v>
      </c>
      <c r="I47" s="2">
        <v>0.99999999948793916</v>
      </c>
      <c r="J47" s="2">
        <v>1.0241216763517971E-9</v>
      </c>
      <c r="K47" s="2" t="s">
        <v>1</v>
      </c>
    </row>
    <row r="48" spans="1:11" x14ac:dyDescent="0.35">
      <c r="A48" s="2" t="s">
        <v>58</v>
      </c>
      <c r="B48" s="2">
        <v>281</v>
      </c>
      <c r="C48" s="2">
        <v>423</v>
      </c>
      <c r="D48" s="2">
        <v>0.39914772727272729</v>
      </c>
      <c r="E48" s="2">
        <v>0.99999996807690539</v>
      </c>
      <c r="F48" s="2">
        <v>4.8695444035950358E-8</v>
      </c>
      <c r="G48" s="2">
        <v>9.7390888071900728E-8</v>
      </c>
      <c r="H48" s="2">
        <v>0.99999995646453665</v>
      </c>
      <c r="I48" s="2">
        <v>4.3535463367751409E-8</v>
      </c>
      <c r="J48" s="2">
        <v>8.7070926690913097E-8</v>
      </c>
      <c r="K48" s="2" t="s">
        <v>2</v>
      </c>
    </row>
    <row r="49" spans="1:11" x14ac:dyDescent="0.35">
      <c r="A49" s="2" t="s">
        <v>59</v>
      </c>
      <c r="B49" s="2">
        <v>334</v>
      </c>
      <c r="C49" s="2">
        <v>370</v>
      </c>
      <c r="D49" s="2">
        <v>0.47443181818181818</v>
      </c>
      <c r="E49" s="2">
        <v>0.91843865693126425</v>
      </c>
      <c r="F49" s="2">
        <v>9.3546529825919919E-2</v>
      </c>
      <c r="G49" s="2">
        <v>0.18709305965183981</v>
      </c>
      <c r="H49" s="2">
        <v>0.91257778319479266</v>
      </c>
      <c r="I49" s="2">
        <v>8.7422216805207342E-2</v>
      </c>
      <c r="J49" s="2">
        <v>0.17484443361041471</v>
      </c>
      <c r="K49" s="2" t="s">
        <v>12</v>
      </c>
    </row>
    <row r="50" spans="1:11" x14ac:dyDescent="0.35">
      <c r="A50" s="2" t="s">
        <v>60</v>
      </c>
      <c r="B50" s="2">
        <v>448</v>
      </c>
      <c r="C50" s="2">
        <v>256</v>
      </c>
      <c r="D50" s="2">
        <v>0.63636363636363635</v>
      </c>
      <c r="E50" s="2">
        <v>2.1930268365218381E-13</v>
      </c>
      <c r="F50" s="2">
        <v>0.99999999999987599</v>
      </c>
      <c r="G50" s="2">
        <v>4.3860536730436762E-13</v>
      </c>
      <c r="H50" s="2">
        <v>2.3059332221464501E-13</v>
      </c>
      <c r="I50" s="2">
        <v>0.99999999999976941</v>
      </c>
      <c r="J50" s="2">
        <v>4.6118664442929003E-13</v>
      </c>
      <c r="K50" s="2" t="s">
        <v>1</v>
      </c>
    </row>
    <row r="51" spans="1:11" x14ac:dyDescent="0.35">
      <c r="A51" s="2" t="s">
        <v>61</v>
      </c>
      <c r="B51" s="2">
        <v>384</v>
      </c>
      <c r="C51" s="2">
        <v>320</v>
      </c>
      <c r="D51" s="2">
        <v>0.54545454545454541</v>
      </c>
      <c r="E51" s="2">
        <v>8.7576396766929094E-3</v>
      </c>
      <c r="F51" s="2">
        <v>0.99288163498380022</v>
      </c>
      <c r="G51" s="2">
        <v>1.7515279353385819E-2</v>
      </c>
      <c r="H51" s="2">
        <v>7.9306663698865965E-3</v>
      </c>
      <c r="I51" s="2">
        <v>0.9920693336301134</v>
      </c>
      <c r="J51" s="2">
        <v>1.5861332739773189E-2</v>
      </c>
      <c r="K51" s="2" t="s">
        <v>1</v>
      </c>
    </row>
    <row r="52" spans="1:11" x14ac:dyDescent="0.35">
      <c r="A52" s="2" t="s">
        <v>62</v>
      </c>
      <c r="B52" s="2">
        <v>268</v>
      </c>
      <c r="C52" s="2">
        <v>436</v>
      </c>
      <c r="D52" s="2">
        <v>0.38068181818181818</v>
      </c>
      <c r="E52" s="2">
        <v>0.99999999992226063</v>
      </c>
      <c r="F52" s="2">
        <v>1.279181887347529E-10</v>
      </c>
      <c r="G52" s="2">
        <v>2.5583637746950579E-10</v>
      </c>
      <c r="H52" s="2">
        <v>0.99999999987879273</v>
      </c>
      <c r="I52" s="2">
        <v>1.212072519999565E-10</v>
      </c>
      <c r="J52" s="2">
        <v>2.4241453289164378E-10</v>
      </c>
      <c r="K52" s="2" t="s">
        <v>2</v>
      </c>
    </row>
    <row r="53" spans="1:11" x14ac:dyDescent="0.35">
      <c r="A53" s="2" t="s">
        <v>63</v>
      </c>
      <c r="B53" s="2">
        <v>127</v>
      </c>
      <c r="C53" s="2">
        <v>577</v>
      </c>
      <c r="D53" s="2">
        <v>0.18039772727272729</v>
      </c>
      <c r="E53" s="2">
        <v>1</v>
      </c>
      <c r="F53" s="2">
        <v>1.2129767875644901E-69</v>
      </c>
      <c r="G53" s="2">
        <v>2.4259535751289792E-69</v>
      </c>
      <c r="H53" s="2">
        <v>1</v>
      </c>
      <c r="I53" s="2">
        <v>8.1154085633445948E-65</v>
      </c>
      <c r="J53" s="2">
        <v>0</v>
      </c>
      <c r="K53" s="2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373</v>
      </c>
      <c r="C2" s="2">
        <v>331</v>
      </c>
      <c r="D2" s="2">
        <v>0.52982954545454541</v>
      </c>
      <c r="E2" s="2">
        <v>6.1112744934414411E-2</v>
      </c>
      <c r="F2" s="2">
        <v>0.94748427449911499</v>
      </c>
      <c r="G2" s="2">
        <v>0.12222548986882879</v>
      </c>
      <c r="H2" s="2">
        <v>5.6718190418091563E-2</v>
      </c>
      <c r="I2" s="2">
        <v>0.94328180958190844</v>
      </c>
      <c r="J2" s="2">
        <v>0.1134363808361831</v>
      </c>
      <c r="K2" s="2" t="s">
        <v>12</v>
      </c>
    </row>
    <row r="3" spans="1:11" x14ac:dyDescent="0.35">
      <c r="A3" s="2" t="s">
        <v>13</v>
      </c>
      <c r="B3" s="2">
        <v>401</v>
      </c>
      <c r="C3" s="2">
        <v>303</v>
      </c>
      <c r="D3" s="2">
        <v>0.56960227272727271</v>
      </c>
      <c r="E3" s="2">
        <v>1.2551204111500489E-4</v>
      </c>
      <c r="F3" s="2">
        <v>0.99990686743660029</v>
      </c>
      <c r="G3" s="2">
        <v>2.5102408223000972E-4</v>
      </c>
      <c r="H3" s="2">
        <v>1.105881762928362E-4</v>
      </c>
      <c r="I3" s="2">
        <v>0.99988941182370716</v>
      </c>
      <c r="J3" s="2">
        <v>2.211763525856725E-4</v>
      </c>
      <c r="K3" s="2" t="s">
        <v>1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305</v>
      </c>
      <c r="C5" s="2">
        <v>399</v>
      </c>
      <c r="D5" s="2">
        <v>0.43323863636363641</v>
      </c>
      <c r="E5" s="2">
        <v>0.99983177687150404</v>
      </c>
      <c r="F5" s="2">
        <v>2.2423766932352069E-4</v>
      </c>
      <c r="G5" s="2">
        <v>4.4847533864704139E-4</v>
      </c>
      <c r="H5" s="2">
        <v>0.99980201728178342</v>
      </c>
      <c r="I5" s="2">
        <v>1.979827182166197E-4</v>
      </c>
      <c r="J5" s="2">
        <v>3.9596543643316551E-4</v>
      </c>
      <c r="K5" s="2" t="s">
        <v>2</v>
      </c>
    </row>
    <row r="6" spans="1:11" x14ac:dyDescent="0.35">
      <c r="A6" s="2" t="s">
        <v>16</v>
      </c>
      <c r="B6" s="2">
        <v>451</v>
      </c>
      <c r="C6" s="2">
        <v>253</v>
      </c>
      <c r="D6" s="2">
        <v>0.640625</v>
      </c>
      <c r="E6" s="2">
        <v>3.8989699383371863E-14</v>
      </c>
      <c r="F6" s="2">
        <v>0.99999999999997835</v>
      </c>
      <c r="G6" s="2">
        <v>7.7979398766743726E-14</v>
      </c>
      <c r="H6" s="2">
        <v>4.2521541843143502E-14</v>
      </c>
      <c r="I6" s="2">
        <v>0.99999999999995748</v>
      </c>
      <c r="J6" s="2">
        <v>8.5043083686286991E-14</v>
      </c>
      <c r="K6" s="2" t="s">
        <v>1</v>
      </c>
    </row>
    <row r="7" spans="1:11" x14ac:dyDescent="0.35">
      <c r="A7" s="2" t="s">
        <v>17</v>
      </c>
      <c r="B7" s="2">
        <v>439</v>
      </c>
      <c r="C7" s="2">
        <v>265</v>
      </c>
      <c r="D7" s="2">
        <v>0.62357954545454541</v>
      </c>
      <c r="E7" s="2">
        <v>2.820711655906156E-11</v>
      </c>
      <c r="F7" s="2">
        <v>0.99999999998315936</v>
      </c>
      <c r="G7" s="2">
        <v>5.641423311812312E-11</v>
      </c>
      <c r="H7" s="2">
        <v>2.7290614212915901E-11</v>
      </c>
      <c r="I7" s="2">
        <v>0.99999999997270939</v>
      </c>
      <c r="J7" s="2">
        <v>5.4581228425831802E-11</v>
      </c>
      <c r="K7" s="2" t="s">
        <v>1</v>
      </c>
    </row>
    <row r="8" spans="1:11" x14ac:dyDescent="0.35">
      <c r="A8" s="2" t="s">
        <v>18</v>
      </c>
      <c r="B8" s="2">
        <v>387</v>
      </c>
      <c r="C8" s="2">
        <v>317</v>
      </c>
      <c r="D8" s="2">
        <v>0.54971590909090906</v>
      </c>
      <c r="E8" s="2">
        <v>4.6298355537997774E-3</v>
      </c>
      <c r="F8" s="2">
        <v>0.99629541745891781</v>
      </c>
      <c r="G8" s="2">
        <v>9.2596711075995548E-3</v>
      </c>
      <c r="H8" s="2">
        <v>4.1670722889086687E-3</v>
      </c>
      <c r="I8" s="2">
        <v>0.99583292771109133</v>
      </c>
      <c r="J8" s="2">
        <v>8.3341445778173373E-3</v>
      </c>
      <c r="K8" s="2" t="s">
        <v>1</v>
      </c>
    </row>
    <row r="9" spans="1:11" x14ac:dyDescent="0.35">
      <c r="A9" s="2" t="s">
        <v>19</v>
      </c>
      <c r="B9" s="2">
        <v>394</v>
      </c>
      <c r="C9" s="2">
        <v>310</v>
      </c>
      <c r="D9" s="2">
        <v>0.55965909090909094</v>
      </c>
      <c r="E9" s="2">
        <v>8.6972830393244492E-4</v>
      </c>
      <c r="F9" s="2">
        <v>0.99932957240549158</v>
      </c>
      <c r="G9" s="2">
        <v>1.7394566078648901E-3</v>
      </c>
      <c r="H9" s="2">
        <v>7.7310173854039377E-4</v>
      </c>
      <c r="I9" s="2">
        <v>0.99922689826145961</v>
      </c>
      <c r="J9" s="2">
        <v>1.546203477080788E-3</v>
      </c>
      <c r="K9" s="2" t="s">
        <v>1</v>
      </c>
    </row>
    <row r="10" spans="1:11" x14ac:dyDescent="0.35">
      <c r="A10" s="2" t="s">
        <v>20</v>
      </c>
      <c r="B10" s="2">
        <v>389</v>
      </c>
      <c r="C10" s="2">
        <v>315</v>
      </c>
      <c r="D10" s="2">
        <v>0.55255681818181823</v>
      </c>
      <c r="E10" s="2">
        <v>2.9486412910011898E-3</v>
      </c>
      <c r="F10" s="2">
        <v>0.99766543951883324</v>
      </c>
      <c r="G10" s="2">
        <v>5.8972825820023797E-3</v>
      </c>
      <c r="H10" s="2">
        <v>2.6437170183449821E-3</v>
      </c>
      <c r="I10" s="2">
        <v>0.99735628298165502</v>
      </c>
      <c r="J10" s="2">
        <v>5.2874340366899641E-3</v>
      </c>
      <c r="K10" s="2" t="s">
        <v>1</v>
      </c>
    </row>
    <row r="11" spans="1:11" x14ac:dyDescent="0.35">
      <c r="A11" s="2" t="s">
        <v>21</v>
      </c>
      <c r="B11" s="2">
        <v>467</v>
      </c>
      <c r="C11" s="2">
        <v>237</v>
      </c>
      <c r="D11" s="2">
        <v>0.66335227272727271</v>
      </c>
      <c r="E11" s="2">
        <v>1.5346390564693779E-18</v>
      </c>
      <c r="F11" s="2">
        <v>1</v>
      </c>
      <c r="G11" s="2">
        <v>3.0692781129387559E-18</v>
      </c>
      <c r="H11" s="2">
        <v>0</v>
      </c>
      <c r="I11" s="2">
        <v>1</v>
      </c>
      <c r="J11" s="2">
        <v>0</v>
      </c>
      <c r="K11" s="2" t="s">
        <v>1</v>
      </c>
    </row>
    <row r="12" spans="1:11" x14ac:dyDescent="0.35">
      <c r="A12" s="2" t="s">
        <v>22</v>
      </c>
      <c r="B12" s="2">
        <v>478</v>
      </c>
      <c r="C12" s="2">
        <v>226</v>
      </c>
      <c r="D12" s="2">
        <v>0.67897727272727271</v>
      </c>
      <c r="E12" s="2">
        <v>5.6723166494676379E-22</v>
      </c>
      <c r="F12" s="2">
        <v>1</v>
      </c>
      <c r="G12" s="2">
        <v>1.134463329893528E-21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23</v>
      </c>
      <c r="B13" s="2">
        <v>418</v>
      </c>
      <c r="C13" s="2">
        <v>286</v>
      </c>
      <c r="D13" s="2">
        <v>0.59375</v>
      </c>
      <c r="E13" s="2">
        <v>3.6900608683083041E-7</v>
      </c>
      <c r="F13" s="2">
        <v>0.99999975106193439</v>
      </c>
      <c r="G13" s="2">
        <v>7.3801217366166082E-7</v>
      </c>
      <c r="H13" s="2">
        <v>3.263440049305899E-7</v>
      </c>
      <c r="I13" s="2">
        <v>0.99999967365599507</v>
      </c>
      <c r="J13" s="2">
        <v>6.5268800986117981E-7</v>
      </c>
      <c r="K13" s="2" t="s">
        <v>1</v>
      </c>
    </row>
    <row r="14" spans="1:11" x14ac:dyDescent="0.35">
      <c r="A14" s="2" t="s">
        <v>24</v>
      </c>
      <c r="B14" s="2">
        <v>461</v>
      </c>
      <c r="C14" s="2">
        <v>243</v>
      </c>
      <c r="D14" s="2">
        <v>0.65482954545454541</v>
      </c>
      <c r="E14" s="2">
        <v>8.2873783617900435E-17</v>
      </c>
      <c r="F14" s="2">
        <v>1</v>
      </c>
      <c r="G14" s="2">
        <v>1.6574756723580089E-16</v>
      </c>
      <c r="H14" s="2">
        <v>1.110223024625157E-16</v>
      </c>
      <c r="I14" s="2">
        <v>0.99999999999999989</v>
      </c>
      <c r="J14" s="2">
        <v>2.2204460492503131E-16</v>
      </c>
      <c r="K14" s="2" t="s">
        <v>1</v>
      </c>
    </row>
    <row r="15" spans="1:11" x14ac:dyDescent="0.35">
      <c r="A15" s="2" t="s">
        <v>25</v>
      </c>
      <c r="B15" s="2">
        <v>56</v>
      </c>
      <c r="C15" s="2">
        <v>55</v>
      </c>
      <c r="D15" s="2">
        <v>0.50450450450450446</v>
      </c>
      <c r="E15" s="2">
        <v>0.57522490634277323</v>
      </c>
      <c r="F15" s="2">
        <v>0.50000000000000067</v>
      </c>
      <c r="G15" s="2">
        <v>1</v>
      </c>
      <c r="H15" s="2">
        <v>0.46219085346560568</v>
      </c>
      <c r="I15" s="2">
        <v>0.53780914653439427</v>
      </c>
      <c r="J15" s="2">
        <v>0.92438170693121147</v>
      </c>
      <c r="K15" s="2" t="s">
        <v>12</v>
      </c>
    </row>
    <row r="16" spans="1:11" x14ac:dyDescent="0.35">
      <c r="A16" s="2" t="s">
        <v>26</v>
      </c>
      <c r="B16" s="2">
        <v>328</v>
      </c>
      <c r="C16" s="2">
        <v>376</v>
      </c>
      <c r="D16" s="2">
        <v>0.46590909090909088</v>
      </c>
      <c r="E16" s="2">
        <v>0.9676470434726987</v>
      </c>
      <c r="F16" s="2">
        <v>3.8211572417738697E-2</v>
      </c>
      <c r="G16" s="2">
        <v>7.6423144835477408E-2</v>
      </c>
      <c r="H16" s="2">
        <v>0.96477978536395614</v>
      </c>
      <c r="I16" s="2">
        <v>3.5220214636043863E-2</v>
      </c>
      <c r="J16" s="2">
        <v>7.0440429272087712E-2</v>
      </c>
      <c r="K16" s="2" t="s">
        <v>2</v>
      </c>
    </row>
    <row r="17" spans="1:11" x14ac:dyDescent="0.35">
      <c r="A17" s="2" t="s">
        <v>27</v>
      </c>
      <c r="B17" s="2">
        <v>445</v>
      </c>
      <c r="C17" s="2">
        <v>259</v>
      </c>
      <c r="D17" s="2">
        <v>0.63210227272727271</v>
      </c>
      <c r="E17" s="2">
        <v>1.168289654423001E-12</v>
      </c>
      <c r="F17" s="2">
        <v>0.99999999999932698</v>
      </c>
      <c r="G17" s="2">
        <v>2.3365793088460009E-12</v>
      </c>
      <c r="H17" s="2">
        <v>1.190381127003093E-12</v>
      </c>
      <c r="I17" s="2">
        <v>0.99999999999880962</v>
      </c>
      <c r="J17" s="2">
        <v>2.3807622540061861E-12</v>
      </c>
      <c r="K17" s="2" t="s">
        <v>1</v>
      </c>
    </row>
    <row r="18" spans="1:11" x14ac:dyDescent="0.35">
      <c r="A18" s="2" t="s">
        <v>28</v>
      </c>
      <c r="B18" s="2">
        <v>445</v>
      </c>
      <c r="C18" s="2">
        <v>259</v>
      </c>
      <c r="D18" s="2">
        <v>0.63210227272727271</v>
      </c>
      <c r="E18" s="2">
        <v>1.168289654423001E-12</v>
      </c>
      <c r="F18" s="2">
        <v>0.99999999999932698</v>
      </c>
      <c r="G18" s="2">
        <v>2.3365793088460009E-12</v>
      </c>
      <c r="H18" s="2">
        <v>1.190381127003093E-12</v>
      </c>
      <c r="I18" s="2">
        <v>0.99999999999880962</v>
      </c>
      <c r="J18" s="2">
        <v>2.3807622540061861E-12</v>
      </c>
      <c r="K18" s="2" t="s">
        <v>1</v>
      </c>
    </row>
    <row r="19" spans="1:11" x14ac:dyDescent="0.35">
      <c r="A19" s="2" t="s">
        <v>29</v>
      </c>
      <c r="B19" s="2">
        <v>390</v>
      </c>
      <c r="C19" s="2">
        <v>314</v>
      </c>
      <c r="D19" s="2">
        <v>0.55397727272727271</v>
      </c>
      <c r="E19" s="2">
        <v>2.334560481166707E-3</v>
      </c>
      <c r="F19" s="2">
        <v>0.99816142786523809</v>
      </c>
      <c r="G19" s="2">
        <v>4.669120962333414E-3</v>
      </c>
      <c r="H19" s="2">
        <v>2.0892787840832709E-3</v>
      </c>
      <c r="I19" s="2">
        <v>0.99791072121591673</v>
      </c>
      <c r="J19" s="2">
        <v>4.178557568166541E-3</v>
      </c>
      <c r="K19" s="2" t="s">
        <v>1</v>
      </c>
    </row>
    <row r="20" spans="1:11" x14ac:dyDescent="0.35">
      <c r="A20" s="2" t="s">
        <v>30</v>
      </c>
      <c r="B20" s="2">
        <v>304</v>
      </c>
      <c r="C20" s="2">
        <v>400</v>
      </c>
      <c r="D20" s="2">
        <v>0.43181818181818182</v>
      </c>
      <c r="E20" s="2">
        <v>0.99987448795888501</v>
      </c>
      <c r="F20" s="2">
        <v>1.682231284959967E-4</v>
      </c>
      <c r="G20" s="2">
        <v>3.3644625699199351E-4</v>
      </c>
      <c r="H20" s="2">
        <v>0.99985163384435338</v>
      </c>
      <c r="I20" s="2">
        <v>1.4836615564657029E-4</v>
      </c>
      <c r="J20" s="2">
        <v>2.9673231129323518E-4</v>
      </c>
      <c r="K20" s="2" t="s">
        <v>2</v>
      </c>
    </row>
    <row r="21" spans="1:11" x14ac:dyDescent="0.35">
      <c r="A21" s="2" t="s">
        <v>31</v>
      </c>
      <c r="B21" s="2">
        <v>293</v>
      </c>
      <c r="C21" s="2">
        <v>411</v>
      </c>
      <c r="D21" s="2">
        <v>0.41619318181818182</v>
      </c>
      <c r="E21" s="2">
        <v>0.99999652535152628</v>
      </c>
      <c r="F21" s="2">
        <v>4.9504061134201882E-6</v>
      </c>
      <c r="G21" s="2">
        <v>9.9008122268403763E-6</v>
      </c>
      <c r="H21" s="2">
        <v>0.999995652027029</v>
      </c>
      <c r="I21" s="2">
        <v>4.3479729710524754E-6</v>
      </c>
      <c r="J21" s="2">
        <v>8.6959459419944096E-6</v>
      </c>
      <c r="K21" s="2" t="s">
        <v>2</v>
      </c>
    </row>
    <row r="22" spans="1:11" x14ac:dyDescent="0.35">
      <c r="A22" s="2" t="s">
        <v>32</v>
      </c>
      <c r="B22" s="2">
        <v>407</v>
      </c>
      <c r="C22" s="2">
        <v>297</v>
      </c>
      <c r="D22" s="2">
        <v>0.578125</v>
      </c>
      <c r="E22" s="2">
        <v>1.9285241824994172E-5</v>
      </c>
      <c r="F22" s="2">
        <v>0.99998615736150531</v>
      </c>
      <c r="G22" s="2">
        <v>3.8570483649988343E-5</v>
      </c>
      <c r="H22" s="2">
        <v>1.6932870656627411E-5</v>
      </c>
      <c r="I22" s="2">
        <v>0.99998306712934337</v>
      </c>
      <c r="J22" s="2">
        <v>3.3865741313254823E-5</v>
      </c>
      <c r="K22" s="2" t="s">
        <v>1</v>
      </c>
    </row>
    <row r="23" spans="1:11" x14ac:dyDescent="0.35">
      <c r="A23" s="2" t="s">
        <v>33</v>
      </c>
      <c r="B23" s="2">
        <v>425</v>
      </c>
      <c r="C23" s="2">
        <v>279</v>
      </c>
      <c r="D23" s="2">
        <v>0.60369318181818177</v>
      </c>
      <c r="E23" s="2">
        <v>3.1923094571434119E-8</v>
      </c>
      <c r="F23" s="2">
        <v>0.99999997919254269</v>
      </c>
      <c r="G23" s="2">
        <v>6.3846189142868239E-8</v>
      </c>
      <c r="H23" s="2">
        <v>1.87134486795415E-8</v>
      </c>
      <c r="I23" s="2">
        <v>0.99999998128655132</v>
      </c>
      <c r="J23" s="2">
        <v>3.7426897359083E-8</v>
      </c>
      <c r="K23" s="2" t="s">
        <v>1</v>
      </c>
    </row>
    <row r="24" spans="1:11" x14ac:dyDescent="0.35">
      <c r="A24" s="2" t="s">
        <v>34</v>
      </c>
      <c r="B24" s="2">
        <v>409</v>
      </c>
      <c r="C24" s="2">
        <v>295</v>
      </c>
      <c r="D24" s="2">
        <v>0.58096590909090906</v>
      </c>
      <c r="E24" s="2">
        <v>9.8807434232840573E-6</v>
      </c>
      <c r="F24" s="2">
        <v>0.99999298654494129</v>
      </c>
      <c r="G24" s="2">
        <v>1.9761486846568111E-5</v>
      </c>
      <c r="H24" s="2">
        <v>8.6743644028830502E-6</v>
      </c>
      <c r="I24" s="2">
        <v>0.99999132563559712</v>
      </c>
      <c r="J24" s="2">
        <v>1.73487288057661E-5</v>
      </c>
      <c r="K24" s="2" t="s">
        <v>1</v>
      </c>
    </row>
    <row r="25" spans="1:11" x14ac:dyDescent="0.35">
      <c r="A25" s="2" t="s">
        <v>35</v>
      </c>
      <c r="B25" s="2">
        <v>310</v>
      </c>
      <c r="C25" s="2">
        <v>394</v>
      </c>
      <c r="D25" s="2">
        <v>0.44034090909090912</v>
      </c>
      <c r="E25" s="2">
        <v>0.99932957240549158</v>
      </c>
      <c r="F25" s="2">
        <v>8.6972830393244492E-4</v>
      </c>
      <c r="G25" s="2">
        <v>1.7394566078648901E-3</v>
      </c>
      <c r="H25" s="2">
        <v>0.99922689826145961</v>
      </c>
      <c r="I25" s="2">
        <v>7.7310173854037219E-4</v>
      </c>
      <c r="J25" s="2">
        <v>1.546203477080788E-3</v>
      </c>
      <c r="K25" s="2" t="s">
        <v>2</v>
      </c>
    </row>
    <row r="26" spans="1:11" x14ac:dyDescent="0.35">
      <c r="A26" s="2" t="s">
        <v>36</v>
      </c>
      <c r="B26" s="2">
        <v>404</v>
      </c>
      <c r="C26" s="2">
        <v>300</v>
      </c>
      <c r="D26" s="2">
        <v>0.57386363636363635</v>
      </c>
      <c r="E26" s="2">
        <v>5.0438205584933382E-5</v>
      </c>
      <c r="F26" s="2">
        <v>0.99996318795309103</v>
      </c>
      <c r="G26" s="2">
        <v>1.008764111698668E-4</v>
      </c>
      <c r="H26" s="2">
        <v>4.4339291497941247E-5</v>
      </c>
      <c r="I26" s="2">
        <v>0.99995566070850206</v>
      </c>
      <c r="J26" s="2">
        <v>8.8678582995882493E-5</v>
      </c>
      <c r="K26" s="2" t="s">
        <v>1</v>
      </c>
    </row>
    <row r="27" spans="1:11" x14ac:dyDescent="0.35">
      <c r="A27" s="2" t="s">
        <v>37</v>
      </c>
      <c r="B27" s="2">
        <v>443</v>
      </c>
      <c r="C27" s="2">
        <v>261</v>
      </c>
      <c r="D27" s="2">
        <v>0.62926136363636365</v>
      </c>
      <c r="E27" s="2">
        <v>3.458226107812958E-12</v>
      </c>
      <c r="F27" s="2">
        <v>0.99999999999798395</v>
      </c>
      <c r="G27" s="2">
        <v>6.9164522156259161E-12</v>
      </c>
      <c r="H27" s="2">
        <v>3.457900632497513E-12</v>
      </c>
      <c r="I27" s="2">
        <v>0.9999999999965421</v>
      </c>
      <c r="J27" s="2">
        <v>6.9158012649950251E-12</v>
      </c>
      <c r="K27" s="2" t="s">
        <v>1</v>
      </c>
    </row>
    <row r="28" spans="1:11" x14ac:dyDescent="0.35">
      <c r="A28" s="2" t="s">
        <v>38</v>
      </c>
      <c r="B28" s="2">
        <v>398</v>
      </c>
      <c r="C28" s="2">
        <v>306</v>
      </c>
      <c r="D28" s="2">
        <v>0.56534090909090906</v>
      </c>
      <c r="E28" s="2">
        <v>2.9727623726529142E-4</v>
      </c>
      <c r="F28" s="2">
        <v>0.99977576233067644</v>
      </c>
      <c r="G28" s="2">
        <v>5.9455247453058272E-4</v>
      </c>
      <c r="H28" s="2">
        <v>2.6277871913638062E-4</v>
      </c>
      <c r="I28" s="2">
        <v>0.99973722128086362</v>
      </c>
      <c r="J28" s="2">
        <v>5.2555743827276125E-4</v>
      </c>
      <c r="K28" s="2" t="s">
        <v>1</v>
      </c>
    </row>
    <row r="29" spans="1:11" x14ac:dyDescent="0.35">
      <c r="A29" s="2" t="s">
        <v>39</v>
      </c>
      <c r="B29" s="2">
        <v>433</v>
      </c>
      <c r="C29" s="2">
        <v>271</v>
      </c>
      <c r="D29" s="2">
        <v>0.61505681818181823</v>
      </c>
      <c r="E29" s="2">
        <v>5.5012734621003682E-10</v>
      </c>
      <c r="F29" s="2">
        <v>0.99999999965971842</v>
      </c>
      <c r="G29" s="2">
        <v>1.1002546924200741E-9</v>
      </c>
      <c r="H29" s="2">
        <v>5.1206083817589843E-10</v>
      </c>
      <c r="I29" s="2">
        <v>0.99999999948793916</v>
      </c>
      <c r="J29" s="2">
        <v>1.0241216763517971E-9</v>
      </c>
      <c r="K29" s="2" t="s">
        <v>1</v>
      </c>
    </row>
    <row r="30" spans="1:11" x14ac:dyDescent="0.35">
      <c r="A30" s="2" t="s">
        <v>40</v>
      </c>
      <c r="B30" s="2">
        <v>424</v>
      </c>
      <c r="C30" s="2">
        <v>280</v>
      </c>
      <c r="D30" s="2">
        <v>0.60227272727272729</v>
      </c>
      <c r="E30" s="2">
        <v>3.1923094571434119E-8</v>
      </c>
      <c r="F30" s="2">
        <v>0.99999997919254269</v>
      </c>
      <c r="G30" s="2">
        <v>6.3846189142868239E-8</v>
      </c>
      <c r="H30" s="2">
        <v>2.8621812142581859E-8</v>
      </c>
      <c r="I30" s="2">
        <v>0.99999997137818786</v>
      </c>
      <c r="J30" s="2">
        <v>5.7243624285163719E-8</v>
      </c>
      <c r="K30" s="2" t="s">
        <v>1</v>
      </c>
    </row>
    <row r="31" spans="1:11" x14ac:dyDescent="0.35">
      <c r="A31" s="2" t="s">
        <v>41</v>
      </c>
      <c r="B31" s="2">
        <v>359</v>
      </c>
      <c r="C31" s="2">
        <v>345</v>
      </c>
      <c r="D31" s="2">
        <v>0.50994318181818177</v>
      </c>
      <c r="E31" s="2">
        <v>0.33924030681285811</v>
      </c>
      <c r="F31" s="2">
        <v>0.68790182259992472</v>
      </c>
      <c r="G31" s="2">
        <v>0.6784806136257161</v>
      </c>
      <c r="H31" s="2">
        <v>0.29887292785152092</v>
      </c>
      <c r="I31" s="2">
        <v>0.70112707214847914</v>
      </c>
      <c r="J31" s="2">
        <v>0.59774585570304173</v>
      </c>
      <c r="K31" s="2" t="s">
        <v>12</v>
      </c>
    </row>
    <row r="32" spans="1:11" x14ac:dyDescent="0.35">
      <c r="A32" s="2" t="s">
        <v>42</v>
      </c>
      <c r="B32" s="2">
        <v>354</v>
      </c>
      <c r="C32" s="2">
        <v>350</v>
      </c>
      <c r="D32" s="2">
        <v>0.50284090909090906</v>
      </c>
      <c r="E32" s="2">
        <v>0.45499406440791129</v>
      </c>
      <c r="F32" s="2">
        <v>0.57472747643240507</v>
      </c>
      <c r="G32" s="2">
        <v>0.90998812881582258</v>
      </c>
      <c r="H32" s="2">
        <v>0.4400842274533634</v>
      </c>
      <c r="I32" s="2">
        <v>0.5599157725466366</v>
      </c>
      <c r="J32" s="2">
        <v>0.88016845490672679</v>
      </c>
      <c r="K32" s="2" t="s">
        <v>12</v>
      </c>
    </row>
    <row r="33" spans="1:11" x14ac:dyDescent="0.35">
      <c r="A33" s="2" t="s">
        <v>43</v>
      </c>
      <c r="B33" s="2">
        <v>387</v>
      </c>
      <c r="C33" s="2">
        <v>317</v>
      </c>
      <c r="D33" s="2">
        <v>0.54971590909090906</v>
      </c>
      <c r="E33" s="2">
        <v>4.6298355537997774E-3</v>
      </c>
      <c r="F33" s="2">
        <v>0.99629541745891781</v>
      </c>
      <c r="G33" s="2">
        <v>9.2596711075995548E-3</v>
      </c>
      <c r="H33" s="2">
        <v>4.1670722889086687E-3</v>
      </c>
      <c r="I33" s="2">
        <v>0.99583292771109133</v>
      </c>
      <c r="J33" s="2">
        <v>8.3341445778173373E-3</v>
      </c>
      <c r="K33" s="2" t="s">
        <v>1</v>
      </c>
    </row>
    <row r="34" spans="1:11" x14ac:dyDescent="0.35">
      <c r="A34" s="2" t="s">
        <v>44</v>
      </c>
      <c r="B34" s="2">
        <v>285</v>
      </c>
      <c r="C34" s="2">
        <v>419</v>
      </c>
      <c r="D34" s="2">
        <v>0.40482954545454553</v>
      </c>
      <c r="E34" s="2">
        <v>0.99999983301767192</v>
      </c>
      <c r="F34" s="2">
        <v>2.4893806564397472E-7</v>
      </c>
      <c r="G34" s="2">
        <v>4.9787613128794933E-7</v>
      </c>
      <c r="H34" s="2">
        <v>0.99999977945897289</v>
      </c>
      <c r="I34" s="2">
        <v>2.2054102707509811E-7</v>
      </c>
      <c r="J34" s="2">
        <v>4.4108205421444779E-7</v>
      </c>
      <c r="K34" s="2" t="s">
        <v>2</v>
      </c>
    </row>
    <row r="35" spans="1:11" x14ac:dyDescent="0.35">
      <c r="A35" s="2" t="s">
        <v>45</v>
      </c>
      <c r="B35" s="2">
        <v>340</v>
      </c>
      <c r="C35" s="2">
        <v>364</v>
      </c>
      <c r="D35" s="2">
        <v>0.48295454545454553</v>
      </c>
      <c r="E35" s="2">
        <v>0.82695748928708979</v>
      </c>
      <c r="F35" s="2">
        <v>0.19302048399242741</v>
      </c>
      <c r="G35" s="2">
        <v>0.38604096798485482</v>
      </c>
      <c r="H35" s="2">
        <v>0.8171438518592431</v>
      </c>
      <c r="I35" s="2">
        <v>0.18285614814075679</v>
      </c>
      <c r="J35" s="2">
        <v>0.3657122962815138</v>
      </c>
      <c r="K35" s="2" t="s">
        <v>12</v>
      </c>
    </row>
    <row r="36" spans="1:11" x14ac:dyDescent="0.35">
      <c r="A36" s="2" t="s">
        <v>46</v>
      </c>
      <c r="B36" s="2">
        <v>256</v>
      </c>
      <c r="C36" s="2">
        <v>448</v>
      </c>
      <c r="D36" s="2">
        <v>0.36363636363636359</v>
      </c>
      <c r="E36" s="2">
        <v>0.99999999999987599</v>
      </c>
      <c r="F36" s="2">
        <v>2.1930268365218381E-13</v>
      </c>
      <c r="G36" s="2">
        <v>4.3860536730436762E-13</v>
      </c>
      <c r="H36" s="2">
        <v>0.99999999999976941</v>
      </c>
      <c r="I36" s="2">
        <v>2.3059251462612622E-13</v>
      </c>
      <c r="J36" s="2">
        <v>4.6118664442929003E-13</v>
      </c>
      <c r="K36" s="2" t="s">
        <v>2</v>
      </c>
    </row>
    <row r="37" spans="1:11" x14ac:dyDescent="0.35">
      <c r="A37" s="2" t="s">
        <v>47</v>
      </c>
      <c r="B37" s="2">
        <v>357</v>
      </c>
      <c r="C37" s="2">
        <v>347</v>
      </c>
      <c r="D37" s="2">
        <v>0.50710227272727271</v>
      </c>
      <c r="E37" s="2">
        <v>0.36724284954996672</v>
      </c>
      <c r="F37" s="2">
        <v>0.66075969318714201</v>
      </c>
      <c r="G37" s="2">
        <v>0.73448569909993344</v>
      </c>
      <c r="H37" s="2">
        <v>0.35312798105242671</v>
      </c>
      <c r="I37" s="2">
        <v>0.64687201894757329</v>
      </c>
      <c r="J37" s="2">
        <v>0.70625596210485342</v>
      </c>
      <c r="K37" s="2" t="s">
        <v>12</v>
      </c>
    </row>
    <row r="38" spans="1:11" x14ac:dyDescent="0.35">
      <c r="A38" s="2" t="s">
        <v>48</v>
      </c>
      <c r="B38" s="2">
        <v>374</v>
      </c>
      <c r="C38" s="2">
        <v>330</v>
      </c>
      <c r="D38" s="2">
        <v>0.53125</v>
      </c>
      <c r="E38" s="2">
        <v>5.2515725500884958E-2</v>
      </c>
      <c r="F38" s="2">
        <v>0.955092866564618</v>
      </c>
      <c r="G38" s="2">
        <v>0.1050314510017699</v>
      </c>
      <c r="H38" s="2">
        <v>4.8627214219501669E-2</v>
      </c>
      <c r="I38" s="2">
        <v>0.95137278578049833</v>
      </c>
      <c r="J38" s="2">
        <v>9.7254428439003338E-2</v>
      </c>
      <c r="K38" s="2" t="s">
        <v>12</v>
      </c>
    </row>
    <row r="39" spans="1:11" x14ac:dyDescent="0.35">
      <c r="A39" s="2" t="s">
        <v>49</v>
      </c>
      <c r="B39" s="2">
        <v>418</v>
      </c>
      <c r="C39" s="2">
        <v>286</v>
      </c>
      <c r="D39" s="2">
        <v>0.59375</v>
      </c>
      <c r="E39" s="2">
        <v>3.6900608683083041E-7</v>
      </c>
      <c r="F39" s="2">
        <v>0.99999975106193439</v>
      </c>
      <c r="G39" s="2">
        <v>7.3801217366166082E-7</v>
      </c>
      <c r="H39" s="2">
        <v>3.263440049305899E-7</v>
      </c>
      <c r="I39" s="2">
        <v>0.99999967365599507</v>
      </c>
      <c r="J39" s="2">
        <v>6.5268800986117981E-7</v>
      </c>
      <c r="K39" s="2" t="s">
        <v>1</v>
      </c>
    </row>
    <row r="40" spans="1:11" x14ac:dyDescent="0.35">
      <c r="A40" s="2" t="s">
        <v>50</v>
      </c>
      <c r="B40" s="2">
        <v>357</v>
      </c>
      <c r="C40" s="2">
        <v>347</v>
      </c>
      <c r="D40" s="2">
        <v>0.50710227272727271</v>
      </c>
      <c r="E40" s="2">
        <v>0.36724284954996672</v>
      </c>
      <c r="F40" s="2">
        <v>0.66075969318714201</v>
      </c>
      <c r="G40" s="2">
        <v>0.73448569909993344</v>
      </c>
      <c r="H40" s="2">
        <v>0.35312798105242671</v>
      </c>
      <c r="I40" s="2">
        <v>0.64687201894757329</v>
      </c>
      <c r="J40" s="2">
        <v>0.70625596210485342</v>
      </c>
      <c r="K40" s="2" t="s">
        <v>12</v>
      </c>
    </row>
    <row r="41" spans="1:11" x14ac:dyDescent="0.35">
      <c r="A41" s="2" t="s">
        <v>51</v>
      </c>
      <c r="B41" s="2">
        <v>424</v>
      </c>
      <c r="C41" s="2">
        <v>280</v>
      </c>
      <c r="D41" s="2">
        <v>0.60227272727272729</v>
      </c>
      <c r="E41" s="2">
        <v>3.1923094571434119E-8</v>
      </c>
      <c r="F41" s="2">
        <v>0.99999997919254269</v>
      </c>
      <c r="G41" s="2">
        <v>6.3846189142868239E-8</v>
      </c>
      <c r="H41" s="2">
        <v>2.8621812142581859E-8</v>
      </c>
      <c r="I41" s="2">
        <v>0.99999997137818786</v>
      </c>
      <c r="J41" s="2">
        <v>5.7243624285163719E-8</v>
      </c>
      <c r="K41" s="2" t="s">
        <v>1</v>
      </c>
    </row>
    <row r="42" spans="1:11" x14ac:dyDescent="0.35">
      <c r="A42" s="2" t="s">
        <v>52</v>
      </c>
      <c r="B42" s="2">
        <v>376</v>
      </c>
      <c r="C42" s="2">
        <v>328</v>
      </c>
      <c r="D42" s="2">
        <v>0.53409090909090906</v>
      </c>
      <c r="E42" s="2">
        <v>3.8211572417738697E-2</v>
      </c>
      <c r="F42" s="2">
        <v>0.9676470434726987</v>
      </c>
      <c r="G42" s="2">
        <v>7.6423144835477408E-2</v>
      </c>
      <c r="H42" s="2">
        <v>3.5220214636044078E-2</v>
      </c>
      <c r="I42" s="2">
        <v>0.96477978536395592</v>
      </c>
      <c r="J42" s="2">
        <v>7.0440429272088156E-2</v>
      </c>
      <c r="K42" s="2" t="s">
        <v>1</v>
      </c>
    </row>
    <row r="43" spans="1:11" x14ac:dyDescent="0.35">
      <c r="A43" s="2" t="s">
        <v>53</v>
      </c>
      <c r="B43" s="2">
        <v>416</v>
      </c>
      <c r="C43" s="2">
        <v>288</v>
      </c>
      <c r="D43" s="2">
        <v>0.59090909090909094</v>
      </c>
      <c r="E43" s="2">
        <v>7.9707961039300455E-7</v>
      </c>
      <c r="F43" s="2">
        <v>0.99999945612132479</v>
      </c>
      <c r="G43" s="2">
        <v>1.5941592207860091E-6</v>
      </c>
      <c r="H43" s="2">
        <v>7.028967590194668E-7</v>
      </c>
      <c r="I43" s="2">
        <v>0.99999929710324098</v>
      </c>
      <c r="J43" s="2">
        <v>1.405793518038934E-6</v>
      </c>
      <c r="K43" s="2" t="s">
        <v>1</v>
      </c>
    </row>
    <row r="44" spans="1:11" x14ac:dyDescent="0.35">
      <c r="A44" s="2" t="s">
        <v>54</v>
      </c>
      <c r="B44" s="2">
        <v>513</v>
      </c>
      <c r="C44" s="2">
        <v>191</v>
      </c>
      <c r="D44" s="2">
        <v>0.72869318181818177</v>
      </c>
      <c r="E44" s="2">
        <v>3.3733096401047361E-35</v>
      </c>
      <c r="F44" s="2">
        <v>1</v>
      </c>
      <c r="G44" s="2">
        <v>6.7466192802094721E-35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446</v>
      </c>
      <c r="C45" s="2">
        <v>258</v>
      </c>
      <c r="D45" s="2">
        <v>0.63352272727272729</v>
      </c>
      <c r="E45" s="2">
        <v>6.7296703835153783E-13</v>
      </c>
      <c r="F45" s="2">
        <v>0.99999999999961464</v>
      </c>
      <c r="G45" s="2">
        <v>1.3459340767030761E-12</v>
      </c>
      <c r="H45" s="2">
        <v>6.9266814506363517E-13</v>
      </c>
      <c r="I45" s="2">
        <v>0.99999999999930733</v>
      </c>
      <c r="J45" s="2">
        <v>1.3853362901272699E-12</v>
      </c>
      <c r="K45" s="2" t="s">
        <v>1</v>
      </c>
    </row>
    <row r="46" spans="1:11" x14ac:dyDescent="0.35">
      <c r="A46" s="2" t="s">
        <v>56</v>
      </c>
      <c r="B46" s="2">
        <v>251</v>
      </c>
      <c r="C46" s="2">
        <v>453</v>
      </c>
      <c r="D46" s="2">
        <v>0.35653409090909088</v>
      </c>
      <c r="E46" s="2">
        <v>0.99999999999999645</v>
      </c>
      <c r="F46" s="2">
        <v>6.5633437089035283E-15</v>
      </c>
      <c r="G46" s="2">
        <v>1.312668741780706E-14</v>
      </c>
      <c r="H46" s="2">
        <v>0.99999999999998668</v>
      </c>
      <c r="I46" s="2">
        <v>1.3373566472415501E-14</v>
      </c>
      <c r="J46" s="2">
        <v>2.664535259100376E-14</v>
      </c>
      <c r="K46" s="2" t="s">
        <v>2</v>
      </c>
    </row>
    <row r="47" spans="1:11" x14ac:dyDescent="0.35">
      <c r="A47" s="2" t="s">
        <v>57</v>
      </c>
      <c r="B47" s="2">
        <v>484</v>
      </c>
      <c r="C47" s="2">
        <v>220</v>
      </c>
      <c r="D47" s="2">
        <v>0.6875</v>
      </c>
      <c r="E47" s="2">
        <v>5.4870066049419023E-24</v>
      </c>
      <c r="F47" s="2">
        <v>1</v>
      </c>
      <c r="G47" s="2">
        <v>1.09740132098838E-23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466</v>
      </c>
      <c r="C48" s="2">
        <v>238</v>
      </c>
      <c r="D48" s="2">
        <v>0.66193181818181823</v>
      </c>
      <c r="E48" s="2">
        <v>3.0305948869746912E-18</v>
      </c>
      <c r="F48" s="2">
        <v>1</v>
      </c>
      <c r="G48" s="2">
        <v>6.0611897739493824E-18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372</v>
      </c>
      <c r="C49" s="2">
        <v>332</v>
      </c>
      <c r="D49" s="2">
        <v>0.52840909090909094</v>
      </c>
      <c r="E49" s="2">
        <v>7.0771444478710852E-2</v>
      </c>
      <c r="F49" s="2">
        <v>0.93888725506558557</v>
      </c>
      <c r="G49" s="2">
        <v>0.1415428889574217</v>
      </c>
      <c r="H49" s="2">
        <v>6.583400801140693E-2</v>
      </c>
      <c r="I49" s="2">
        <v>0.93416599198859307</v>
      </c>
      <c r="J49" s="2">
        <v>0.13166801602281389</v>
      </c>
      <c r="K49" s="2" t="s">
        <v>12</v>
      </c>
    </row>
    <row r="50" spans="1:11" x14ac:dyDescent="0.35">
      <c r="A50" s="2" t="s">
        <v>60</v>
      </c>
      <c r="B50" s="2">
        <v>423</v>
      </c>
      <c r="C50" s="2">
        <v>281</v>
      </c>
      <c r="D50" s="2">
        <v>0.60085227272727271</v>
      </c>
      <c r="E50" s="2">
        <v>4.8695444035950358E-8</v>
      </c>
      <c r="F50" s="2">
        <v>0.99999996807690539</v>
      </c>
      <c r="G50" s="2">
        <v>9.7390888071900728E-8</v>
      </c>
      <c r="H50" s="2">
        <v>4.3535463345456549E-8</v>
      </c>
      <c r="I50" s="2">
        <v>0.99999995646453665</v>
      </c>
      <c r="J50" s="2">
        <v>8.7070926690913097E-8</v>
      </c>
      <c r="K50" s="2" t="s">
        <v>1</v>
      </c>
    </row>
    <row r="51" spans="1:11" x14ac:dyDescent="0.35">
      <c r="A51" s="2" t="s">
        <v>61</v>
      </c>
      <c r="B51" s="2">
        <v>308</v>
      </c>
      <c r="C51" s="2">
        <v>396</v>
      </c>
      <c r="D51" s="2">
        <v>0.4375</v>
      </c>
      <c r="E51" s="2">
        <v>0.99960803532611964</v>
      </c>
      <c r="F51" s="2">
        <v>5.140143795173258E-4</v>
      </c>
      <c r="G51" s="2">
        <v>1.028028759034652E-3</v>
      </c>
      <c r="H51" s="2">
        <v>0.99954444056142311</v>
      </c>
      <c r="I51" s="2">
        <v>4.5555943857685638E-4</v>
      </c>
      <c r="J51" s="2">
        <v>9.1111887715378259E-4</v>
      </c>
      <c r="K51" s="2" t="s">
        <v>2</v>
      </c>
    </row>
    <row r="52" spans="1:11" x14ac:dyDescent="0.35">
      <c r="A52" s="2" t="s">
        <v>62</v>
      </c>
      <c r="B52" s="2">
        <v>555</v>
      </c>
      <c r="C52" s="2">
        <v>149</v>
      </c>
      <c r="D52" s="2">
        <v>0.78835227272727271</v>
      </c>
      <c r="E52" s="2">
        <v>3.7963523261952142E-56</v>
      </c>
      <c r="F52" s="2">
        <v>1</v>
      </c>
      <c r="G52" s="2">
        <v>7.5927046523904283E-56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604</v>
      </c>
      <c r="C53" s="2">
        <v>100</v>
      </c>
      <c r="D53" s="2">
        <v>0.85795454545454541</v>
      </c>
      <c r="E53" s="2">
        <v>5.3926073520730547E-89</v>
      </c>
      <c r="F53" s="2">
        <v>1</v>
      </c>
      <c r="G53" s="2">
        <v>1.0785214704146109E-88</v>
      </c>
      <c r="H53" s="2">
        <v>0</v>
      </c>
      <c r="I53" s="2">
        <v>1</v>
      </c>
      <c r="J53" s="2">
        <v>0</v>
      </c>
      <c r="K53" s="2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360</v>
      </c>
      <c r="C2" s="2">
        <v>344</v>
      </c>
      <c r="D2" s="2">
        <v>0.51136363636363635</v>
      </c>
      <c r="E2" s="2">
        <v>0.28593891061226778</v>
      </c>
      <c r="F2" s="2">
        <v>0.73913038672604903</v>
      </c>
      <c r="G2" s="2">
        <v>0.57187782122453568</v>
      </c>
      <c r="H2" s="2">
        <v>0.27324679770329119</v>
      </c>
      <c r="I2" s="2">
        <v>0.72675320229670881</v>
      </c>
      <c r="J2" s="2">
        <v>0.54649359540658238</v>
      </c>
      <c r="K2" s="2" t="s">
        <v>12</v>
      </c>
    </row>
    <row r="3" spans="1:11" x14ac:dyDescent="0.35">
      <c r="A3" s="2" t="s">
        <v>13</v>
      </c>
      <c r="B3" s="2">
        <v>338</v>
      </c>
      <c r="C3" s="2">
        <v>366</v>
      </c>
      <c r="D3" s="2">
        <v>0.48011363636363641</v>
      </c>
      <c r="E3" s="2">
        <v>0.86280388643582817</v>
      </c>
      <c r="F3" s="2">
        <v>0.15443289176760841</v>
      </c>
      <c r="G3" s="2">
        <v>0.30886578353521688</v>
      </c>
      <c r="H3" s="2">
        <v>0.85435357619109364</v>
      </c>
      <c r="I3" s="2">
        <v>0.1456464238089063</v>
      </c>
      <c r="J3" s="2">
        <v>0.29129284761781271</v>
      </c>
      <c r="K3" s="2" t="s">
        <v>12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316</v>
      </c>
      <c r="C5" s="2">
        <v>388</v>
      </c>
      <c r="D5" s="2">
        <v>0.44886363636363641</v>
      </c>
      <c r="E5" s="2">
        <v>0.99705135870899886</v>
      </c>
      <c r="F5" s="2">
        <v>3.7045825410822238E-3</v>
      </c>
      <c r="G5" s="2">
        <v>7.4091650821644477E-3</v>
      </c>
      <c r="H5" s="2">
        <v>0.99667219725852529</v>
      </c>
      <c r="I5" s="2">
        <v>3.3278027414746841E-3</v>
      </c>
      <c r="J5" s="2">
        <v>6.6556054829494116E-3</v>
      </c>
      <c r="K5" s="2" t="s">
        <v>2</v>
      </c>
    </row>
    <row r="6" spans="1:11" x14ac:dyDescent="0.35">
      <c r="A6" s="2" t="s">
        <v>16</v>
      </c>
      <c r="B6" s="2">
        <v>437</v>
      </c>
      <c r="C6" s="2">
        <v>267</v>
      </c>
      <c r="D6" s="2">
        <v>0.62073863636363635</v>
      </c>
      <c r="E6" s="2">
        <v>7.773941077768152E-11</v>
      </c>
      <c r="F6" s="2">
        <v>0.99999999995303379</v>
      </c>
      <c r="G6" s="2">
        <v>1.5547882155536299E-10</v>
      </c>
      <c r="H6" s="2">
        <v>7.414890923485018E-11</v>
      </c>
      <c r="I6" s="2">
        <v>0.99999999992585109</v>
      </c>
      <c r="J6" s="2">
        <v>1.4829781846970041E-10</v>
      </c>
      <c r="K6" s="2" t="s">
        <v>1</v>
      </c>
    </row>
    <row r="7" spans="1:11" x14ac:dyDescent="0.35">
      <c r="A7" s="2" t="s">
        <v>17</v>
      </c>
      <c r="B7" s="2">
        <v>459</v>
      </c>
      <c r="C7" s="2">
        <v>245</v>
      </c>
      <c r="D7" s="2">
        <v>0.65198863636363635</v>
      </c>
      <c r="E7" s="2">
        <v>2.9804535640973499E-16</v>
      </c>
      <c r="F7" s="2">
        <v>0.99999999999999989</v>
      </c>
      <c r="G7" s="2">
        <v>5.9609071281946999E-16</v>
      </c>
      <c r="H7" s="2">
        <v>3.3306690738754701E-16</v>
      </c>
      <c r="I7" s="2">
        <v>0.99999999999999967</v>
      </c>
      <c r="J7" s="2">
        <v>6.6613381477509392E-16</v>
      </c>
      <c r="K7" s="2" t="s">
        <v>1</v>
      </c>
    </row>
    <row r="8" spans="1:11" x14ac:dyDescent="0.35">
      <c r="A8" s="2" t="s">
        <v>18</v>
      </c>
      <c r="B8" s="2">
        <v>464</v>
      </c>
      <c r="C8" s="2">
        <v>240</v>
      </c>
      <c r="D8" s="2">
        <v>0.65909090909090906</v>
      </c>
      <c r="E8" s="2">
        <v>1.1598697554267099E-17</v>
      </c>
      <c r="F8" s="2">
        <v>1</v>
      </c>
      <c r="G8" s="2">
        <v>2.3197395108534199E-17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19</v>
      </c>
      <c r="B9" s="2">
        <v>522</v>
      </c>
      <c r="C9" s="2">
        <v>182</v>
      </c>
      <c r="D9" s="2">
        <v>0.74147727272727271</v>
      </c>
      <c r="E9" s="2">
        <v>3.3845026632262342E-39</v>
      </c>
      <c r="F9" s="2">
        <v>1</v>
      </c>
      <c r="G9" s="2">
        <v>6.769005326452467E-39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20</v>
      </c>
      <c r="B10" s="2">
        <v>338</v>
      </c>
      <c r="C10" s="2">
        <v>366</v>
      </c>
      <c r="D10" s="2">
        <v>0.48011363636363641</v>
      </c>
      <c r="E10" s="2">
        <v>0.86280388643582817</v>
      </c>
      <c r="F10" s="2">
        <v>0.15443289176760841</v>
      </c>
      <c r="G10" s="2">
        <v>0.30886578353521688</v>
      </c>
      <c r="H10" s="2">
        <v>0.85435357619109364</v>
      </c>
      <c r="I10" s="2">
        <v>0.1456464238089063</v>
      </c>
      <c r="J10" s="2">
        <v>0.29129284761781271</v>
      </c>
      <c r="K10" s="2" t="s">
        <v>12</v>
      </c>
    </row>
    <row r="11" spans="1:11" x14ac:dyDescent="0.35">
      <c r="A11" s="2" t="s">
        <v>21</v>
      </c>
      <c r="B11" s="2">
        <v>470</v>
      </c>
      <c r="C11" s="2">
        <v>234</v>
      </c>
      <c r="D11" s="2">
        <v>0.66761363636363635</v>
      </c>
      <c r="E11" s="2">
        <v>1.918859589311014E-19</v>
      </c>
      <c r="F11" s="2">
        <v>1</v>
      </c>
      <c r="G11" s="2">
        <v>3.837719178622028E-19</v>
      </c>
      <c r="H11" s="2">
        <v>0</v>
      </c>
      <c r="I11" s="2">
        <v>1</v>
      </c>
      <c r="J11" s="2">
        <v>0</v>
      </c>
      <c r="K11" s="2" t="s">
        <v>1</v>
      </c>
    </row>
    <row r="12" spans="1:11" x14ac:dyDescent="0.35">
      <c r="A12" s="2" t="s">
        <v>22</v>
      </c>
      <c r="B12" s="2">
        <v>455</v>
      </c>
      <c r="C12" s="2">
        <v>249</v>
      </c>
      <c r="D12" s="2">
        <v>0.64630681818181823</v>
      </c>
      <c r="E12" s="2">
        <v>3.5800149477577373E-15</v>
      </c>
      <c r="F12" s="2">
        <v>0.99999999999999811</v>
      </c>
      <c r="G12" s="2">
        <v>7.160029895515473E-15</v>
      </c>
      <c r="H12" s="2">
        <v>4.1078251911130792E-15</v>
      </c>
      <c r="I12" s="2">
        <v>0.99999999999999589</v>
      </c>
      <c r="J12" s="2">
        <v>8.2156503822261584E-15</v>
      </c>
      <c r="K12" s="2" t="s">
        <v>1</v>
      </c>
    </row>
    <row r="13" spans="1:11" x14ac:dyDescent="0.35">
      <c r="A13" s="2" t="s">
        <v>23</v>
      </c>
      <c r="B13" s="2">
        <v>522</v>
      </c>
      <c r="C13" s="2">
        <v>182</v>
      </c>
      <c r="D13" s="2">
        <v>0.74147727272727271</v>
      </c>
      <c r="E13" s="2">
        <v>3.3845026632262342E-39</v>
      </c>
      <c r="F13" s="2">
        <v>1</v>
      </c>
      <c r="G13" s="2">
        <v>6.769005326452467E-39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24</v>
      </c>
      <c r="B14" s="2">
        <v>387</v>
      </c>
      <c r="C14" s="2">
        <v>317</v>
      </c>
      <c r="D14" s="2">
        <v>0.54971590909090906</v>
      </c>
      <c r="E14" s="2">
        <v>4.6298355537997774E-3</v>
      </c>
      <c r="F14" s="2">
        <v>0.99629541745891781</v>
      </c>
      <c r="G14" s="2">
        <v>9.2596711075995548E-3</v>
      </c>
      <c r="H14" s="2">
        <v>4.1670722889086687E-3</v>
      </c>
      <c r="I14" s="2">
        <v>0.99583292771109133</v>
      </c>
      <c r="J14" s="2">
        <v>8.3341445778173373E-3</v>
      </c>
      <c r="K14" s="2" t="s">
        <v>1</v>
      </c>
    </row>
    <row r="15" spans="1:11" x14ac:dyDescent="0.35">
      <c r="A15" s="2" t="s">
        <v>25</v>
      </c>
      <c r="B15" s="2">
        <v>29</v>
      </c>
      <c r="C15" s="2">
        <v>22</v>
      </c>
      <c r="D15" s="2">
        <v>0.56862745098039214</v>
      </c>
      <c r="E15" s="2">
        <v>0.20053099551396869</v>
      </c>
      <c r="F15" s="2">
        <v>0.86878123214447811</v>
      </c>
      <c r="G15" s="2">
        <v>0.40106199102793738</v>
      </c>
      <c r="H15" s="2">
        <v>0.16349467479900759</v>
      </c>
      <c r="I15" s="2">
        <v>0.83650532520099241</v>
      </c>
      <c r="J15" s="2">
        <v>0.32698934959801518</v>
      </c>
      <c r="K15" s="2" t="s">
        <v>12</v>
      </c>
    </row>
    <row r="16" spans="1:11" x14ac:dyDescent="0.35">
      <c r="A16" s="2" t="s">
        <v>26</v>
      </c>
      <c r="B16" s="2">
        <v>357</v>
      </c>
      <c r="C16" s="2">
        <v>347</v>
      </c>
      <c r="D16" s="2">
        <v>0.50710227272727271</v>
      </c>
      <c r="E16" s="2">
        <v>0.36724284954996672</v>
      </c>
      <c r="F16" s="2">
        <v>0.66075969318714201</v>
      </c>
      <c r="G16" s="2">
        <v>0.73448569909993344</v>
      </c>
      <c r="H16" s="2">
        <v>0.35312798105242671</v>
      </c>
      <c r="I16" s="2">
        <v>0.64687201894757329</v>
      </c>
      <c r="J16" s="2">
        <v>0.70625596210485342</v>
      </c>
      <c r="K16" s="2" t="s">
        <v>12</v>
      </c>
    </row>
    <row r="17" spans="1:11" x14ac:dyDescent="0.35">
      <c r="A17" s="2" t="s">
        <v>27</v>
      </c>
      <c r="B17" s="2">
        <v>339</v>
      </c>
      <c r="C17" s="2">
        <v>365</v>
      </c>
      <c r="D17" s="2">
        <v>0.48153409090909088</v>
      </c>
      <c r="E17" s="2">
        <v>0.84556710823239156</v>
      </c>
      <c r="F17" s="2">
        <v>0.17304251071291021</v>
      </c>
      <c r="G17" s="2">
        <v>0.34608502142582048</v>
      </c>
      <c r="H17" s="2">
        <v>0.83643518838242337</v>
      </c>
      <c r="I17" s="2">
        <v>0.16356481161757661</v>
      </c>
      <c r="J17" s="2">
        <v>0.32712962323515332</v>
      </c>
      <c r="K17" s="2" t="s">
        <v>12</v>
      </c>
    </row>
    <row r="18" spans="1:11" x14ac:dyDescent="0.35">
      <c r="A18" s="2" t="s">
        <v>28</v>
      </c>
      <c r="B18" s="2">
        <v>290</v>
      </c>
      <c r="C18" s="2">
        <v>414</v>
      </c>
      <c r="D18" s="2">
        <v>0.41193181818181818</v>
      </c>
      <c r="E18" s="2">
        <v>0.99999883845122339</v>
      </c>
      <c r="F18" s="2">
        <v>1.6831167214701571E-6</v>
      </c>
      <c r="G18" s="2">
        <v>3.366233442940315E-6</v>
      </c>
      <c r="H18" s="2">
        <v>0.99999851891653035</v>
      </c>
      <c r="I18" s="2">
        <v>1.4810834696294611E-6</v>
      </c>
      <c r="J18" s="2">
        <v>2.9621669392909671E-6</v>
      </c>
      <c r="K18" s="2" t="s">
        <v>2</v>
      </c>
    </row>
    <row r="19" spans="1:11" x14ac:dyDescent="0.35">
      <c r="A19" s="2" t="s">
        <v>29</v>
      </c>
      <c r="B19" s="2">
        <v>170</v>
      </c>
      <c r="C19" s="2">
        <v>534</v>
      </c>
      <c r="D19" s="2">
        <v>0.24147727272727271</v>
      </c>
      <c r="E19" s="2">
        <v>1</v>
      </c>
      <c r="F19" s="2">
        <v>6.2158512455527271E-45</v>
      </c>
      <c r="G19" s="2">
        <v>1.2431702491105449E-44</v>
      </c>
      <c r="H19" s="2">
        <v>1</v>
      </c>
      <c r="I19" s="2">
        <v>3.9193995946946077E-43</v>
      </c>
      <c r="J19" s="2">
        <v>0</v>
      </c>
      <c r="K19" s="2" t="s">
        <v>2</v>
      </c>
    </row>
    <row r="20" spans="1:11" x14ac:dyDescent="0.35">
      <c r="A20" s="2" t="s">
        <v>30</v>
      </c>
      <c r="B20" s="2">
        <v>151</v>
      </c>
      <c r="C20" s="2">
        <v>553</v>
      </c>
      <c r="D20" s="2">
        <v>0.21448863636363641</v>
      </c>
      <c r="E20" s="2">
        <v>1</v>
      </c>
      <c r="F20" s="2">
        <v>5.1856979116479421E-55</v>
      </c>
      <c r="G20" s="2">
        <v>1.037139582329588E-54</v>
      </c>
      <c r="H20" s="2">
        <v>1</v>
      </c>
      <c r="I20" s="2">
        <v>3.7342438086888599E-52</v>
      </c>
      <c r="J20" s="2">
        <v>0</v>
      </c>
      <c r="K20" s="2" t="s">
        <v>2</v>
      </c>
    </row>
    <row r="21" spans="1:11" x14ac:dyDescent="0.35">
      <c r="A21" s="2" t="s">
        <v>31</v>
      </c>
      <c r="B21" s="2">
        <v>265</v>
      </c>
      <c r="C21" s="2">
        <v>439</v>
      </c>
      <c r="D21" s="2">
        <v>0.37642045454545447</v>
      </c>
      <c r="E21" s="2">
        <v>0.99999999998315936</v>
      </c>
      <c r="F21" s="2">
        <v>2.820711655906156E-11</v>
      </c>
      <c r="G21" s="2">
        <v>5.641423311812312E-11</v>
      </c>
      <c r="H21" s="2">
        <v>0.99999999997270939</v>
      </c>
      <c r="I21" s="2">
        <v>2.7290559768363851E-11</v>
      </c>
      <c r="J21" s="2">
        <v>5.4581228425831802E-11</v>
      </c>
      <c r="K21" s="2" t="s">
        <v>2</v>
      </c>
    </row>
    <row r="22" spans="1:11" x14ac:dyDescent="0.35">
      <c r="A22" s="2" t="s">
        <v>32</v>
      </c>
      <c r="B22" s="2">
        <v>326</v>
      </c>
      <c r="C22" s="2">
        <v>378</v>
      </c>
      <c r="D22" s="2">
        <v>0.46306818181818182</v>
      </c>
      <c r="E22" s="2">
        <v>0.97715363504431529</v>
      </c>
      <c r="F22" s="2">
        <v>2.7255805301668649E-2</v>
      </c>
      <c r="G22" s="2">
        <v>5.4511610603337292E-2</v>
      </c>
      <c r="H22" s="2">
        <v>0.97499180225717708</v>
      </c>
      <c r="I22" s="2">
        <v>2.5008197742822879E-2</v>
      </c>
      <c r="J22" s="2">
        <v>5.0016395485645848E-2</v>
      </c>
      <c r="K22" s="2" t="s">
        <v>2</v>
      </c>
    </row>
    <row r="23" spans="1:11" x14ac:dyDescent="0.35">
      <c r="A23" s="2" t="s">
        <v>33</v>
      </c>
      <c r="B23" s="2">
        <v>207</v>
      </c>
      <c r="C23" s="2">
        <v>497</v>
      </c>
      <c r="D23" s="2">
        <v>0.29403409090909088</v>
      </c>
      <c r="E23" s="2">
        <v>1</v>
      </c>
      <c r="F23" s="2">
        <v>4.3442945899577279E-29</v>
      </c>
      <c r="G23" s="2">
        <v>8.6885891799154569E-29</v>
      </c>
      <c r="H23" s="2">
        <v>1</v>
      </c>
      <c r="I23" s="2">
        <v>4.1521906153856739E-28</v>
      </c>
      <c r="J23" s="2">
        <v>0</v>
      </c>
      <c r="K23" s="2" t="s">
        <v>2</v>
      </c>
    </row>
    <row r="24" spans="1:11" x14ac:dyDescent="0.35">
      <c r="A24" s="2" t="s">
        <v>34</v>
      </c>
      <c r="B24" s="2">
        <v>268</v>
      </c>
      <c r="C24" s="2">
        <v>436</v>
      </c>
      <c r="D24" s="2">
        <v>0.38068181818181818</v>
      </c>
      <c r="E24" s="2">
        <v>0.99999999992226063</v>
      </c>
      <c r="F24" s="2">
        <v>1.279181887347529E-10</v>
      </c>
      <c r="G24" s="2">
        <v>2.5583637746950579E-10</v>
      </c>
      <c r="H24" s="2">
        <v>0.99999999987879273</v>
      </c>
      <c r="I24" s="2">
        <v>1.212072519999565E-10</v>
      </c>
      <c r="J24" s="2">
        <v>2.4241453289164378E-10</v>
      </c>
      <c r="K24" s="2" t="s">
        <v>2</v>
      </c>
    </row>
    <row r="25" spans="1:11" x14ac:dyDescent="0.35">
      <c r="A25" s="2" t="s">
        <v>35</v>
      </c>
      <c r="B25" s="2">
        <v>407</v>
      </c>
      <c r="C25" s="2">
        <v>297</v>
      </c>
      <c r="D25" s="2">
        <v>0.578125</v>
      </c>
      <c r="E25" s="2">
        <v>1.9285241824994172E-5</v>
      </c>
      <c r="F25" s="2">
        <v>0.99998615736150531</v>
      </c>
      <c r="G25" s="2">
        <v>3.8570483649988343E-5</v>
      </c>
      <c r="H25" s="2">
        <v>1.6932870656627411E-5</v>
      </c>
      <c r="I25" s="2">
        <v>0.99998306712934337</v>
      </c>
      <c r="J25" s="2">
        <v>3.3865741313254823E-5</v>
      </c>
      <c r="K25" s="2" t="s">
        <v>1</v>
      </c>
    </row>
    <row r="26" spans="1:11" x14ac:dyDescent="0.35">
      <c r="A26" s="2" t="s">
        <v>36</v>
      </c>
      <c r="B26" s="2">
        <v>424</v>
      </c>
      <c r="C26" s="2">
        <v>280</v>
      </c>
      <c r="D26" s="2">
        <v>0.60227272727272729</v>
      </c>
      <c r="E26" s="2">
        <v>3.1923094571434119E-8</v>
      </c>
      <c r="F26" s="2">
        <v>0.99999997919254269</v>
      </c>
      <c r="G26" s="2">
        <v>6.3846189142868239E-8</v>
      </c>
      <c r="H26" s="2">
        <v>2.8621812142581859E-8</v>
      </c>
      <c r="I26" s="2">
        <v>0.99999997137818786</v>
      </c>
      <c r="J26" s="2">
        <v>5.7243624285163719E-8</v>
      </c>
      <c r="K26" s="2" t="s">
        <v>1</v>
      </c>
    </row>
    <row r="27" spans="1:11" x14ac:dyDescent="0.35">
      <c r="A27" s="2" t="s">
        <v>37</v>
      </c>
      <c r="B27" s="2">
        <v>304</v>
      </c>
      <c r="C27" s="2">
        <v>400</v>
      </c>
      <c r="D27" s="2">
        <v>0.43181818181818182</v>
      </c>
      <c r="E27" s="2">
        <v>0.99987448795888501</v>
      </c>
      <c r="F27" s="2">
        <v>1.682231284959967E-4</v>
      </c>
      <c r="G27" s="2">
        <v>3.3644625699199351E-4</v>
      </c>
      <c r="H27" s="2">
        <v>0.99985163384435338</v>
      </c>
      <c r="I27" s="2">
        <v>1.4836615564657029E-4</v>
      </c>
      <c r="J27" s="2">
        <v>2.9673231129323518E-4</v>
      </c>
      <c r="K27" s="2" t="s">
        <v>2</v>
      </c>
    </row>
    <row r="28" spans="1:11" x14ac:dyDescent="0.35">
      <c r="A28" s="2" t="s">
        <v>38</v>
      </c>
      <c r="B28" s="2">
        <v>532</v>
      </c>
      <c r="C28" s="2">
        <v>172</v>
      </c>
      <c r="D28" s="2">
        <v>0.75568181818181823</v>
      </c>
      <c r="E28" s="2">
        <v>6.0586569339323469E-44</v>
      </c>
      <c r="F28" s="2">
        <v>1</v>
      </c>
      <c r="G28" s="2">
        <v>1.211731386786469E-43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555</v>
      </c>
      <c r="C29" s="2">
        <v>149</v>
      </c>
      <c r="D29" s="2">
        <v>0.78835227272727271</v>
      </c>
      <c r="E29" s="2">
        <v>3.7963523261952142E-56</v>
      </c>
      <c r="F29" s="2">
        <v>1</v>
      </c>
      <c r="G29" s="2">
        <v>7.5927046523904283E-56</v>
      </c>
      <c r="H29" s="2">
        <v>0</v>
      </c>
      <c r="I29" s="2">
        <v>1</v>
      </c>
      <c r="J29" s="2">
        <v>0</v>
      </c>
      <c r="K29" s="2" t="s">
        <v>1</v>
      </c>
    </row>
    <row r="30" spans="1:11" x14ac:dyDescent="0.35">
      <c r="A30" s="2" t="s">
        <v>40</v>
      </c>
      <c r="B30" s="2">
        <v>254</v>
      </c>
      <c r="C30" s="2">
        <v>450</v>
      </c>
      <c r="D30" s="2">
        <v>0.36079545454545447</v>
      </c>
      <c r="E30" s="2">
        <v>0.99999999999996103</v>
      </c>
      <c r="F30" s="2">
        <v>6.9760701953280878E-14</v>
      </c>
      <c r="G30" s="2">
        <v>1.3952140390656181E-13</v>
      </c>
      <c r="H30" s="2">
        <v>0.99999999999992495</v>
      </c>
      <c r="I30" s="2">
        <v>7.507352722503857E-14</v>
      </c>
      <c r="J30" s="2">
        <v>1.5010215292932119E-13</v>
      </c>
      <c r="K30" s="2" t="s">
        <v>2</v>
      </c>
    </row>
    <row r="31" spans="1:11" x14ac:dyDescent="0.35">
      <c r="A31" s="2" t="s">
        <v>41</v>
      </c>
      <c r="B31" s="2">
        <v>305</v>
      </c>
      <c r="C31" s="2">
        <v>399</v>
      </c>
      <c r="D31" s="2">
        <v>0.43323863636363641</v>
      </c>
      <c r="E31" s="2">
        <v>0.99983177687150404</v>
      </c>
      <c r="F31" s="2">
        <v>2.2423766932352069E-4</v>
      </c>
      <c r="G31" s="2">
        <v>4.4847533864704139E-4</v>
      </c>
      <c r="H31" s="2">
        <v>0.99980201728178342</v>
      </c>
      <c r="I31" s="2">
        <v>1.979827182166197E-4</v>
      </c>
      <c r="J31" s="2">
        <v>3.9596543643316551E-4</v>
      </c>
      <c r="K31" s="2" t="s">
        <v>2</v>
      </c>
    </row>
    <row r="32" spans="1:11" x14ac:dyDescent="0.35">
      <c r="A32" s="2" t="s">
        <v>42</v>
      </c>
      <c r="B32" s="2">
        <v>452</v>
      </c>
      <c r="C32" s="2">
        <v>252</v>
      </c>
      <c r="D32" s="2">
        <v>0.64204545454545459</v>
      </c>
      <c r="E32" s="2">
        <v>2.1659689066834469E-14</v>
      </c>
      <c r="F32" s="2">
        <v>0.99999999999998801</v>
      </c>
      <c r="G32" s="2">
        <v>4.3319378133668937E-14</v>
      </c>
      <c r="H32" s="2">
        <v>2.3869795029440869E-14</v>
      </c>
      <c r="I32" s="2">
        <v>0.99999999999997613</v>
      </c>
      <c r="J32" s="2">
        <v>4.7739590058881731E-14</v>
      </c>
      <c r="K32" s="2" t="s">
        <v>1</v>
      </c>
    </row>
    <row r="33" spans="1:11" x14ac:dyDescent="0.35">
      <c r="A33" s="2" t="s">
        <v>43</v>
      </c>
      <c r="B33" s="2">
        <v>323</v>
      </c>
      <c r="C33" s="2">
        <v>381</v>
      </c>
      <c r="D33" s="2">
        <v>0.45880681818181818</v>
      </c>
      <c r="E33" s="2">
        <v>0.9869488633312915</v>
      </c>
      <c r="F33" s="2">
        <v>1.5809691752536308E-2</v>
      </c>
      <c r="G33" s="2">
        <v>3.1619383505072617E-2</v>
      </c>
      <c r="H33" s="2">
        <v>0.98559063337486219</v>
      </c>
      <c r="I33" s="2">
        <v>1.440936662513778E-2</v>
      </c>
      <c r="J33" s="2">
        <v>2.8818733250275619E-2</v>
      </c>
      <c r="K33" s="2" t="s">
        <v>2</v>
      </c>
    </row>
    <row r="34" spans="1:11" x14ac:dyDescent="0.35">
      <c r="A34" s="2" t="s">
        <v>44</v>
      </c>
      <c r="B34" s="2">
        <v>407</v>
      </c>
      <c r="C34" s="2">
        <v>297</v>
      </c>
      <c r="D34" s="2">
        <v>0.578125</v>
      </c>
      <c r="E34" s="2">
        <v>1.9285241824994172E-5</v>
      </c>
      <c r="F34" s="2">
        <v>0.99998615736150531</v>
      </c>
      <c r="G34" s="2">
        <v>3.8570483649988343E-5</v>
      </c>
      <c r="H34" s="2">
        <v>1.6932870656627411E-5</v>
      </c>
      <c r="I34" s="2">
        <v>0.99998306712934337</v>
      </c>
      <c r="J34" s="2">
        <v>3.3865741313254823E-5</v>
      </c>
      <c r="K34" s="2" t="s">
        <v>1</v>
      </c>
    </row>
    <row r="35" spans="1:11" x14ac:dyDescent="0.35">
      <c r="A35" s="2" t="s">
        <v>45</v>
      </c>
      <c r="B35" s="2">
        <v>488</v>
      </c>
      <c r="C35" s="2">
        <v>216</v>
      </c>
      <c r="D35" s="2">
        <v>0.69318181818181823</v>
      </c>
      <c r="E35" s="2">
        <v>2.185738596483581E-25</v>
      </c>
      <c r="F35" s="2">
        <v>1</v>
      </c>
      <c r="G35" s="2">
        <v>4.3714771929671629E-25</v>
      </c>
      <c r="H35" s="2">
        <v>0</v>
      </c>
      <c r="I35" s="2">
        <v>1</v>
      </c>
      <c r="J35" s="2">
        <v>0</v>
      </c>
      <c r="K35" s="2" t="s">
        <v>1</v>
      </c>
    </row>
    <row r="36" spans="1:11" x14ac:dyDescent="0.35">
      <c r="A36" s="2" t="s">
        <v>46</v>
      </c>
      <c r="B36" s="2">
        <v>304</v>
      </c>
      <c r="C36" s="2">
        <v>400</v>
      </c>
      <c r="D36" s="2">
        <v>0.43181818181818182</v>
      </c>
      <c r="E36" s="2">
        <v>0.99987448795888501</v>
      </c>
      <c r="F36" s="2">
        <v>1.682231284959967E-4</v>
      </c>
      <c r="G36" s="2">
        <v>3.3644625699199351E-4</v>
      </c>
      <c r="H36" s="2">
        <v>0.99985163384435338</v>
      </c>
      <c r="I36" s="2">
        <v>1.4836615564657029E-4</v>
      </c>
      <c r="J36" s="2">
        <v>2.9673231129323518E-4</v>
      </c>
      <c r="K36" s="2" t="s">
        <v>2</v>
      </c>
    </row>
    <row r="37" spans="1:11" x14ac:dyDescent="0.35">
      <c r="A37" s="2" t="s">
        <v>47</v>
      </c>
      <c r="B37" s="2">
        <v>153</v>
      </c>
      <c r="C37" s="2">
        <v>551</v>
      </c>
      <c r="D37" s="2">
        <v>0.21732954545454539</v>
      </c>
      <c r="E37" s="2">
        <v>1</v>
      </c>
      <c r="F37" s="2">
        <v>6.8498175314148838E-54</v>
      </c>
      <c r="G37" s="2">
        <v>1.369963506282977E-53</v>
      </c>
      <c r="H37" s="2">
        <v>1</v>
      </c>
      <c r="I37" s="2">
        <v>3.6605063015607933E-51</v>
      </c>
      <c r="J37" s="2">
        <v>0</v>
      </c>
      <c r="K37" s="2" t="s">
        <v>2</v>
      </c>
    </row>
    <row r="38" spans="1:11" x14ac:dyDescent="0.35">
      <c r="A38" s="2" t="s">
        <v>48</v>
      </c>
      <c r="B38" s="2">
        <v>572</v>
      </c>
      <c r="C38" s="2">
        <v>132</v>
      </c>
      <c r="D38" s="2">
        <v>0.8125</v>
      </c>
      <c r="E38" s="2">
        <v>2.0822370290439729E-66</v>
      </c>
      <c r="F38" s="2">
        <v>1</v>
      </c>
      <c r="G38" s="2">
        <v>4.1644740580879458E-66</v>
      </c>
      <c r="H38" s="2">
        <v>0</v>
      </c>
      <c r="I38" s="2">
        <v>1</v>
      </c>
      <c r="J38" s="2">
        <v>0</v>
      </c>
      <c r="K38" s="2" t="s">
        <v>1</v>
      </c>
    </row>
    <row r="39" spans="1:11" x14ac:dyDescent="0.35">
      <c r="A39" s="2" t="s">
        <v>49</v>
      </c>
      <c r="B39" s="2">
        <v>544</v>
      </c>
      <c r="C39" s="2">
        <v>160</v>
      </c>
      <c r="D39" s="2">
        <v>0.77272727272727271</v>
      </c>
      <c r="E39" s="2">
        <v>4.4255725709607187E-50</v>
      </c>
      <c r="F39" s="2">
        <v>1</v>
      </c>
      <c r="G39" s="2">
        <v>8.8511451419214373E-50</v>
      </c>
      <c r="H39" s="2">
        <v>0</v>
      </c>
      <c r="I39" s="2">
        <v>1</v>
      </c>
      <c r="J39" s="2">
        <v>0</v>
      </c>
      <c r="K39" s="2" t="s">
        <v>1</v>
      </c>
    </row>
    <row r="40" spans="1:11" x14ac:dyDescent="0.35">
      <c r="A40" s="2" t="s">
        <v>50</v>
      </c>
      <c r="B40" s="2">
        <v>378</v>
      </c>
      <c r="C40" s="2">
        <v>326</v>
      </c>
      <c r="D40" s="2">
        <v>0.53693181818181823</v>
      </c>
      <c r="E40" s="2">
        <v>2.7255805301668649E-2</v>
      </c>
      <c r="F40" s="2">
        <v>0.97715363504431529</v>
      </c>
      <c r="G40" s="2">
        <v>5.4511610603337292E-2</v>
      </c>
      <c r="H40" s="2">
        <v>2.5008197742822699E-2</v>
      </c>
      <c r="I40" s="2">
        <v>0.9749918022571773</v>
      </c>
      <c r="J40" s="2">
        <v>5.0016395485645397E-2</v>
      </c>
      <c r="K40" s="2" t="s">
        <v>1</v>
      </c>
    </row>
    <row r="41" spans="1:11" x14ac:dyDescent="0.35">
      <c r="A41" s="2" t="s">
        <v>51</v>
      </c>
      <c r="B41" s="2">
        <v>486</v>
      </c>
      <c r="C41" s="2">
        <v>218</v>
      </c>
      <c r="D41" s="2">
        <v>0.69034090909090906</v>
      </c>
      <c r="E41" s="2">
        <v>1.109647746892832E-24</v>
      </c>
      <c r="F41" s="2">
        <v>1</v>
      </c>
      <c r="G41" s="2">
        <v>2.219295493785664E-24</v>
      </c>
      <c r="H41" s="2">
        <v>0</v>
      </c>
      <c r="I41" s="2">
        <v>1</v>
      </c>
      <c r="J41" s="2">
        <v>0</v>
      </c>
      <c r="K41" s="2" t="s">
        <v>1</v>
      </c>
    </row>
    <row r="42" spans="1:11" x14ac:dyDescent="0.35">
      <c r="A42" s="2" t="s">
        <v>52</v>
      </c>
      <c r="B42" s="2">
        <v>425</v>
      </c>
      <c r="C42" s="2">
        <v>279</v>
      </c>
      <c r="D42" s="2">
        <v>0.60369318181818177</v>
      </c>
      <c r="E42" s="2">
        <v>3.1923094571434119E-8</v>
      </c>
      <c r="F42" s="2">
        <v>0.99999997919254269</v>
      </c>
      <c r="G42" s="2">
        <v>6.3846189142868239E-8</v>
      </c>
      <c r="H42" s="2">
        <v>1.87134486795415E-8</v>
      </c>
      <c r="I42" s="2">
        <v>0.99999998128655132</v>
      </c>
      <c r="J42" s="2">
        <v>3.7426897359083E-8</v>
      </c>
      <c r="K42" s="2" t="s">
        <v>1</v>
      </c>
    </row>
    <row r="43" spans="1:11" x14ac:dyDescent="0.35">
      <c r="A43" s="2" t="s">
        <v>53</v>
      </c>
      <c r="B43" s="2">
        <v>571</v>
      </c>
      <c r="C43" s="2">
        <v>133</v>
      </c>
      <c r="D43" s="2">
        <v>0.81107954545454541</v>
      </c>
      <c r="E43" s="2">
        <v>8.9801460878349132E-66</v>
      </c>
      <c r="F43" s="2">
        <v>1</v>
      </c>
      <c r="G43" s="2">
        <v>1.7960292175669831E-65</v>
      </c>
      <c r="H43" s="2">
        <v>0</v>
      </c>
      <c r="I43" s="2">
        <v>1</v>
      </c>
      <c r="J43" s="2">
        <v>0</v>
      </c>
      <c r="K43" s="2" t="s">
        <v>1</v>
      </c>
    </row>
    <row r="44" spans="1:11" x14ac:dyDescent="0.35">
      <c r="A44" s="2" t="s">
        <v>54</v>
      </c>
      <c r="B44" s="2">
        <v>528</v>
      </c>
      <c r="C44" s="2">
        <v>176</v>
      </c>
      <c r="D44" s="2">
        <v>0.75</v>
      </c>
      <c r="E44" s="2">
        <v>5.2525601200730668E-42</v>
      </c>
      <c r="F44" s="2">
        <v>1</v>
      </c>
      <c r="G44" s="2">
        <v>1.050512024014613E-41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582</v>
      </c>
      <c r="C45" s="2">
        <v>122</v>
      </c>
      <c r="D45" s="2">
        <v>0.82670454545454541</v>
      </c>
      <c r="E45" s="2">
        <v>5.5638477973692838E-73</v>
      </c>
      <c r="F45" s="2">
        <v>1</v>
      </c>
      <c r="G45" s="2">
        <v>1.112769559473857E-72</v>
      </c>
      <c r="H45" s="2">
        <v>0</v>
      </c>
      <c r="I45" s="2">
        <v>1</v>
      </c>
      <c r="J45" s="2">
        <v>0</v>
      </c>
      <c r="K45" s="2" t="s">
        <v>1</v>
      </c>
    </row>
    <row r="46" spans="1:11" x14ac:dyDescent="0.35">
      <c r="A46" s="2" t="s">
        <v>56</v>
      </c>
      <c r="B46" s="2">
        <v>367</v>
      </c>
      <c r="C46" s="2">
        <v>337</v>
      </c>
      <c r="D46" s="2">
        <v>0.52130681818181823</v>
      </c>
      <c r="E46" s="2">
        <v>0.1371961135641718</v>
      </c>
      <c r="F46" s="2">
        <v>0.87867863039430649</v>
      </c>
      <c r="G46" s="2">
        <v>0.27439222712834371</v>
      </c>
      <c r="H46" s="2">
        <v>0.12909752379197201</v>
      </c>
      <c r="I46" s="2">
        <v>0.87090247620802796</v>
      </c>
      <c r="J46" s="2">
        <v>0.25819504758394413</v>
      </c>
      <c r="K46" s="2" t="s">
        <v>12</v>
      </c>
    </row>
    <row r="47" spans="1:11" x14ac:dyDescent="0.35">
      <c r="A47" s="2" t="s">
        <v>57</v>
      </c>
      <c r="B47" s="2">
        <v>468</v>
      </c>
      <c r="C47" s="2">
        <v>236</v>
      </c>
      <c r="D47" s="2">
        <v>0.66477272727272729</v>
      </c>
      <c r="E47" s="2">
        <v>7.7224614927399764E-19</v>
      </c>
      <c r="F47" s="2">
        <v>1</v>
      </c>
      <c r="G47" s="2">
        <v>1.5444922985479951E-18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144</v>
      </c>
      <c r="C48" s="2">
        <v>560</v>
      </c>
      <c r="D48" s="2">
        <v>0.20454545454545461</v>
      </c>
      <c r="E48" s="2">
        <v>1</v>
      </c>
      <c r="F48" s="2">
        <v>4.7432684194368774E-59</v>
      </c>
      <c r="G48" s="2">
        <v>9.4865368388737547E-59</v>
      </c>
      <c r="H48" s="2">
        <v>1</v>
      </c>
      <c r="I48" s="2">
        <v>1.0595317956978339E-55</v>
      </c>
      <c r="J48" s="2">
        <v>0</v>
      </c>
      <c r="K48" s="2" t="s">
        <v>2</v>
      </c>
    </row>
    <row r="49" spans="1:11" x14ac:dyDescent="0.35">
      <c r="A49" s="2" t="s">
        <v>59</v>
      </c>
      <c r="B49" s="2">
        <v>242</v>
      </c>
      <c r="C49" s="2">
        <v>462</v>
      </c>
      <c r="D49" s="2">
        <v>0.34375</v>
      </c>
      <c r="E49" s="2">
        <v>1</v>
      </c>
      <c r="F49" s="2">
        <v>4.3296064439747961E-17</v>
      </c>
      <c r="G49" s="2">
        <v>8.6592128879495922E-17</v>
      </c>
      <c r="H49" s="2">
        <v>0.99999999999999989</v>
      </c>
      <c r="I49" s="2">
        <v>5.5885434417002927E-17</v>
      </c>
      <c r="J49" s="2">
        <v>2.2204460492503131E-16</v>
      </c>
      <c r="K49" s="2" t="s">
        <v>2</v>
      </c>
    </row>
    <row r="50" spans="1:11" x14ac:dyDescent="0.35">
      <c r="A50" s="2" t="s">
        <v>60</v>
      </c>
      <c r="B50" s="2">
        <v>182</v>
      </c>
      <c r="C50" s="2">
        <v>522</v>
      </c>
      <c r="D50" s="2">
        <v>0.25852272727272729</v>
      </c>
      <c r="E50" s="2">
        <v>1</v>
      </c>
      <c r="F50" s="2">
        <v>3.3845026632262342E-39</v>
      </c>
      <c r="G50" s="2">
        <v>6.769005326452467E-39</v>
      </c>
      <c r="H50" s="2">
        <v>1</v>
      </c>
      <c r="I50" s="2">
        <v>6.8241372096338507E-38</v>
      </c>
      <c r="J50" s="2">
        <v>0</v>
      </c>
      <c r="K50" s="2" t="s">
        <v>2</v>
      </c>
    </row>
    <row r="51" spans="1:11" x14ac:dyDescent="0.35">
      <c r="A51" s="2" t="s">
        <v>61</v>
      </c>
      <c r="B51" s="2">
        <v>606</v>
      </c>
      <c r="C51" s="2">
        <v>98</v>
      </c>
      <c r="D51" s="2">
        <v>0.86079545454545459</v>
      </c>
      <c r="E51" s="2">
        <v>1.4495075047826989E-90</v>
      </c>
      <c r="F51" s="2">
        <v>1</v>
      </c>
      <c r="G51" s="2">
        <v>2.899015009565397E-90</v>
      </c>
      <c r="H51" s="2">
        <v>0</v>
      </c>
      <c r="I51" s="2">
        <v>1</v>
      </c>
      <c r="J51" s="2">
        <v>0</v>
      </c>
      <c r="K51" s="2" t="s">
        <v>1</v>
      </c>
    </row>
    <row r="52" spans="1:11" x14ac:dyDescent="0.35">
      <c r="A52" s="2" t="s">
        <v>62</v>
      </c>
      <c r="B52" s="2">
        <v>595</v>
      </c>
      <c r="C52" s="2">
        <v>109</v>
      </c>
      <c r="D52" s="2">
        <v>0.84517045454545459</v>
      </c>
      <c r="E52" s="2">
        <v>3.5877207661542398E-82</v>
      </c>
      <c r="F52" s="2">
        <v>1</v>
      </c>
      <c r="G52" s="2">
        <v>7.1754415323084808E-82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678</v>
      </c>
      <c r="C53" s="2">
        <v>26</v>
      </c>
      <c r="D53" s="2">
        <v>0.96306818181818177</v>
      </c>
      <c r="E53" s="2">
        <v>2.089901580498296E-165</v>
      </c>
      <c r="F53" s="2">
        <v>1</v>
      </c>
      <c r="G53" s="2">
        <v>4.179803160996591E-165</v>
      </c>
      <c r="H53" s="2">
        <v>0</v>
      </c>
      <c r="I53" s="2">
        <v>1</v>
      </c>
      <c r="J53" s="2">
        <v>0</v>
      </c>
      <c r="K53" s="2" t="s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358</v>
      </c>
      <c r="C2" s="2">
        <v>346</v>
      </c>
      <c r="D2" s="2">
        <v>0.50852272727272729</v>
      </c>
      <c r="E2" s="2">
        <v>0.33924030681285811</v>
      </c>
      <c r="F2" s="2">
        <v>0.68790182259992472</v>
      </c>
      <c r="G2" s="2">
        <v>0.6784806136257161</v>
      </c>
      <c r="H2" s="2">
        <v>0.32553831703891678</v>
      </c>
      <c r="I2" s="2">
        <v>0.67446168296108322</v>
      </c>
      <c r="J2" s="2">
        <v>0.65107663407783356</v>
      </c>
      <c r="K2" s="2" t="s">
        <v>12</v>
      </c>
    </row>
    <row r="3" spans="1:11" x14ac:dyDescent="0.35">
      <c r="A3" s="2" t="s">
        <v>13</v>
      </c>
      <c r="B3" s="2">
        <v>335</v>
      </c>
      <c r="C3" s="2">
        <v>369</v>
      </c>
      <c r="D3" s="2">
        <v>0.47585227272727271</v>
      </c>
      <c r="E3" s="2">
        <v>0.90645347017408007</v>
      </c>
      <c r="F3" s="2">
        <v>0.1067839002741523</v>
      </c>
      <c r="G3" s="2">
        <v>0.21356780054830449</v>
      </c>
      <c r="H3" s="2">
        <v>0.89997747274533557</v>
      </c>
      <c r="I3" s="2">
        <v>0.1000225272546645</v>
      </c>
      <c r="J3" s="2">
        <v>0.20004505450932891</v>
      </c>
      <c r="K3" s="2" t="s">
        <v>12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214</v>
      </c>
      <c r="C5" s="2">
        <v>490</v>
      </c>
      <c r="D5" s="2">
        <v>0.30397727272727271</v>
      </c>
      <c r="E5" s="2">
        <v>1</v>
      </c>
      <c r="F5" s="2">
        <v>4.1928894555716279E-26</v>
      </c>
      <c r="G5" s="2">
        <v>8.3857789111432569E-26</v>
      </c>
      <c r="H5" s="2">
        <v>1</v>
      </c>
      <c r="I5" s="2">
        <v>1.21211528725007E-25</v>
      </c>
      <c r="J5" s="2">
        <v>0</v>
      </c>
      <c r="K5" s="2" t="s">
        <v>2</v>
      </c>
    </row>
    <row r="6" spans="1:11" x14ac:dyDescent="0.35">
      <c r="A6" s="2" t="s">
        <v>16</v>
      </c>
      <c r="B6" s="2">
        <v>252</v>
      </c>
      <c r="C6" s="2">
        <v>452</v>
      </c>
      <c r="D6" s="2">
        <v>0.35795454545454553</v>
      </c>
      <c r="E6" s="2">
        <v>0.99999999999998801</v>
      </c>
      <c r="F6" s="2">
        <v>2.1659689066834469E-14</v>
      </c>
      <c r="G6" s="2">
        <v>4.3319378133668937E-14</v>
      </c>
      <c r="H6" s="2">
        <v>0.99999999999997613</v>
      </c>
      <c r="I6" s="2">
        <v>2.3901309250039109E-14</v>
      </c>
      <c r="J6" s="2">
        <v>4.7739590058881731E-14</v>
      </c>
      <c r="K6" s="2" t="s">
        <v>2</v>
      </c>
    </row>
    <row r="7" spans="1:11" x14ac:dyDescent="0.35">
      <c r="A7" s="2" t="s">
        <v>17</v>
      </c>
      <c r="B7" s="2">
        <v>299</v>
      </c>
      <c r="C7" s="2">
        <v>405</v>
      </c>
      <c r="D7" s="2">
        <v>0.42471590909090912</v>
      </c>
      <c r="E7" s="2">
        <v>0.99997328140396202</v>
      </c>
      <c r="F7" s="2">
        <v>3.6812046908991251E-5</v>
      </c>
      <c r="G7" s="2">
        <v>7.3624093817982502E-5</v>
      </c>
      <c r="H7" s="2">
        <v>0.99996765632974705</v>
      </c>
      <c r="I7" s="2">
        <v>3.2343670252948268E-5</v>
      </c>
      <c r="J7" s="2">
        <v>6.4687340505908963E-5</v>
      </c>
      <c r="K7" s="2" t="s">
        <v>2</v>
      </c>
    </row>
    <row r="8" spans="1:11" x14ac:dyDescent="0.35">
      <c r="A8" s="2" t="s">
        <v>18</v>
      </c>
      <c r="B8" s="2">
        <v>216</v>
      </c>
      <c r="C8" s="2">
        <v>488</v>
      </c>
      <c r="D8" s="2">
        <v>0.30681818181818182</v>
      </c>
      <c r="E8" s="2">
        <v>1</v>
      </c>
      <c r="F8" s="2">
        <v>2.185738596483581E-25</v>
      </c>
      <c r="G8" s="2">
        <v>4.3714771929671629E-25</v>
      </c>
      <c r="H8" s="2">
        <v>1</v>
      </c>
      <c r="I8" s="2">
        <v>5.8329460102882498E-25</v>
      </c>
      <c r="J8" s="2">
        <v>0</v>
      </c>
      <c r="K8" s="2" t="s">
        <v>2</v>
      </c>
    </row>
    <row r="9" spans="1:11" x14ac:dyDescent="0.35">
      <c r="A9" s="2" t="s">
        <v>19</v>
      </c>
      <c r="B9" s="2">
        <v>246</v>
      </c>
      <c r="C9" s="2">
        <v>458</v>
      </c>
      <c r="D9" s="2">
        <v>0.34943181818181818</v>
      </c>
      <c r="E9" s="2">
        <v>0.99999999999999967</v>
      </c>
      <c r="F9" s="2">
        <v>5.6000306775880166E-16</v>
      </c>
      <c r="G9" s="2">
        <v>1.1200061355176029E-15</v>
      </c>
      <c r="H9" s="2">
        <v>0.99999999999999933</v>
      </c>
      <c r="I9" s="2">
        <v>6.7441673037357693E-16</v>
      </c>
      <c r="J9" s="2">
        <v>1.332267629550188E-15</v>
      </c>
      <c r="K9" s="2" t="s">
        <v>2</v>
      </c>
    </row>
    <row r="10" spans="1:11" x14ac:dyDescent="0.35">
      <c r="A10" s="2" t="s">
        <v>20</v>
      </c>
      <c r="B10" s="2">
        <v>278</v>
      </c>
      <c r="C10" s="2">
        <v>426</v>
      </c>
      <c r="D10" s="2">
        <v>0.39488636363636359</v>
      </c>
      <c r="E10" s="2">
        <v>0.9999999913119948</v>
      </c>
      <c r="F10" s="2">
        <v>1.348421393509673E-8</v>
      </c>
      <c r="G10" s="2">
        <v>2.6968427870193469E-8</v>
      </c>
      <c r="H10" s="2">
        <v>0.99999998783221156</v>
      </c>
      <c r="I10" s="2">
        <v>1.2167788454856519E-8</v>
      </c>
      <c r="J10" s="2">
        <v>2.4335576886969079E-8</v>
      </c>
      <c r="K10" s="2" t="s">
        <v>2</v>
      </c>
    </row>
    <row r="11" spans="1:11" x14ac:dyDescent="0.35">
      <c r="A11" s="2" t="s">
        <v>21</v>
      </c>
      <c r="B11" s="2">
        <v>63</v>
      </c>
      <c r="C11" s="2">
        <v>641</v>
      </c>
      <c r="D11" s="2">
        <v>8.9488636363636367E-2</v>
      </c>
      <c r="E11" s="2">
        <v>1</v>
      </c>
      <c r="F11" s="2">
        <v>9.4922362302617172E-122</v>
      </c>
      <c r="G11" s="2">
        <v>1.898447246052343E-121</v>
      </c>
      <c r="H11" s="2">
        <v>1</v>
      </c>
      <c r="I11" s="2">
        <v>1.638280296374693E-105</v>
      </c>
      <c r="J11" s="2">
        <v>0</v>
      </c>
      <c r="K11" s="2" t="s">
        <v>2</v>
      </c>
    </row>
    <row r="12" spans="1:11" x14ac:dyDescent="0.35">
      <c r="A12" s="2" t="s">
        <v>22</v>
      </c>
      <c r="B12" s="2">
        <v>26</v>
      </c>
      <c r="C12" s="2">
        <v>678</v>
      </c>
      <c r="D12" s="2">
        <v>3.6931818181818177E-2</v>
      </c>
      <c r="E12" s="2">
        <v>1</v>
      </c>
      <c r="F12" s="2">
        <v>2.089901580498296E-165</v>
      </c>
      <c r="G12" s="2">
        <v>4.179803160996591E-165</v>
      </c>
      <c r="H12" s="2">
        <v>1</v>
      </c>
      <c r="I12" s="2">
        <v>1.222771057089725E-133</v>
      </c>
      <c r="J12" s="2">
        <v>0</v>
      </c>
      <c r="K12" s="2" t="s">
        <v>2</v>
      </c>
    </row>
    <row r="13" spans="1:11" x14ac:dyDescent="0.35">
      <c r="A13" s="2" t="s">
        <v>23</v>
      </c>
      <c r="B13" s="2">
        <v>183</v>
      </c>
      <c r="C13" s="2">
        <v>521</v>
      </c>
      <c r="D13" s="2">
        <v>0.25994318181818182</v>
      </c>
      <c r="E13" s="2">
        <v>1</v>
      </c>
      <c r="F13" s="2">
        <v>9.692158585558598E-39</v>
      </c>
      <c r="G13" s="2">
        <v>1.9384317171117201E-38</v>
      </c>
      <c r="H13" s="2">
        <v>1</v>
      </c>
      <c r="I13" s="2">
        <v>1.798186331341236E-37</v>
      </c>
      <c r="J13" s="2">
        <v>0</v>
      </c>
      <c r="K13" s="2" t="s">
        <v>2</v>
      </c>
    </row>
    <row r="14" spans="1:11" x14ac:dyDescent="0.35">
      <c r="A14" s="2" t="s">
        <v>24</v>
      </c>
      <c r="B14" s="2">
        <v>206</v>
      </c>
      <c r="C14" s="2">
        <v>498</v>
      </c>
      <c r="D14" s="2">
        <v>0.29261363636363641</v>
      </c>
      <c r="E14" s="2">
        <v>1</v>
      </c>
      <c r="F14" s="2">
        <v>4.3442945899577279E-29</v>
      </c>
      <c r="G14" s="2">
        <v>8.6885891799154569E-29</v>
      </c>
      <c r="H14" s="2">
        <v>1</v>
      </c>
      <c r="I14" s="2">
        <v>1.8042922837426549E-28</v>
      </c>
      <c r="J14" s="2">
        <v>0</v>
      </c>
      <c r="K14" s="2" t="s">
        <v>2</v>
      </c>
    </row>
    <row r="15" spans="1:11" x14ac:dyDescent="0.35">
      <c r="A15" s="2" t="s">
        <v>25</v>
      </c>
      <c r="B15" s="2">
        <v>23</v>
      </c>
      <c r="C15" s="2">
        <v>33</v>
      </c>
      <c r="D15" s="2">
        <v>0.4107142857142857</v>
      </c>
      <c r="E15" s="2">
        <v>0.92955228820075964</v>
      </c>
      <c r="F15" s="2">
        <v>0.114402770617178</v>
      </c>
      <c r="G15" s="2">
        <v>0.22880554123435609</v>
      </c>
      <c r="H15" s="2">
        <v>0.90927539613928987</v>
      </c>
      <c r="I15" s="2">
        <v>9.0724603860710129E-2</v>
      </c>
      <c r="J15" s="2">
        <v>0.18144920772142031</v>
      </c>
      <c r="K15" s="2" t="s">
        <v>12</v>
      </c>
    </row>
    <row r="16" spans="1:11" x14ac:dyDescent="0.35">
      <c r="A16" s="2" t="s">
        <v>26</v>
      </c>
      <c r="B16" s="2">
        <v>393</v>
      </c>
      <c r="C16" s="2">
        <v>311</v>
      </c>
      <c r="D16" s="2">
        <v>0.55823863636363635</v>
      </c>
      <c r="E16" s="2">
        <v>1.122218591755879E-3</v>
      </c>
      <c r="F16" s="2">
        <v>0.99913027169606761</v>
      </c>
      <c r="G16" s="2">
        <v>2.244437183511758E-3</v>
      </c>
      <c r="H16" s="2">
        <v>9.9912835415094658E-4</v>
      </c>
      <c r="I16" s="2">
        <v>0.99900087164584905</v>
      </c>
      <c r="J16" s="2">
        <v>1.9982567083018932E-3</v>
      </c>
      <c r="K16" s="2" t="s">
        <v>1</v>
      </c>
    </row>
    <row r="17" spans="1:11" x14ac:dyDescent="0.35">
      <c r="A17" s="2" t="s">
        <v>27</v>
      </c>
      <c r="B17" s="2">
        <v>271</v>
      </c>
      <c r="C17" s="2">
        <v>433</v>
      </c>
      <c r="D17" s="2">
        <v>0.38494318181818182</v>
      </c>
      <c r="E17" s="2">
        <v>0.99999999965971842</v>
      </c>
      <c r="F17" s="2">
        <v>5.5012734621003682E-10</v>
      </c>
      <c r="G17" s="2">
        <v>1.1002546924200741E-9</v>
      </c>
      <c r="H17" s="2">
        <v>0.99999999948793916</v>
      </c>
      <c r="I17" s="2">
        <v>5.1206087656329149E-10</v>
      </c>
      <c r="J17" s="2">
        <v>1.0241216763517971E-9</v>
      </c>
      <c r="K17" s="2" t="s">
        <v>2</v>
      </c>
    </row>
    <row r="18" spans="1:11" x14ac:dyDescent="0.35">
      <c r="A18" s="2" t="s">
        <v>28</v>
      </c>
      <c r="B18" s="2">
        <v>368</v>
      </c>
      <c r="C18" s="2">
        <v>336</v>
      </c>
      <c r="D18" s="2">
        <v>0.52272727272727271</v>
      </c>
      <c r="E18" s="2">
        <v>0.12132136960569349</v>
      </c>
      <c r="F18" s="2">
        <v>0.8932160997258477</v>
      </c>
      <c r="G18" s="2">
        <v>0.24264273921138699</v>
      </c>
      <c r="H18" s="2">
        <v>0.11389999699411479</v>
      </c>
      <c r="I18" s="2">
        <v>0.88610000300588521</v>
      </c>
      <c r="J18" s="2">
        <v>0.22779999398822959</v>
      </c>
      <c r="K18" s="2" t="s">
        <v>12</v>
      </c>
    </row>
    <row r="19" spans="1:11" x14ac:dyDescent="0.35">
      <c r="A19" s="2" t="s">
        <v>29</v>
      </c>
      <c r="B19" s="2">
        <v>519</v>
      </c>
      <c r="C19" s="2">
        <v>185</v>
      </c>
      <c r="D19" s="2">
        <v>0.73721590909090906</v>
      </c>
      <c r="E19" s="2">
        <v>7.7754249024820046E-38</v>
      </c>
      <c r="F19" s="2">
        <v>1</v>
      </c>
      <c r="G19" s="2">
        <v>1.5550849804964009E-37</v>
      </c>
      <c r="H19" s="2">
        <v>0</v>
      </c>
      <c r="I19" s="2">
        <v>1</v>
      </c>
      <c r="J19" s="2">
        <v>0</v>
      </c>
      <c r="K19" s="2" t="s">
        <v>1</v>
      </c>
    </row>
    <row r="20" spans="1:11" x14ac:dyDescent="0.35">
      <c r="A20" s="2" t="s">
        <v>30</v>
      </c>
      <c r="B20" s="2">
        <v>314</v>
      </c>
      <c r="C20" s="2">
        <v>390</v>
      </c>
      <c r="D20" s="2">
        <v>0.44602272727272729</v>
      </c>
      <c r="E20" s="2">
        <v>0.99816142786523809</v>
      </c>
      <c r="F20" s="2">
        <v>2.334560481166707E-3</v>
      </c>
      <c r="G20" s="2">
        <v>4.669120962333414E-3</v>
      </c>
      <c r="H20" s="2">
        <v>0.99791072121591673</v>
      </c>
      <c r="I20" s="2">
        <v>2.0892787840832449E-3</v>
      </c>
      <c r="J20" s="2">
        <v>4.178557568166541E-3</v>
      </c>
      <c r="K20" s="2" t="s">
        <v>2</v>
      </c>
    </row>
    <row r="21" spans="1:11" x14ac:dyDescent="0.35">
      <c r="A21" s="2" t="s">
        <v>31</v>
      </c>
      <c r="B21" s="2">
        <v>111</v>
      </c>
      <c r="C21" s="2">
        <v>593</v>
      </c>
      <c r="D21" s="2">
        <v>0.15767045454545461</v>
      </c>
      <c r="E21" s="2">
        <v>1</v>
      </c>
      <c r="F21" s="2">
        <v>1.043564636923742E-80</v>
      </c>
      <c r="G21" s="2">
        <v>2.0871292738474851E-80</v>
      </c>
      <c r="H21" s="2">
        <v>1</v>
      </c>
      <c r="I21" s="2">
        <v>4.7920336003613243E-74</v>
      </c>
      <c r="J21" s="2">
        <v>0</v>
      </c>
      <c r="K21" s="2" t="s">
        <v>2</v>
      </c>
    </row>
    <row r="22" spans="1:11" x14ac:dyDescent="0.35">
      <c r="A22" s="2" t="s">
        <v>32</v>
      </c>
      <c r="B22" s="2">
        <v>150</v>
      </c>
      <c r="C22" s="2">
        <v>554</v>
      </c>
      <c r="D22" s="2">
        <v>0.2130681818181818</v>
      </c>
      <c r="E22" s="2">
        <v>1</v>
      </c>
      <c r="F22" s="2">
        <v>1.4090188702553811E-55</v>
      </c>
      <c r="G22" s="2">
        <v>2.8180377405107629E-55</v>
      </c>
      <c r="H22" s="2">
        <v>1</v>
      </c>
      <c r="I22" s="2">
        <v>1.18262708332127E-52</v>
      </c>
      <c r="J22" s="2">
        <v>0</v>
      </c>
      <c r="K22" s="2" t="s">
        <v>2</v>
      </c>
    </row>
    <row r="23" spans="1:11" x14ac:dyDescent="0.35">
      <c r="A23" s="2" t="s">
        <v>33</v>
      </c>
      <c r="B23" s="2">
        <v>284</v>
      </c>
      <c r="C23" s="2">
        <v>420</v>
      </c>
      <c r="D23" s="2">
        <v>0.40340909090909088</v>
      </c>
      <c r="E23" s="2">
        <v>0.99999988863049394</v>
      </c>
      <c r="F23" s="2">
        <v>1.6698232803194559E-7</v>
      </c>
      <c r="G23" s="2">
        <v>3.3396465606389117E-7</v>
      </c>
      <c r="H23" s="2">
        <v>0.99999985177723072</v>
      </c>
      <c r="I23" s="2">
        <v>1.482227692405834E-7</v>
      </c>
      <c r="J23" s="2">
        <v>2.9644553856122968E-7</v>
      </c>
      <c r="K23" s="2" t="s">
        <v>2</v>
      </c>
    </row>
    <row r="24" spans="1:11" x14ac:dyDescent="0.35">
      <c r="A24" s="2" t="s">
        <v>34</v>
      </c>
      <c r="B24" s="2">
        <v>302</v>
      </c>
      <c r="C24" s="2">
        <v>402</v>
      </c>
      <c r="D24" s="2">
        <v>0.42897727272727271</v>
      </c>
      <c r="E24" s="2">
        <v>0.99993127286383343</v>
      </c>
      <c r="F24" s="2">
        <v>9.3132563399741616E-5</v>
      </c>
      <c r="G24" s="2">
        <v>1.8626512679948321E-4</v>
      </c>
      <c r="H24" s="2">
        <v>0.99991801303050887</v>
      </c>
      <c r="I24" s="2">
        <v>8.1986969491158737E-5</v>
      </c>
      <c r="J24" s="2">
        <v>1.6397393898226481E-4</v>
      </c>
      <c r="K24" s="2" t="s">
        <v>2</v>
      </c>
    </row>
    <row r="25" spans="1:11" x14ac:dyDescent="0.35">
      <c r="A25" s="2" t="s">
        <v>35</v>
      </c>
      <c r="B25" s="2">
        <v>430</v>
      </c>
      <c r="C25" s="2">
        <v>274</v>
      </c>
      <c r="D25" s="2">
        <v>0.61079545454545459</v>
      </c>
      <c r="E25" s="2">
        <v>2.2443084356065412E-9</v>
      </c>
      <c r="F25" s="2">
        <v>0.99999999858720068</v>
      </c>
      <c r="G25" s="2">
        <v>4.4886168712130824E-9</v>
      </c>
      <c r="H25" s="2">
        <v>2.0578957427019869E-9</v>
      </c>
      <c r="I25" s="2">
        <v>0.99999999794210426</v>
      </c>
      <c r="J25" s="2">
        <v>4.1157914854039754E-9</v>
      </c>
      <c r="K25" s="2" t="s">
        <v>1</v>
      </c>
    </row>
    <row r="26" spans="1:11" x14ac:dyDescent="0.35">
      <c r="A26" s="2" t="s">
        <v>36</v>
      </c>
      <c r="B26" s="2">
        <v>522</v>
      </c>
      <c r="C26" s="2">
        <v>182</v>
      </c>
      <c r="D26" s="2">
        <v>0.74147727272727271</v>
      </c>
      <c r="E26" s="2">
        <v>3.3845026632262342E-39</v>
      </c>
      <c r="F26" s="2">
        <v>1</v>
      </c>
      <c r="G26" s="2">
        <v>6.769005326452467E-39</v>
      </c>
      <c r="H26" s="2">
        <v>0</v>
      </c>
      <c r="I26" s="2">
        <v>1</v>
      </c>
      <c r="J26" s="2">
        <v>0</v>
      </c>
      <c r="K26" s="2" t="s">
        <v>1</v>
      </c>
    </row>
    <row r="27" spans="1:11" x14ac:dyDescent="0.35">
      <c r="A27" s="2" t="s">
        <v>37</v>
      </c>
      <c r="B27" s="2">
        <v>179</v>
      </c>
      <c r="C27" s="2">
        <v>525</v>
      </c>
      <c r="D27" s="2">
        <v>0.25426136363636359</v>
      </c>
      <c r="E27" s="2">
        <v>1</v>
      </c>
      <c r="F27" s="2">
        <v>1.378744080652062E-40</v>
      </c>
      <c r="G27" s="2">
        <v>2.7574881613041239E-40</v>
      </c>
      <c r="H27" s="2">
        <v>1</v>
      </c>
      <c r="I27" s="2">
        <v>3.6055191761920078E-39</v>
      </c>
      <c r="J27" s="2">
        <v>0</v>
      </c>
      <c r="K27" s="2" t="s">
        <v>2</v>
      </c>
    </row>
    <row r="28" spans="1:11" x14ac:dyDescent="0.35">
      <c r="A28" s="2" t="s">
        <v>38</v>
      </c>
      <c r="B28" s="2">
        <v>77</v>
      </c>
      <c r="C28" s="2">
        <v>627</v>
      </c>
      <c r="D28" s="2">
        <v>0.109375</v>
      </c>
      <c r="E28" s="2">
        <v>1</v>
      </c>
      <c r="F28" s="2">
        <v>2.283112508325887E-108</v>
      </c>
      <c r="G28" s="2">
        <v>4.5662250166517748E-108</v>
      </c>
      <c r="H28" s="2">
        <v>1</v>
      </c>
      <c r="I28" s="2">
        <v>9.5032838653949989E-96</v>
      </c>
      <c r="J28" s="2">
        <v>0</v>
      </c>
      <c r="K28" s="2" t="s">
        <v>2</v>
      </c>
    </row>
    <row r="29" spans="1:11" x14ac:dyDescent="0.35">
      <c r="A29" s="2" t="s">
        <v>39</v>
      </c>
      <c r="B29" s="2">
        <v>98</v>
      </c>
      <c r="C29" s="2">
        <v>606</v>
      </c>
      <c r="D29" s="2">
        <v>0.13920454545454539</v>
      </c>
      <c r="E29" s="2">
        <v>1</v>
      </c>
      <c r="F29" s="2">
        <v>2.3349270348625991E-91</v>
      </c>
      <c r="G29" s="2">
        <v>4.6698540697251982E-91</v>
      </c>
      <c r="H29" s="2">
        <v>1</v>
      </c>
      <c r="I29" s="2">
        <v>5.2286141792269769E-82</v>
      </c>
      <c r="J29" s="2">
        <v>0</v>
      </c>
      <c r="K29" s="2" t="s">
        <v>2</v>
      </c>
    </row>
    <row r="30" spans="1:11" x14ac:dyDescent="0.35">
      <c r="A30" s="2" t="s">
        <v>40</v>
      </c>
      <c r="B30" s="2">
        <v>212</v>
      </c>
      <c r="C30" s="2">
        <v>492</v>
      </c>
      <c r="D30" s="2">
        <v>0.30113636363636359</v>
      </c>
      <c r="E30" s="2">
        <v>1</v>
      </c>
      <c r="F30" s="2">
        <v>7.8319155503437783E-27</v>
      </c>
      <c r="G30" s="2">
        <v>1.5663831100687559E-26</v>
      </c>
      <c r="H30" s="2">
        <v>1</v>
      </c>
      <c r="I30" s="2">
        <v>2.4627260062334011E-26</v>
      </c>
      <c r="J30" s="2">
        <v>0</v>
      </c>
      <c r="K30" s="2" t="s">
        <v>2</v>
      </c>
    </row>
    <row r="31" spans="1:11" x14ac:dyDescent="0.35">
      <c r="A31" s="2" t="s">
        <v>41</v>
      </c>
      <c r="B31" s="2">
        <v>346</v>
      </c>
      <c r="C31" s="2">
        <v>358</v>
      </c>
      <c r="D31" s="2">
        <v>0.49147727272727271</v>
      </c>
      <c r="E31" s="2">
        <v>0.68790182259992472</v>
      </c>
      <c r="F31" s="2">
        <v>0.33924030681285811</v>
      </c>
      <c r="G31" s="2">
        <v>0.6784806136257161</v>
      </c>
      <c r="H31" s="2">
        <v>0.67446168296108322</v>
      </c>
      <c r="I31" s="2">
        <v>0.32553831703891678</v>
      </c>
      <c r="J31" s="2">
        <v>0.65107663407783356</v>
      </c>
      <c r="K31" s="2" t="s">
        <v>12</v>
      </c>
    </row>
    <row r="32" spans="1:11" x14ac:dyDescent="0.35">
      <c r="A32" s="2" t="s">
        <v>42</v>
      </c>
      <c r="B32" s="2">
        <v>69</v>
      </c>
      <c r="C32" s="2">
        <v>635</v>
      </c>
      <c r="D32" s="2">
        <v>9.8011363636363633E-2</v>
      </c>
      <c r="E32" s="2">
        <v>1</v>
      </c>
      <c r="F32" s="2">
        <v>7.5380420569438527E-116</v>
      </c>
      <c r="G32" s="2">
        <v>1.507608411388771E-115</v>
      </c>
      <c r="H32" s="2">
        <v>1</v>
      </c>
      <c r="I32" s="2">
        <v>2.8696703607212171E-101</v>
      </c>
      <c r="J32" s="2">
        <v>0</v>
      </c>
      <c r="K32" s="2" t="s">
        <v>2</v>
      </c>
    </row>
    <row r="33" spans="1:11" x14ac:dyDescent="0.35">
      <c r="A33" s="2" t="s">
        <v>43</v>
      </c>
      <c r="B33" s="2">
        <v>435</v>
      </c>
      <c r="C33" s="2">
        <v>269</v>
      </c>
      <c r="D33" s="2">
        <v>0.61789772727272729</v>
      </c>
      <c r="E33" s="2">
        <v>2.0924884743097259E-10</v>
      </c>
      <c r="F33" s="2">
        <v>0.99999999987208177</v>
      </c>
      <c r="G33" s="2">
        <v>4.1849769486194508E-10</v>
      </c>
      <c r="H33" s="2">
        <v>1.9703272347015849E-10</v>
      </c>
      <c r="I33" s="2">
        <v>0.99999999980296728</v>
      </c>
      <c r="J33" s="2">
        <v>3.9406544694031709E-10</v>
      </c>
      <c r="K33" s="2" t="s">
        <v>1</v>
      </c>
    </row>
    <row r="34" spans="1:11" x14ac:dyDescent="0.35">
      <c r="A34" s="2" t="s">
        <v>44</v>
      </c>
      <c r="B34" s="2">
        <v>397</v>
      </c>
      <c r="C34" s="2">
        <v>307</v>
      </c>
      <c r="D34" s="2">
        <v>0.56392045454545459</v>
      </c>
      <c r="E34" s="2">
        <v>3.9196467388036299E-4</v>
      </c>
      <c r="F34" s="2">
        <v>0.99970272376273472</v>
      </c>
      <c r="G34" s="2">
        <v>7.8392934776072597E-4</v>
      </c>
      <c r="H34" s="2">
        <v>3.4691887544968658E-4</v>
      </c>
      <c r="I34" s="2">
        <v>0.99965308112455031</v>
      </c>
      <c r="J34" s="2">
        <v>6.9383775089937316E-4</v>
      </c>
      <c r="K34" s="2" t="s">
        <v>1</v>
      </c>
    </row>
    <row r="35" spans="1:11" x14ac:dyDescent="0.35">
      <c r="A35" s="2" t="s">
        <v>45</v>
      </c>
      <c r="B35" s="2">
        <v>287</v>
      </c>
      <c r="C35" s="2">
        <v>417</v>
      </c>
      <c r="D35" s="2">
        <v>0.40767045454545447</v>
      </c>
      <c r="E35" s="2">
        <v>0.9999996309939132</v>
      </c>
      <c r="F35" s="2">
        <v>5.4387867517963772E-7</v>
      </c>
      <c r="G35" s="2">
        <v>1.087757350359275E-6</v>
      </c>
      <c r="H35" s="2">
        <v>0.99999951974083279</v>
      </c>
      <c r="I35" s="2">
        <v>4.8025916720629359E-7</v>
      </c>
      <c r="J35" s="2">
        <v>9.6051833442523105E-7</v>
      </c>
      <c r="K35" s="2" t="s">
        <v>2</v>
      </c>
    </row>
    <row r="36" spans="1:11" x14ac:dyDescent="0.35">
      <c r="A36" s="2" t="s">
        <v>46</v>
      </c>
      <c r="B36" s="2">
        <v>482</v>
      </c>
      <c r="C36" s="2">
        <v>222</v>
      </c>
      <c r="D36" s="2">
        <v>0.68465909090909094</v>
      </c>
      <c r="E36" s="2">
        <v>2.6430735322449501E-23</v>
      </c>
      <c r="F36" s="2">
        <v>1</v>
      </c>
      <c r="G36" s="2">
        <v>5.2861470644899003E-23</v>
      </c>
      <c r="H36" s="2">
        <v>0</v>
      </c>
      <c r="I36" s="2">
        <v>1</v>
      </c>
      <c r="J36" s="2">
        <v>0</v>
      </c>
      <c r="K36" s="2" t="s">
        <v>1</v>
      </c>
    </row>
    <row r="37" spans="1:11" x14ac:dyDescent="0.35">
      <c r="A37" s="2" t="s">
        <v>47</v>
      </c>
      <c r="B37" s="2">
        <v>306</v>
      </c>
      <c r="C37" s="2">
        <v>398</v>
      </c>
      <c r="D37" s="2">
        <v>0.43465909090909088</v>
      </c>
      <c r="E37" s="2">
        <v>0.99977576233067644</v>
      </c>
      <c r="F37" s="2">
        <v>2.9727623726529142E-4</v>
      </c>
      <c r="G37" s="2">
        <v>5.9455247453058272E-4</v>
      </c>
      <c r="H37" s="2">
        <v>0.99973722128086362</v>
      </c>
      <c r="I37" s="2">
        <v>2.627787191364202E-4</v>
      </c>
      <c r="J37" s="2">
        <v>5.2555743827276125E-4</v>
      </c>
      <c r="K37" s="2" t="s">
        <v>2</v>
      </c>
    </row>
    <row r="38" spans="1:11" x14ac:dyDescent="0.35">
      <c r="A38" s="2" t="s">
        <v>48</v>
      </c>
      <c r="B38" s="2">
        <v>25</v>
      </c>
      <c r="C38" s="2">
        <v>679</v>
      </c>
      <c r="D38" s="2">
        <v>3.551136363636364E-2</v>
      </c>
      <c r="E38" s="2">
        <v>1</v>
      </c>
      <c r="F38" s="2">
        <v>7.9899061529616995E-167</v>
      </c>
      <c r="G38" s="2">
        <v>1.5979812305923399E-166</v>
      </c>
      <c r="H38" s="2">
        <v>1</v>
      </c>
      <c r="I38" s="2">
        <v>1.9070133733283601E-134</v>
      </c>
      <c r="J38" s="2">
        <v>0</v>
      </c>
      <c r="K38" s="2" t="s">
        <v>2</v>
      </c>
    </row>
    <row r="39" spans="1:11" x14ac:dyDescent="0.35">
      <c r="A39" s="2" t="s">
        <v>49</v>
      </c>
      <c r="B39" s="2">
        <v>159</v>
      </c>
      <c r="C39" s="2">
        <v>545</v>
      </c>
      <c r="D39" s="2">
        <v>0.22585227272727271</v>
      </c>
      <c r="E39" s="2">
        <v>1</v>
      </c>
      <c r="F39" s="2">
        <v>1.2949402305475899E-50</v>
      </c>
      <c r="G39" s="2">
        <v>2.5898804610951798E-50</v>
      </c>
      <c r="H39" s="2">
        <v>1</v>
      </c>
      <c r="I39" s="2">
        <v>3.0101942364306642E-48</v>
      </c>
      <c r="J39" s="2">
        <v>0</v>
      </c>
      <c r="K39" s="2" t="s">
        <v>2</v>
      </c>
    </row>
    <row r="40" spans="1:11" x14ac:dyDescent="0.35">
      <c r="A40" s="2" t="s">
        <v>50</v>
      </c>
      <c r="B40" s="2">
        <v>400</v>
      </c>
      <c r="C40" s="2">
        <v>304</v>
      </c>
      <c r="D40" s="2">
        <v>0.56818181818181823</v>
      </c>
      <c r="E40" s="2">
        <v>1.682231284959967E-4</v>
      </c>
      <c r="F40" s="2">
        <v>0.99987448795888501</v>
      </c>
      <c r="G40" s="2">
        <v>3.3644625699199351E-4</v>
      </c>
      <c r="H40" s="2">
        <v>1.4836615564661759E-4</v>
      </c>
      <c r="I40" s="2">
        <v>0.99985163384435338</v>
      </c>
      <c r="J40" s="2">
        <v>2.9673231129323518E-4</v>
      </c>
      <c r="K40" s="2" t="s">
        <v>1</v>
      </c>
    </row>
    <row r="41" spans="1:11" x14ac:dyDescent="0.35">
      <c r="A41" s="2" t="s">
        <v>51</v>
      </c>
      <c r="B41" s="2">
        <v>458</v>
      </c>
      <c r="C41" s="2">
        <v>246</v>
      </c>
      <c r="D41" s="2">
        <v>0.65056818181818177</v>
      </c>
      <c r="E41" s="2">
        <v>1.045738419167208E-15</v>
      </c>
      <c r="F41" s="2">
        <v>0.99999999999999944</v>
      </c>
      <c r="G41" s="2">
        <v>2.0914768383344149E-15</v>
      </c>
      <c r="H41" s="2">
        <v>6.6613381477509392E-16</v>
      </c>
      <c r="I41" s="2">
        <v>0.99999999999999933</v>
      </c>
      <c r="J41" s="2">
        <v>1.332267629550188E-15</v>
      </c>
      <c r="K41" s="2" t="s">
        <v>1</v>
      </c>
    </row>
    <row r="42" spans="1:11" x14ac:dyDescent="0.35">
      <c r="A42" s="2" t="s">
        <v>52</v>
      </c>
      <c r="B42" s="2">
        <v>178</v>
      </c>
      <c r="C42" s="2">
        <v>526</v>
      </c>
      <c r="D42" s="2">
        <v>0.25284090909090912</v>
      </c>
      <c r="E42" s="2">
        <v>1</v>
      </c>
      <c r="F42" s="2">
        <v>4.6740756862825874E-41</v>
      </c>
      <c r="G42" s="2">
        <v>9.3481513725651747E-41</v>
      </c>
      <c r="H42" s="2">
        <v>1</v>
      </c>
      <c r="I42" s="2">
        <v>1.337727295370138E-39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151</v>
      </c>
      <c r="C43" s="2">
        <v>553</v>
      </c>
      <c r="D43" s="2">
        <v>0.21448863636363641</v>
      </c>
      <c r="E43" s="2">
        <v>1</v>
      </c>
      <c r="F43" s="2">
        <v>5.1856979116479421E-55</v>
      </c>
      <c r="G43" s="2">
        <v>1.037139582329588E-54</v>
      </c>
      <c r="H43" s="2">
        <v>1</v>
      </c>
      <c r="I43" s="2">
        <v>3.7342438086888599E-52</v>
      </c>
      <c r="J43" s="2">
        <v>0</v>
      </c>
      <c r="K43" s="2" t="s">
        <v>2</v>
      </c>
    </row>
    <row r="44" spans="1:11" x14ac:dyDescent="0.35">
      <c r="A44" s="2" t="s">
        <v>54</v>
      </c>
      <c r="B44" s="2">
        <v>248</v>
      </c>
      <c r="C44" s="2">
        <v>456</v>
      </c>
      <c r="D44" s="2">
        <v>0.35227272727272729</v>
      </c>
      <c r="E44" s="2">
        <v>0.999999999999999</v>
      </c>
      <c r="F44" s="2">
        <v>1.9408233207544449E-15</v>
      </c>
      <c r="G44" s="2">
        <v>3.8816466415088891E-15</v>
      </c>
      <c r="H44" s="2">
        <v>0.99999999999999778</v>
      </c>
      <c r="I44" s="2">
        <v>2.2654156712888781E-15</v>
      </c>
      <c r="J44" s="2">
        <v>4.4408920985006262E-15</v>
      </c>
      <c r="K44" s="2" t="s">
        <v>2</v>
      </c>
    </row>
    <row r="45" spans="1:11" x14ac:dyDescent="0.35">
      <c r="A45" s="2" t="s">
        <v>55</v>
      </c>
      <c r="B45" s="2">
        <v>200</v>
      </c>
      <c r="C45" s="2">
        <v>504</v>
      </c>
      <c r="D45" s="2">
        <v>0.28409090909090912</v>
      </c>
      <c r="E45" s="2">
        <v>1</v>
      </c>
      <c r="F45" s="2">
        <v>1.885928027292221E-31</v>
      </c>
      <c r="G45" s="2">
        <v>3.7718560545844412E-31</v>
      </c>
      <c r="H45" s="2">
        <v>1</v>
      </c>
      <c r="I45" s="2">
        <v>1.0791074548134779E-30</v>
      </c>
      <c r="J45" s="2">
        <v>0</v>
      </c>
      <c r="K45" s="2" t="s">
        <v>2</v>
      </c>
    </row>
    <row r="46" spans="1:11" x14ac:dyDescent="0.35">
      <c r="A46" s="2" t="s">
        <v>56</v>
      </c>
      <c r="B46" s="2">
        <v>387</v>
      </c>
      <c r="C46" s="2">
        <v>317</v>
      </c>
      <c r="D46" s="2">
        <v>0.54971590909090906</v>
      </c>
      <c r="E46" s="2">
        <v>4.6298355537997774E-3</v>
      </c>
      <c r="F46" s="2">
        <v>0.99629541745891781</v>
      </c>
      <c r="G46" s="2">
        <v>9.2596711075995548E-3</v>
      </c>
      <c r="H46" s="2">
        <v>4.1670722889086687E-3</v>
      </c>
      <c r="I46" s="2">
        <v>0.99583292771109133</v>
      </c>
      <c r="J46" s="2">
        <v>8.3341445778173373E-3</v>
      </c>
      <c r="K46" s="2" t="s">
        <v>1</v>
      </c>
    </row>
    <row r="47" spans="1:11" x14ac:dyDescent="0.35">
      <c r="A47" s="2" t="s">
        <v>57</v>
      </c>
      <c r="B47" s="2">
        <v>148</v>
      </c>
      <c r="C47" s="2">
        <v>556</v>
      </c>
      <c r="D47" s="2">
        <v>0.21022727272727271</v>
      </c>
      <c r="E47" s="2">
        <v>1</v>
      </c>
      <c r="F47" s="2">
        <v>1.014234386638713E-56</v>
      </c>
      <c r="G47" s="2">
        <v>2.0284687732774259E-56</v>
      </c>
      <c r="H47" s="2">
        <v>1</v>
      </c>
      <c r="I47" s="2">
        <v>1.1661822013914301E-53</v>
      </c>
      <c r="J47" s="2">
        <v>0</v>
      </c>
      <c r="K47" s="2" t="s">
        <v>2</v>
      </c>
    </row>
    <row r="48" spans="1:11" x14ac:dyDescent="0.35">
      <c r="A48" s="2" t="s">
        <v>58</v>
      </c>
      <c r="B48" s="2">
        <v>479</v>
      </c>
      <c r="C48" s="2">
        <v>225</v>
      </c>
      <c r="D48" s="2">
        <v>0.68039772727272729</v>
      </c>
      <c r="E48" s="2">
        <v>2.66113438101818E-22</v>
      </c>
      <c r="F48" s="2">
        <v>1</v>
      </c>
      <c r="G48" s="2">
        <v>5.3222687620363591E-22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400</v>
      </c>
      <c r="C49" s="2">
        <v>304</v>
      </c>
      <c r="D49" s="2">
        <v>0.56818181818181823</v>
      </c>
      <c r="E49" s="2">
        <v>1.682231284959967E-4</v>
      </c>
      <c r="F49" s="2">
        <v>0.99987448795888501</v>
      </c>
      <c r="G49" s="2">
        <v>3.3644625699199351E-4</v>
      </c>
      <c r="H49" s="2">
        <v>1.4836615564661759E-4</v>
      </c>
      <c r="I49" s="2">
        <v>0.99985163384435338</v>
      </c>
      <c r="J49" s="2">
        <v>2.9673231129323518E-4</v>
      </c>
      <c r="K49" s="2" t="s">
        <v>1</v>
      </c>
    </row>
    <row r="50" spans="1:11" x14ac:dyDescent="0.35">
      <c r="A50" s="2" t="s">
        <v>60</v>
      </c>
      <c r="B50" s="2">
        <v>298</v>
      </c>
      <c r="C50" s="2">
        <v>406</v>
      </c>
      <c r="D50" s="2">
        <v>0.42329545454545447</v>
      </c>
      <c r="E50" s="2">
        <v>0.99998071475817496</v>
      </c>
      <c r="F50" s="2">
        <v>2.6718596037924099E-5</v>
      </c>
      <c r="G50" s="2">
        <v>5.3437192075848198E-5</v>
      </c>
      <c r="H50" s="2">
        <v>0.99997653407547116</v>
      </c>
      <c r="I50" s="2">
        <v>2.3465924528857771E-5</v>
      </c>
      <c r="J50" s="2">
        <v>4.6931849057685333E-5</v>
      </c>
      <c r="K50" s="2" t="s">
        <v>2</v>
      </c>
    </row>
    <row r="51" spans="1:11" x14ac:dyDescent="0.35">
      <c r="A51" s="2" t="s">
        <v>61</v>
      </c>
      <c r="B51" s="2">
        <v>473</v>
      </c>
      <c r="C51" s="2">
        <v>231</v>
      </c>
      <c r="D51" s="2">
        <v>0.671875</v>
      </c>
      <c r="E51" s="2">
        <v>2.2664703991124299E-20</v>
      </c>
      <c r="F51" s="2">
        <v>1</v>
      </c>
      <c r="G51" s="2">
        <v>4.5329407982248592E-20</v>
      </c>
      <c r="H51" s="2">
        <v>0</v>
      </c>
      <c r="I51" s="2">
        <v>1</v>
      </c>
      <c r="J51" s="2">
        <v>0</v>
      </c>
      <c r="K51" s="2" t="s">
        <v>1</v>
      </c>
    </row>
    <row r="52" spans="1:11" x14ac:dyDescent="0.35">
      <c r="A52" s="2" t="s">
        <v>62</v>
      </c>
      <c r="B52" s="2">
        <v>221</v>
      </c>
      <c r="C52" s="2">
        <v>483</v>
      </c>
      <c r="D52" s="2">
        <v>0.31392045454545447</v>
      </c>
      <c r="E52" s="2">
        <v>1</v>
      </c>
      <c r="F52" s="2">
        <v>1.208205309470976E-23</v>
      </c>
      <c r="G52" s="2">
        <v>2.4164106189419519E-23</v>
      </c>
      <c r="H52" s="2">
        <v>1</v>
      </c>
      <c r="I52" s="2">
        <v>2.6850976645161533E-23</v>
      </c>
      <c r="J52" s="2">
        <v>0</v>
      </c>
      <c r="K52" s="2" t="s">
        <v>2</v>
      </c>
    </row>
    <row r="53" spans="1:11" x14ac:dyDescent="0.35">
      <c r="A53" s="2" t="s">
        <v>63</v>
      </c>
      <c r="B53" s="2">
        <v>1</v>
      </c>
      <c r="C53" s="2">
        <v>703</v>
      </c>
      <c r="D53" s="2">
        <v>1.4204545454545451E-3</v>
      </c>
      <c r="E53" s="2">
        <v>1</v>
      </c>
      <c r="F53" s="2">
        <v>8.376684713988048E-210</v>
      </c>
      <c r="G53" s="2">
        <v>1.6753369427976101E-209</v>
      </c>
      <c r="H53" s="2">
        <v>1</v>
      </c>
      <c r="I53" s="2">
        <v>1.490866000293287E-154</v>
      </c>
      <c r="J53" s="2">
        <v>0</v>
      </c>
      <c r="K53" s="2" t="s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362</v>
      </c>
      <c r="C2" s="2">
        <v>342</v>
      </c>
      <c r="D2" s="2">
        <v>0.51420454545454541</v>
      </c>
      <c r="E2" s="2">
        <v>0.23698086456375611</v>
      </c>
      <c r="F2" s="2">
        <v>0.78565405479424744</v>
      </c>
      <c r="G2" s="2">
        <v>0.47396172912751222</v>
      </c>
      <c r="H2" s="2">
        <v>0.225491159634442</v>
      </c>
      <c r="I2" s="2">
        <v>0.774508840365558</v>
      </c>
      <c r="J2" s="2">
        <v>0.45098231926888399</v>
      </c>
      <c r="K2" s="2" t="s">
        <v>12</v>
      </c>
    </row>
    <row r="3" spans="1:11" x14ac:dyDescent="0.35">
      <c r="A3" s="2" t="s">
        <v>13</v>
      </c>
      <c r="B3" s="2">
        <v>408</v>
      </c>
      <c r="C3" s="2">
        <v>296</v>
      </c>
      <c r="D3" s="2">
        <v>0.57954545454545459</v>
      </c>
      <c r="E3" s="2">
        <v>1.3842638494642849E-5</v>
      </c>
      <c r="F3" s="2">
        <v>0.99999011925657677</v>
      </c>
      <c r="G3" s="2">
        <v>2.7685276989285692E-5</v>
      </c>
      <c r="H3" s="2">
        <v>1.215248034736049E-5</v>
      </c>
      <c r="I3" s="2">
        <v>0.99998784751965264</v>
      </c>
      <c r="J3" s="2">
        <v>2.430496069472099E-5</v>
      </c>
      <c r="K3" s="2" t="s">
        <v>1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314</v>
      </c>
      <c r="C5" s="2">
        <v>390</v>
      </c>
      <c r="D5" s="2">
        <v>0.44602272727272729</v>
      </c>
      <c r="E5" s="2">
        <v>0.99816142786523809</v>
      </c>
      <c r="F5" s="2">
        <v>2.334560481166707E-3</v>
      </c>
      <c r="G5" s="2">
        <v>4.669120962333414E-3</v>
      </c>
      <c r="H5" s="2">
        <v>0.99791072121591673</v>
      </c>
      <c r="I5" s="2">
        <v>2.0892787840832449E-3</v>
      </c>
      <c r="J5" s="2">
        <v>4.178557568166541E-3</v>
      </c>
      <c r="K5" s="2" t="s">
        <v>2</v>
      </c>
    </row>
    <row r="6" spans="1:11" x14ac:dyDescent="0.35">
      <c r="A6" s="2" t="s">
        <v>16</v>
      </c>
      <c r="B6" s="2">
        <v>423</v>
      </c>
      <c r="C6" s="2">
        <v>281</v>
      </c>
      <c r="D6" s="2">
        <v>0.60085227272727271</v>
      </c>
      <c r="E6" s="2">
        <v>4.8695444035950358E-8</v>
      </c>
      <c r="F6" s="2">
        <v>0.99999996807690539</v>
      </c>
      <c r="G6" s="2">
        <v>9.7390888071900728E-8</v>
      </c>
      <c r="H6" s="2">
        <v>4.3535463345456549E-8</v>
      </c>
      <c r="I6" s="2">
        <v>0.99999995646453665</v>
      </c>
      <c r="J6" s="2">
        <v>8.7070926690913097E-8</v>
      </c>
      <c r="K6" s="2" t="s">
        <v>1</v>
      </c>
    </row>
    <row r="7" spans="1:11" x14ac:dyDescent="0.35">
      <c r="A7" s="2" t="s">
        <v>17</v>
      </c>
      <c r="B7" s="2">
        <v>394</v>
      </c>
      <c r="C7" s="2">
        <v>310</v>
      </c>
      <c r="D7" s="2">
        <v>0.55965909090909094</v>
      </c>
      <c r="E7" s="2">
        <v>8.6972830393244492E-4</v>
      </c>
      <c r="F7" s="2">
        <v>0.99932957240549158</v>
      </c>
      <c r="G7" s="2">
        <v>1.7394566078648901E-3</v>
      </c>
      <c r="H7" s="2">
        <v>7.7310173854039377E-4</v>
      </c>
      <c r="I7" s="2">
        <v>0.99922689826145961</v>
      </c>
      <c r="J7" s="2">
        <v>1.546203477080788E-3</v>
      </c>
      <c r="K7" s="2" t="s">
        <v>1</v>
      </c>
    </row>
    <row r="8" spans="1:11" x14ac:dyDescent="0.35">
      <c r="A8" s="2" t="s">
        <v>18</v>
      </c>
      <c r="B8" s="2">
        <v>401</v>
      </c>
      <c r="C8" s="2">
        <v>303</v>
      </c>
      <c r="D8" s="2">
        <v>0.56960227272727271</v>
      </c>
      <c r="E8" s="2">
        <v>1.2551204111500489E-4</v>
      </c>
      <c r="F8" s="2">
        <v>0.99990686743660029</v>
      </c>
      <c r="G8" s="2">
        <v>2.5102408223000972E-4</v>
      </c>
      <c r="H8" s="2">
        <v>1.105881762928362E-4</v>
      </c>
      <c r="I8" s="2">
        <v>0.99988941182370716</v>
      </c>
      <c r="J8" s="2">
        <v>2.211763525856725E-4</v>
      </c>
      <c r="K8" s="2" t="s">
        <v>1</v>
      </c>
    </row>
    <row r="9" spans="1:11" x14ac:dyDescent="0.35">
      <c r="A9" s="2" t="s">
        <v>19</v>
      </c>
      <c r="B9" s="2">
        <v>344</v>
      </c>
      <c r="C9" s="2">
        <v>360</v>
      </c>
      <c r="D9" s="2">
        <v>0.48863636363636359</v>
      </c>
      <c r="E9" s="2">
        <v>0.73913038672604903</v>
      </c>
      <c r="F9" s="2">
        <v>0.28593891061226778</v>
      </c>
      <c r="G9" s="2">
        <v>0.57187782122453568</v>
      </c>
      <c r="H9" s="2">
        <v>0.72675320229670881</v>
      </c>
      <c r="I9" s="2">
        <v>0.27324679770329119</v>
      </c>
      <c r="J9" s="2">
        <v>0.54649359540658238</v>
      </c>
      <c r="K9" s="2" t="s">
        <v>12</v>
      </c>
    </row>
    <row r="10" spans="1:11" x14ac:dyDescent="0.35">
      <c r="A10" s="2" t="s">
        <v>20</v>
      </c>
      <c r="B10" s="2">
        <v>379</v>
      </c>
      <c r="C10" s="2">
        <v>325</v>
      </c>
      <c r="D10" s="2">
        <v>0.53835227272727271</v>
      </c>
      <c r="E10" s="2">
        <v>2.284636495568472E-2</v>
      </c>
      <c r="F10" s="2">
        <v>0.98094645180629603</v>
      </c>
      <c r="G10" s="2">
        <v>4.5692729911369447E-2</v>
      </c>
      <c r="H10" s="2">
        <v>2.0915297282622421E-2</v>
      </c>
      <c r="I10" s="2">
        <v>0.97908470271737758</v>
      </c>
      <c r="J10" s="2">
        <v>4.183059456524485E-2</v>
      </c>
      <c r="K10" s="2" t="s">
        <v>1</v>
      </c>
    </row>
    <row r="11" spans="1:11" x14ac:dyDescent="0.35">
      <c r="A11" s="2" t="s">
        <v>21</v>
      </c>
      <c r="B11" s="2">
        <v>421</v>
      </c>
      <c r="C11" s="2">
        <v>283</v>
      </c>
      <c r="D11" s="2">
        <v>0.59801136363636365</v>
      </c>
      <c r="E11" s="2">
        <v>1.113695060809213E-7</v>
      </c>
      <c r="F11" s="2">
        <v>0.99999992614603173</v>
      </c>
      <c r="G11" s="2">
        <v>2.2273901216184249E-7</v>
      </c>
      <c r="H11" s="2">
        <v>9.9071855386156926E-8</v>
      </c>
      <c r="I11" s="2">
        <v>0.99999990092814461</v>
      </c>
      <c r="J11" s="2">
        <v>1.9814371077231391E-7</v>
      </c>
      <c r="K11" s="2" t="s">
        <v>1</v>
      </c>
    </row>
    <row r="12" spans="1:11" x14ac:dyDescent="0.35">
      <c r="A12" s="2" t="s">
        <v>22</v>
      </c>
      <c r="B12" s="2">
        <v>445</v>
      </c>
      <c r="C12" s="2">
        <v>259</v>
      </c>
      <c r="D12" s="2">
        <v>0.63210227272727271</v>
      </c>
      <c r="E12" s="2">
        <v>1.168289654423001E-12</v>
      </c>
      <c r="F12" s="2">
        <v>0.99999999999932698</v>
      </c>
      <c r="G12" s="2">
        <v>2.3365793088460009E-12</v>
      </c>
      <c r="H12" s="2">
        <v>1.190381127003093E-12</v>
      </c>
      <c r="I12" s="2">
        <v>0.99999999999880962</v>
      </c>
      <c r="J12" s="2">
        <v>2.3807622540061861E-12</v>
      </c>
      <c r="K12" s="2" t="s">
        <v>1</v>
      </c>
    </row>
    <row r="13" spans="1:11" x14ac:dyDescent="0.35">
      <c r="A13" s="2" t="s">
        <v>23</v>
      </c>
      <c r="B13" s="2">
        <v>405</v>
      </c>
      <c r="C13" s="2">
        <v>299</v>
      </c>
      <c r="D13" s="2">
        <v>0.57528409090909094</v>
      </c>
      <c r="E13" s="2">
        <v>3.6812046908991251E-5</v>
      </c>
      <c r="F13" s="2">
        <v>0.99997328140396202</v>
      </c>
      <c r="G13" s="2">
        <v>7.3624093817982502E-5</v>
      </c>
      <c r="H13" s="2">
        <v>3.2343670252954482E-5</v>
      </c>
      <c r="I13" s="2">
        <v>0.99996765632974705</v>
      </c>
      <c r="J13" s="2">
        <v>6.4687340505908963E-5</v>
      </c>
      <c r="K13" s="2" t="s">
        <v>1</v>
      </c>
    </row>
    <row r="14" spans="1:11" x14ac:dyDescent="0.35">
      <c r="A14" s="2" t="s">
        <v>24</v>
      </c>
      <c r="B14" s="2">
        <v>491</v>
      </c>
      <c r="C14" s="2">
        <v>213</v>
      </c>
      <c r="D14" s="2">
        <v>0.69744318181818177</v>
      </c>
      <c r="E14" s="2">
        <v>4.1928894555716279E-26</v>
      </c>
      <c r="F14" s="2">
        <v>1</v>
      </c>
      <c r="G14" s="2">
        <v>8.3857789111432569E-26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25</v>
      </c>
      <c r="B15" s="2">
        <v>56</v>
      </c>
      <c r="C15" s="2">
        <v>55</v>
      </c>
      <c r="D15" s="2">
        <v>0.50450450450450446</v>
      </c>
      <c r="E15" s="2">
        <v>0.57522490634277323</v>
      </c>
      <c r="F15" s="2">
        <v>0.50000000000000067</v>
      </c>
      <c r="G15" s="2">
        <v>1</v>
      </c>
      <c r="H15" s="2">
        <v>0.46219085346560568</v>
      </c>
      <c r="I15" s="2">
        <v>0.53780914653439427</v>
      </c>
      <c r="J15" s="2">
        <v>0.92438170693121147</v>
      </c>
      <c r="K15" s="2" t="s">
        <v>12</v>
      </c>
    </row>
    <row r="16" spans="1:11" x14ac:dyDescent="0.35">
      <c r="A16" s="2" t="s">
        <v>26</v>
      </c>
      <c r="B16" s="2">
        <v>332</v>
      </c>
      <c r="C16" s="2">
        <v>372</v>
      </c>
      <c r="D16" s="2">
        <v>0.47159090909090912</v>
      </c>
      <c r="E16" s="2">
        <v>0.93888725506558557</v>
      </c>
      <c r="F16" s="2">
        <v>7.0771444478710852E-2</v>
      </c>
      <c r="G16" s="2">
        <v>0.1415428889574217</v>
      </c>
      <c r="H16" s="2">
        <v>0.93416599198859274</v>
      </c>
      <c r="I16" s="2">
        <v>6.5834008011407277E-2</v>
      </c>
      <c r="J16" s="2">
        <v>0.1316680160228145</v>
      </c>
      <c r="K16" s="2" t="s">
        <v>12</v>
      </c>
    </row>
    <row r="17" spans="1:11" x14ac:dyDescent="0.35">
      <c r="A17" s="2" t="s">
        <v>27</v>
      </c>
      <c r="B17" s="2">
        <v>478</v>
      </c>
      <c r="C17" s="2">
        <v>226</v>
      </c>
      <c r="D17" s="2">
        <v>0.67897727272727271</v>
      </c>
      <c r="E17" s="2">
        <v>5.6723166494676379E-22</v>
      </c>
      <c r="F17" s="2">
        <v>1</v>
      </c>
      <c r="G17" s="2">
        <v>1.134463329893528E-21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28</v>
      </c>
      <c r="B18" s="2">
        <v>401</v>
      </c>
      <c r="C18" s="2">
        <v>303</v>
      </c>
      <c r="D18" s="2">
        <v>0.56960227272727271</v>
      </c>
      <c r="E18" s="2">
        <v>1.2551204111500489E-4</v>
      </c>
      <c r="F18" s="2">
        <v>0.99990686743660029</v>
      </c>
      <c r="G18" s="2">
        <v>2.5102408223000972E-4</v>
      </c>
      <c r="H18" s="2">
        <v>1.105881762928362E-4</v>
      </c>
      <c r="I18" s="2">
        <v>0.99988941182370716</v>
      </c>
      <c r="J18" s="2">
        <v>2.211763525856725E-4</v>
      </c>
      <c r="K18" s="2" t="s">
        <v>1</v>
      </c>
    </row>
    <row r="19" spans="1:11" x14ac:dyDescent="0.35">
      <c r="A19" s="2" t="s">
        <v>29</v>
      </c>
      <c r="B19" s="2">
        <v>377</v>
      </c>
      <c r="C19" s="2">
        <v>327</v>
      </c>
      <c r="D19" s="2">
        <v>0.53551136363636365</v>
      </c>
      <c r="E19" s="2">
        <v>3.2352956527301337E-2</v>
      </c>
      <c r="F19" s="2">
        <v>0.9727441946983314</v>
      </c>
      <c r="G19" s="2">
        <v>6.4705913054602687E-2</v>
      </c>
      <c r="H19" s="2">
        <v>2.975234282021488E-2</v>
      </c>
      <c r="I19" s="2">
        <v>0.97024765717978512</v>
      </c>
      <c r="J19" s="2">
        <v>5.9504685640429773E-2</v>
      </c>
      <c r="K19" s="2" t="s">
        <v>1</v>
      </c>
    </row>
    <row r="20" spans="1:11" x14ac:dyDescent="0.35">
      <c r="A20" s="2" t="s">
        <v>30</v>
      </c>
      <c r="B20" s="2">
        <v>379</v>
      </c>
      <c r="C20" s="2">
        <v>325</v>
      </c>
      <c r="D20" s="2">
        <v>0.53835227272727271</v>
      </c>
      <c r="E20" s="2">
        <v>2.284636495568472E-2</v>
      </c>
      <c r="F20" s="2">
        <v>0.98094645180629603</v>
      </c>
      <c r="G20" s="2">
        <v>4.5692729911369447E-2</v>
      </c>
      <c r="H20" s="2">
        <v>2.0915297282622421E-2</v>
      </c>
      <c r="I20" s="2">
        <v>0.97908470271737758</v>
      </c>
      <c r="J20" s="2">
        <v>4.183059456524485E-2</v>
      </c>
      <c r="K20" s="2" t="s">
        <v>1</v>
      </c>
    </row>
    <row r="21" spans="1:11" x14ac:dyDescent="0.35">
      <c r="A21" s="2" t="s">
        <v>31</v>
      </c>
      <c r="B21" s="2">
        <v>265</v>
      </c>
      <c r="C21" s="2">
        <v>439</v>
      </c>
      <c r="D21" s="2">
        <v>0.37642045454545447</v>
      </c>
      <c r="E21" s="2">
        <v>0.99999999998315936</v>
      </c>
      <c r="F21" s="2">
        <v>2.820711655906156E-11</v>
      </c>
      <c r="G21" s="2">
        <v>5.641423311812312E-11</v>
      </c>
      <c r="H21" s="2">
        <v>0.99999999997270939</v>
      </c>
      <c r="I21" s="2">
        <v>2.7290559768363851E-11</v>
      </c>
      <c r="J21" s="2">
        <v>5.4581228425831802E-11</v>
      </c>
      <c r="K21" s="2" t="s">
        <v>2</v>
      </c>
    </row>
    <row r="22" spans="1:11" x14ac:dyDescent="0.35">
      <c r="A22" s="2" t="s">
        <v>32</v>
      </c>
      <c r="B22" s="2">
        <v>424</v>
      </c>
      <c r="C22" s="2">
        <v>280</v>
      </c>
      <c r="D22" s="2">
        <v>0.60227272727272729</v>
      </c>
      <c r="E22" s="2">
        <v>3.1923094571434119E-8</v>
      </c>
      <c r="F22" s="2">
        <v>0.99999997919254269</v>
      </c>
      <c r="G22" s="2">
        <v>6.3846189142868239E-8</v>
      </c>
      <c r="H22" s="2">
        <v>2.8621812142581859E-8</v>
      </c>
      <c r="I22" s="2">
        <v>0.99999997137818786</v>
      </c>
      <c r="J22" s="2">
        <v>5.7243624285163719E-8</v>
      </c>
      <c r="K22" s="2" t="s">
        <v>1</v>
      </c>
    </row>
    <row r="23" spans="1:11" x14ac:dyDescent="0.35">
      <c r="A23" s="2" t="s">
        <v>33</v>
      </c>
      <c r="B23" s="2">
        <v>343</v>
      </c>
      <c r="C23" s="2">
        <v>361</v>
      </c>
      <c r="D23" s="2">
        <v>0.48721590909090912</v>
      </c>
      <c r="E23" s="2">
        <v>0.76301913543624389</v>
      </c>
      <c r="F23" s="2">
        <v>0.26086961327395092</v>
      </c>
      <c r="G23" s="2">
        <v>0.52173922654790184</v>
      </c>
      <c r="H23" s="2">
        <v>0.7512411119350052</v>
      </c>
      <c r="I23" s="2">
        <v>0.2487588880649948</v>
      </c>
      <c r="J23" s="2">
        <v>0.4975177761299896</v>
      </c>
      <c r="K23" s="2" t="s">
        <v>12</v>
      </c>
    </row>
    <row r="24" spans="1:11" x14ac:dyDescent="0.35">
      <c r="A24" s="2" t="s">
        <v>34</v>
      </c>
      <c r="B24" s="2">
        <v>277</v>
      </c>
      <c r="C24" s="2">
        <v>427</v>
      </c>
      <c r="D24" s="2">
        <v>0.39346590909090912</v>
      </c>
      <c r="E24" s="2">
        <v>0.99999999443458498</v>
      </c>
      <c r="F24" s="2">
        <v>8.6880052469512098E-9</v>
      </c>
      <c r="G24" s="2">
        <v>1.737601049390242E-8</v>
      </c>
      <c r="H24" s="2">
        <v>0.99999999213191548</v>
      </c>
      <c r="I24" s="2">
        <v>7.8680844944330399E-9</v>
      </c>
      <c r="J24" s="2">
        <v>1.5736169034497038E-8</v>
      </c>
      <c r="K24" s="2" t="s">
        <v>2</v>
      </c>
    </row>
    <row r="25" spans="1:11" x14ac:dyDescent="0.35">
      <c r="A25" s="2" t="s">
        <v>35</v>
      </c>
      <c r="B25" s="2">
        <v>321</v>
      </c>
      <c r="C25" s="2">
        <v>383</v>
      </c>
      <c r="D25" s="2">
        <v>0.45596590909090912</v>
      </c>
      <c r="E25" s="2">
        <v>0.99124236032330704</v>
      </c>
      <c r="F25" s="2">
        <v>1.07186411397128E-2</v>
      </c>
      <c r="G25" s="2">
        <v>2.143728227942561E-2</v>
      </c>
      <c r="H25" s="2">
        <v>0.99027294186738102</v>
      </c>
      <c r="I25" s="2">
        <v>9.7270581326189907E-3</v>
      </c>
      <c r="J25" s="2">
        <v>1.9454116265237961E-2</v>
      </c>
      <c r="K25" s="2" t="s">
        <v>2</v>
      </c>
    </row>
    <row r="26" spans="1:11" x14ac:dyDescent="0.35">
      <c r="A26" s="2" t="s">
        <v>36</v>
      </c>
      <c r="B26" s="2">
        <v>283</v>
      </c>
      <c r="C26" s="2">
        <v>421</v>
      </c>
      <c r="D26" s="2">
        <v>0.40198863636363641</v>
      </c>
      <c r="E26" s="2">
        <v>0.99999992614603173</v>
      </c>
      <c r="F26" s="2">
        <v>1.113695060809213E-7</v>
      </c>
      <c r="G26" s="2">
        <v>2.2273901216184249E-7</v>
      </c>
      <c r="H26" s="2">
        <v>0.99999990092814461</v>
      </c>
      <c r="I26" s="2">
        <v>9.9071855408947248E-8</v>
      </c>
      <c r="J26" s="2">
        <v>1.9814371077231391E-7</v>
      </c>
      <c r="K26" s="2" t="s">
        <v>2</v>
      </c>
    </row>
    <row r="27" spans="1:11" x14ac:dyDescent="0.35">
      <c r="A27" s="2" t="s">
        <v>37</v>
      </c>
      <c r="B27" s="2">
        <v>310</v>
      </c>
      <c r="C27" s="2">
        <v>394</v>
      </c>
      <c r="D27" s="2">
        <v>0.44034090909090912</v>
      </c>
      <c r="E27" s="2">
        <v>0.99932957240549158</v>
      </c>
      <c r="F27" s="2">
        <v>8.6972830393244492E-4</v>
      </c>
      <c r="G27" s="2">
        <v>1.7394566078648901E-3</v>
      </c>
      <c r="H27" s="2">
        <v>0.99922689826145961</v>
      </c>
      <c r="I27" s="2">
        <v>7.7310173854037219E-4</v>
      </c>
      <c r="J27" s="2">
        <v>1.546203477080788E-3</v>
      </c>
      <c r="K27" s="2" t="s">
        <v>2</v>
      </c>
    </row>
    <row r="28" spans="1:11" x14ac:dyDescent="0.35">
      <c r="A28" s="2" t="s">
        <v>38</v>
      </c>
      <c r="B28" s="2">
        <v>449</v>
      </c>
      <c r="C28" s="2">
        <v>255</v>
      </c>
      <c r="D28" s="2">
        <v>0.63778409090909094</v>
      </c>
      <c r="E28" s="2">
        <v>1.240624711943028E-13</v>
      </c>
      <c r="F28" s="2">
        <v>0.99999999999993028</v>
      </c>
      <c r="G28" s="2">
        <v>2.4812494238860569E-13</v>
      </c>
      <c r="H28" s="2">
        <v>1.318944953254686E-13</v>
      </c>
      <c r="I28" s="2">
        <v>0.99999999999986811</v>
      </c>
      <c r="J28" s="2">
        <v>2.6378899065093719E-13</v>
      </c>
      <c r="K28" s="2" t="s">
        <v>1</v>
      </c>
    </row>
    <row r="29" spans="1:11" x14ac:dyDescent="0.35">
      <c r="A29" s="2" t="s">
        <v>39</v>
      </c>
      <c r="B29" s="2">
        <v>361</v>
      </c>
      <c r="C29" s="2">
        <v>343</v>
      </c>
      <c r="D29" s="2">
        <v>0.51278409090909094</v>
      </c>
      <c r="E29" s="2">
        <v>0.26086961327395092</v>
      </c>
      <c r="F29" s="2">
        <v>0.76301913543624389</v>
      </c>
      <c r="G29" s="2">
        <v>0.52173922654790184</v>
      </c>
      <c r="H29" s="2">
        <v>0.2487588880649938</v>
      </c>
      <c r="I29" s="2">
        <v>0.7512411119350062</v>
      </c>
      <c r="J29" s="2">
        <v>0.4975177761299876</v>
      </c>
      <c r="K29" s="2" t="s">
        <v>12</v>
      </c>
    </row>
    <row r="30" spans="1:11" x14ac:dyDescent="0.35">
      <c r="A30" s="2" t="s">
        <v>40</v>
      </c>
      <c r="B30" s="2">
        <v>421</v>
      </c>
      <c r="C30" s="2">
        <v>283</v>
      </c>
      <c r="D30" s="2">
        <v>0.59801136363636365</v>
      </c>
      <c r="E30" s="2">
        <v>1.113695060809213E-7</v>
      </c>
      <c r="F30" s="2">
        <v>0.99999992614603173</v>
      </c>
      <c r="G30" s="2">
        <v>2.2273901216184249E-7</v>
      </c>
      <c r="H30" s="2">
        <v>9.9071855386156926E-8</v>
      </c>
      <c r="I30" s="2">
        <v>0.99999990092814461</v>
      </c>
      <c r="J30" s="2">
        <v>1.9814371077231391E-7</v>
      </c>
      <c r="K30" s="2" t="s">
        <v>1</v>
      </c>
    </row>
    <row r="31" spans="1:11" x14ac:dyDescent="0.35">
      <c r="A31" s="2" t="s">
        <v>41</v>
      </c>
      <c r="B31" s="2">
        <v>316</v>
      </c>
      <c r="C31" s="2">
        <v>388</v>
      </c>
      <c r="D31" s="2">
        <v>0.44886363636363641</v>
      </c>
      <c r="E31" s="2">
        <v>0.99705135870899886</v>
      </c>
      <c r="F31" s="2">
        <v>3.7045825410822238E-3</v>
      </c>
      <c r="G31" s="2">
        <v>7.4091650821644477E-3</v>
      </c>
      <c r="H31" s="2">
        <v>0.99667219725852529</v>
      </c>
      <c r="I31" s="2">
        <v>3.3278027414746841E-3</v>
      </c>
      <c r="J31" s="2">
        <v>6.6556054829494116E-3</v>
      </c>
      <c r="K31" s="2" t="s">
        <v>2</v>
      </c>
    </row>
    <row r="32" spans="1:11" x14ac:dyDescent="0.35">
      <c r="A32" s="2" t="s">
        <v>42</v>
      </c>
      <c r="B32" s="2">
        <v>369</v>
      </c>
      <c r="C32" s="2">
        <v>335</v>
      </c>
      <c r="D32" s="2">
        <v>0.52414772727272729</v>
      </c>
      <c r="E32" s="2">
        <v>0.1067839002741523</v>
      </c>
      <c r="F32" s="2">
        <v>0.90645347017408007</v>
      </c>
      <c r="G32" s="2">
        <v>0.21356780054830449</v>
      </c>
      <c r="H32" s="2">
        <v>0.1000225272546644</v>
      </c>
      <c r="I32" s="2">
        <v>0.89997747274533557</v>
      </c>
      <c r="J32" s="2">
        <v>0.20004505450932891</v>
      </c>
      <c r="K32" s="2" t="s">
        <v>12</v>
      </c>
    </row>
    <row r="33" spans="1:11" x14ac:dyDescent="0.35">
      <c r="A33" s="2" t="s">
        <v>43</v>
      </c>
      <c r="B33" s="2">
        <v>379</v>
      </c>
      <c r="C33" s="2">
        <v>325</v>
      </c>
      <c r="D33" s="2">
        <v>0.53835227272727271</v>
      </c>
      <c r="E33" s="2">
        <v>2.284636495568472E-2</v>
      </c>
      <c r="F33" s="2">
        <v>0.98094645180629603</v>
      </c>
      <c r="G33" s="2">
        <v>4.5692729911369447E-2</v>
      </c>
      <c r="H33" s="2">
        <v>2.0915297282622421E-2</v>
      </c>
      <c r="I33" s="2">
        <v>0.97908470271737758</v>
      </c>
      <c r="J33" s="2">
        <v>4.183059456524485E-2</v>
      </c>
      <c r="K33" s="2" t="s">
        <v>1</v>
      </c>
    </row>
    <row r="34" spans="1:11" x14ac:dyDescent="0.35">
      <c r="A34" s="2" t="s">
        <v>44</v>
      </c>
      <c r="B34" s="2">
        <v>226</v>
      </c>
      <c r="C34" s="2">
        <v>478</v>
      </c>
      <c r="D34" s="2">
        <v>0.32102272727272729</v>
      </c>
      <c r="E34" s="2">
        <v>1</v>
      </c>
      <c r="F34" s="2">
        <v>5.6723166494676379E-22</v>
      </c>
      <c r="G34" s="2">
        <v>1.134463329893528E-21</v>
      </c>
      <c r="H34" s="2">
        <v>1</v>
      </c>
      <c r="I34" s="2">
        <v>1.07384054722145E-21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366</v>
      </c>
      <c r="C35" s="2">
        <v>338</v>
      </c>
      <c r="D35" s="2">
        <v>0.51988636363636365</v>
      </c>
      <c r="E35" s="2">
        <v>0.15443289176760841</v>
      </c>
      <c r="F35" s="2">
        <v>0.86280388643582817</v>
      </c>
      <c r="G35" s="2">
        <v>0.30886578353521688</v>
      </c>
      <c r="H35" s="2">
        <v>0.14564642380890641</v>
      </c>
      <c r="I35" s="2">
        <v>0.85435357619109364</v>
      </c>
      <c r="J35" s="2">
        <v>0.29129284761781271</v>
      </c>
      <c r="K35" s="2" t="s">
        <v>12</v>
      </c>
    </row>
    <row r="36" spans="1:11" x14ac:dyDescent="0.35">
      <c r="A36" s="2" t="s">
        <v>46</v>
      </c>
      <c r="B36" s="2">
        <v>242</v>
      </c>
      <c r="C36" s="2">
        <v>462</v>
      </c>
      <c r="D36" s="2">
        <v>0.34375</v>
      </c>
      <c r="E36" s="2">
        <v>1</v>
      </c>
      <c r="F36" s="2">
        <v>4.3296064439747961E-17</v>
      </c>
      <c r="G36" s="2">
        <v>8.6592128879495922E-17</v>
      </c>
      <c r="H36" s="2">
        <v>0.99999999999999989</v>
      </c>
      <c r="I36" s="2">
        <v>5.5885434417002927E-17</v>
      </c>
      <c r="J36" s="2">
        <v>2.2204460492503131E-16</v>
      </c>
      <c r="K36" s="2" t="s">
        <v>2</v>
      </c>
    </row>
    <row r="37" spans="1:11" x14ac:dyDescent="0.35">
      <c r="A37" s="2" t="s">
        <v>47</v>
      </c>
      <c r="B37" s="2">
        <v>411</v>
      </c>
      <c r="C37" s="2">
        <v>293</v>
      </c>
      <c r="D37" s="2">
        <v>0.58380681818181823</v>
      </c>
      <c r="E37" s="2">
        <v>4.9504061134201882E-6</v>
      </c>
      <c r="F37" s="2">
        <v>0.99999652535152628</v>
      </c>
      <c r="G37" s="2">
        <v>9.9008122268403763E-6</v>
      </c>
      <c r="H37" s="2">
        <v>4.3479729709972048E-6</v>
      </c>
      <c r="I37" s="2">
        <v>0.999995652027029</v>
      </c>
      <c r="J37" s="2">
        <v>8.6959459419944096E-6</v>
      </c>
      <c r="K37" s="2" t="s">
        <v>1</v>
      </c>
    </row>
    <row r="38" spans="1:11" x14ac:dyDescent="0.35">
      <c r="A38" s="2" t="s">
        <v>48</v>
      </c>
      <c r="B38" s="2">
        <v>355</v>
      </c>
      <c r="C38" s="2">
        <v>349</v>
      </c>
      <c r="D38" s="2">
        <v>0.50426136363636365</v>
      </c>
      <c r="E38" s="2">
        <v>0.42527252356759487</v>
      </c>
      <c r="F38" s="2">
        <v>0.60403040402144836</v>
      </c>
      <c r="G38" s="2">
        <v>0.85054504713518975</v>
      </c>
      <c r="H38" s="2">
        <v>0.41054879177597958</v>
      </c>
      <c r="I38" s="2">
        <v>0.58945120822402042</v>
      </c>
      <c r="J38" s="2">
        <v>0.82109758355195916</v>
      </c>
      <c r="K38" s="2" t="s">
        <v>12</v>
      </c>
    </row>
    <row r="39" spans="1:11" x14ac:dyDescent="0.35">
      <c r="A39" s="2" t="s">
        <v>49</v>
      </c>
      <c r="B39" s="2">
        <v>475</v>
      </c>
      <c r="C39" s="2">
        <v>229</v>
      </c>
      <c r="D39" s="2">
        <v>0.67471590909090906</v>
      </c>
      <c r="E39" s="2">
        <v>5.285215232807774E-21</v>
      </c>
      <c r="F39" s="2">
        <v>1</v>
      </c>
      <c r="G39" s="2">
        <v>1.057043046561555E-20</v>
      </c>
      <c r="H39" s="2">
        <v>0</v>
      </c>
      <c r="I39" s="2">
        <v>1</v>
      </c>
      <c r="J39" s="2">
        <v>0</v>
      </c>
      <c r="K39" s="2" t="s">
        <v>1</v>
      </c>
    </row>
    <row r="40" spans="1:11" x14ac:dyDescent="0.35">
      <c r="A40" s="2" t="s">
        <v>50</v>
      </c>
      <c r="B40" s="2">
        <v>482</v>
      </c>
      <c r="C40" s="2">
        <v>222</v>
      </c>
      <c r="D40" s="2">
        <v>0.68465909090909094</v>
      </c>
      <c r="E40" s="2">
        <v>2.6430735322449501E-23</v>
      </c>
      <c r="F40" s="2">
        <v>1</v>
      </c>
      <c r="G40" s="2">
        <v>5.2861470644899003E-23</v>
      </c>
      <c r="H40" s="2">
        <v>0</v>
      </c>
      <c r="I40" s="2">
        <v>1</v>
      </c>
      <c r="J40" s="2">
        <v>0</v>
      </c>
      <c r="K40" s="2" t="s">
        <v>1</v>
      </c>
    </row>
    <row r="41" spans="1:11" x14ac:dyDescent="0.35">
      <c r="A41" s="2" t="s">
        <v>51</v>
      </c>
      <c r="B41" s="2">
        <v>463</v>
      </c>
      <c r="C41" s="2">
        <v>241</v>
      </c>
      <c r="D41" s="2">
        <v>0.65767045454545459</v>
      </c>
      <c r="E41" s="2">
        <v>2.2479212144743419E-17</v>
      </c>
      <c r="F41" s="2">
        <v>1</v>
      </c>
      <c r="G41" s="2">
        <v>4.4958424289486838E-17</v>
      </c>
      <c r="H41" s="2">
        <v>0</v>
      </c>
      <c r="I41" s="2">
        <v>1</v>
      </c>
      <c r="J41" s="2">
        <v>0</v>
      </c>
      <c r="K41" s="2" t="s">
        <v>1</v>
      </c>
    </row>
    <row r="42" spans="1:11" x14ac:dyDescent="0.35">
      <c r="A42" s="2" t="s">
        <v>52</v>
      </c>
      <c r="B42" s="2">
        <v>417</v>
      </c>
      <c r="C42" s="2">
        <v>287</v>
      </c>
      <c r="D42" s="2">
        <v>0.59232954545454541</v>
      </c>
      <c r="E42" s="2">
        <v>5.4387867517963772E-7</v>
      </c>
      <c r="F42" s="2">
        <v>0.9999996309939132</v>
      </c>
      <c r="G42" s="2">
        <v>1.087757350359275E-6</v>
      </c>
      <c r="H42" s="2">
        <v>4.8025916721261552E-7</v>
      </c>
      <c r="I42" s="2">
        <v>0.99999951974083279</v>
      </c>
      <c r="J42" s="2">
        <v>9.6051833442523105E-7</v>
      </c>
      <c r="K42" s="2" t="s">
        <v>1</v>
      </c>
    </row>
    <row r="43" spans="1:11" x14ac:dyDescent="0.35">
      <c r="A43" s="2" t="s">
        <v>53</v>
      </c>
      <c r="B43" s="2">
        <v>372</v>
      </c>
      <c r="C43" s="2">
        <v>332</v>
      </c>
      <c r="D43" s="2">
        <v>0.52840909090909094</v>
      </c>
      <c r="E43" s="2">
        <v>7.0771444478710852E-2</v>
      </c>
      <c r="F43" s="2">
        <v>0.93888725506558557</v>
      </c>
      <c r="G43" s="2">
        <v>0.1415428889574217</v>
      </c>
      <c r="H43" s="2">
        <v>6.583400801140693E-2</v>
      </c>
      <c r="I43" s="2">
        <v>0.93416599198859307</v>
      </c>
      <c r="J43" s="2">
        <v>0.13166801602281389</v>
      </c>
      <c r="K43" s="2" t="s">
        <v>12</v>
      </c>
    </row>
    <row r="44" spans="1:11" x14ac:dyDescent="0.35">
      <c r="A44" s="2" t="s">
        <v>54</v>
      </c>
      <c r="B44" s="2">
        <v>465</v>
      </c>
      <c r="C44" s="2">
        <v>239</v>
      </c>
      <c r="D44" s="2">
        <v>0.66051136363636365</v>
      </c>
      <c r="E44" s="2">
        <v>5.947395794988822E-18</v>
      </c>
      <c r="F44" s="2">
        <v>1</v>
      </c>
      <c r="G44" s="2">
        <v>1.1894791589977639E-17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330</v>
      </c>
      <c r="C45" s="2">
        <v>374</v>
      </c>
      <c r="D45" s="2">
        <v>0.46875</v>
      </c>
      <c r="E45" s="2">
        <v>0.955092866564618</v>
      </c>
      <c r="F45" s="2">
        <v>5.2515725500884958E-2</v>
      </c>
      <c r="G45" s="2">
        <v>0.1050314510017699</v>
      </c>
      <c r="H45" s="2">
        <v>0.95137278578049833</v>
      </c>
      <c r="I45" s="2">
        <v>4.8627214219501641E-2</v>
      </c>
      <c r="J45" s="2">
        <v>9.7254428439003338E-2</v>
      </c>
      <c r="K45" s="2" t="s">
        <v>12</v>
      </c>
    </row>
    <row r="46" spans="1:11" x14ac:dyDescent="0.35">
      <c r="A46" s="2" t="s">
        <v>56</v>
      </c>
      <c r="B46" s="2">
        <v>341</v>
      </c>
      <c r="C46" s="2">
        <v>363</v>
      </c>
      <c r="D46" s="2">
        <v>0.484375</v>
      </c>
      <c r="E46" s="2">
        <v>0.80697951600757256</v>
      </c>
      <c r="F46" s="2">
        <v>0.21434594520575251</v>
      </c>
      <c r="G46" s="2">
        <v>0.42869189041150513</v>
      </c>
      <c r="H46" s="2">
        <v>0.79649198636431284</v>
      </c>
      <c r="I46" s="2">
        <v>0.20350801363568721</v>
      </c>
      <c r="J46" s="2">
        <v>0.40701602727137431</v>
      </c>
      <c r="K46" s="2" t="s">
        <v>12</v>
      </c>
    </row>
    <row r="47" spans="1:11" x14ac:dyDescent="0.35">
      <c r="A47" s="2" t="s">
        <v>57</v>
      </c>
      <c r="B47" s="2">
        <v>622</v>
      </c>
      <c r="C47" s="2">
        <v>82</v>
      </c>
      <c r="D47" s="2">
        <v>0.88352272727272729</v>
      </c>
      <c r="E47" s="2">
        <v>6.7186205577721868E-104</v>
      </c>
      <c r="F47" s="2">
        <v>1</v>
      </c>
      <c r="G47" s="2">
        <v>1.3437241115544371E-103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502</v>
      </c>
      <c r="C48" s="2">
        <v>202</v>
      </c>
      <c r="D48" s="2">
        <v>0.71306818181818177</v>
      </c>
      <c r="E48" s="2">
        <v>2.9522028872401471E-30</v>
      </c>
      <c r="F48" s="2">
        <v>1</v>
      </c>
      <c r="G48" s="2">
        <v>5.9044057744802949E-30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241</v>
      </c>
      <c r="C49" s="2">
        <v>463</v>
      </c>
      <c r="D49" s="2">
        <v>0.34232954545454553</v>
      </c>
      <c r="E49" s="2">
        <v>1</v>
      </c>
      <c r="F49" s="2">
        <v>2.2479212144743419E-17</v>
      </c>
      <c r="G49" s="2">
        <v>4.4958424289486838E-17</v>
      </c>
      <c r="H49" s="2">
        <v>1</v>
      </c>
      <c r="I49" s="2">
        <v>2.9566941637776868E-17</v>
      </c>
      <c r="J49" s="2">
        <v>0</v>
      </c>
      <c r="K49" s="2" t="s">
        <v>2</v>
      </c>
    </row>
    <row r="50" spans="1:11" x14ac:dyDescent="0.35">
      <c r="A50" s="2" t="s">
        <v>60</v>
      </c>
      <c r="B50" s="2">
        <v>308</v>
      </c>
      <c r="C50" s="2">
        <v>396</v>
      </c>
      <c r="D50" s="2">
        <v>0.4375</v>
      </c>
      <c r="E50" s="2">
        <v>0.99960803532611964</v>
      </c>
      <c r="F50" s="2">
        <v>5.140143795173258E-4</v>
      </c>
      <c r="G50" s="2">
        <v>1.028028759034652E-3</v>
      </c>
      <c r="H50" s="2">
        <v>0.99954444056142311</v>
      </c>
      <c r="I50" s="2">
        <v>4.5555943857685638E-4</v>
      </c>
      <c r="J50" s="2">
        <v>9.1111887715378259E-4</v>
      </c>
      <c r="K50" s="2" t="s">
        <v>2</v>
      </c>
    </row>
    <row r="51" spans="1:11" x14ac:dyDescent="0.35">
      <c r="A51" s="2" t="s">
        <v>61</v>
      </c>
      <c r="B51" s="2">
        <v>389</v>
      </c>
      <c r="C51" s="2">
        <v>315</v>
      </c>
      <c r="D51" s="2">
        <v>0.55255681818181823</v>
      </c>
      <c r="E51" s="2">
        <v>2.9486412910011898E-3</v>
      </c>
      <c r="F51" s="2">
        <v>0.99766543951883324</v>
      </c>
      <c r="G51" s="2">
        <v>5.8972825820023797E-3</v>
      </c>
      <c r="H51" s="2">
        <v>2.6437170183449821E-3</v>
      </c>
      <c r="I51" s="2">
        <v>0.99735628298165502</v>
      </c>
      <c r="J51" s="2">
        <v>5.2874340366899641E-3</v>
      </c>
      <c r="K51" s="2" t="s">
        <v>1</v>
      </c>
    </row>
    <row r="52" spans="1:11" x14ac:dyDescent="0.35">
      <c r="A52" s="2" t="s">
        <v>62</v>
      </c>
      <c r="B52" s="2">
        <v>203</v>
      </c>
      <c r="C52" s="2">
        <v>501</v>
      </c>
      <c r="D52" s="2">
        <v>0.28835227272727271</v>
      </c>
      <c r="E52" s="2">
        <v>1</v>
      </c>
      <c r="F52" s="2">
        <v>2.9522028872401471E-30</v>
      </c>
      <c r="G52" s="2">
        <v>5.9044057744802949E-30</v>
      </c>
      <c r="H52" s="2">
        <v>1</v>
      </c>
      <c r="I52" s="2">
        <v>1.4312180335167479E-29</v>
      </c>
      <c r="J52" s="2">
        <v>0</v>
      </c>
      <c r="K52" s="2" t="s">
        <v>2</v>
      </c>
    </row>
    <row r="53" spans="1:11" x14ac:dyDescent="0.35">
      <c r="A53" s="2" t="s">
        <v>63</v>
      </c>
      <c r="B53" s="2">
        <v>631</v>
      </c>
      <c r="C53" s="2">
        <v>73</v>
      </c>
      <c r="D53" s="2">
        <v>0.89630681818181823</v>
      </c>
      <c r="E53" s="2">
        <v>4.6843790067146826E-112</v>
      </c>
      <c r="F53" s="2">
        <v>1</v>
      </c>
      <c r="G53" s="2">
        <v>9.3687580134293651E-112</v>
      </c>
      <c r="H53" s="2">
        <v>0</v>
      </c>
      <c r="I53" s="2">
        <v>1</v>
      </c>
      <c r="J53" s="2">
        <v>0</v>
      </c>
      <c r="K53" s="2" t="s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374</v>
      </c>
      <c r="C2" s="2">
        <v>330</v>
      </c>
      <c r="D2" s="2">
        <v>0.53125</v>
      </c>
      <c r="E2" s="2">
        <v>5.2515725500884958E-2</v>
      </c>
      <c r="F2" s="2">
        <v>0.955092866564618</v>
      </c>
      <c r="G2" s="2">
        <v>0.1050314510017699</v>
      </c>
      <c r="H2" s="2">
        <v>4.8627214219501669E-2</v>
      </c>
      <c r="I2" s="2">
        <v>0.95137278578049833</v>
      </c>
      <c r="J2" s="2">
        <v>9.7254428439003338E-2</v>
      </c>
      <c r="K2" s="2" t="s">
        <v>12</v>
      </c>
    </row>
    <row r="3" spans="1:11" x14ac:dyDescent="0.35">
      <c r="A3" s="2" t="s">
        <v>13</v>
      </c>
      <c r="B3" s="2">
        <v>375</v>
      </c>
      <c r="C3" s="2">
        <v>329</v>
      </c>
      <c r="D3" s="2">
        <v>0.53267045454545459</v>
      </c>
      <c r="E3" s="2">
        <v>4.4907133435382003E-2</v>
      </c>
      <c r="F3" s="2">
        <v>0.96178842758226124</v>
      </c>
      <c r="G3" s="2">
        <v>8.9814266870763992E-2</v>
      </c>
      <c r="H3" s="2">
        <v>4.1486530362206182E-2</v>
      </c>
      <c r="I3" s="2">
        <v>0.95851346963779382</v>
      </c>
      <c r="J3" s="2">
        <v>8.2973060724412351E-2</v>
      </c>
      <c r="K3" s="2" t="s">
        <v>1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324</v>
      </c>
      <c r="C5" s="2">
        <v>380</v>
      </c>
      <c r="D5" s="2">
        <v>0.46022727272727271</v>
      </c>
      <c r="E5" s="2">
        <v>0.98419030824746367</v>
      </c>
      <c r="F5" s="2">
        <v>1.9053548193704001E-2</v>
      </c>
      <c r="G5" s="2">
        <v>3.8107096387408002E-2</v>
      </c>
      <c r="H5" s="2">
        <v>0.9825957605940665</v>
      </c>
      <c r="I5" s="2">
        <v>1.7404239405933521E-2</v>
      </c>
      <c r="J5" s="2">
        <v>3.4808478811866987E-2</v>
      </c>
      <c r="K5" s="2" t="s">
        <v>2</v>
      </c>
    </row>
    <row r="6" spans="1:11" x14ac:dyDescent="0.35">
      <c r="A6" s="2" t="s">
        <v>16</v>
      </c>
      <c r="B6" s="2">
        <v>434</v>
      </c>
      <c r="C6" s="2">
        <v>270</v>
      </c>
      <c r="D6" s="2">
        <v>0.61647727272727271</v>
      </c>
      <c r="E6" s="2">
        <v>3.402815753304427E-10</v>
      </c>
      <c r="F6" s="2">
        <v>0.99999999979075116</v>
      </c>
      <c r="G6" s="2">
        <v>6.8056315066088541E-10</v>
      </c>
      <c r="H6" s="2">
        <v>3.1851921100667369E-10</v>
      </c>
      <c r="I6" s="2">
        <v>0.99999999968148079</v>
      </c>
      <c r="J6" s="2">
        <v>6.3703842201334737E-10</v>
      </c>
      <c r="K6" s="2" t="s">
        <v>1</v>
      </c>
    </row>
    <row r="7" spans="1:11" x14ac:dyDescent="0.35">
      <c r="A7" s="2" t="s">
        <v>17</v>
      </c>
      <c r="B7" s="2">
        <v>463</v>
      </c>
      <c r="C7" s="2">
        <v>241</v>
      </c>
      <c r="D7" s="2">
        <v>0.65767045454545459</v>
      </c>
      <c r="E7" s="2">
        <v>2.2479212144743419E-17</v>
      </c>
      <c r="F7" s="2">
        <v>1</v>
      </c>
      <c r="G7" s="2">
        <v>4.4958424289486838E-17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18</v>
      </c>
      <c r="B8" s="2">
        <v>423</v>
      </c>
      <c r="C8" s="2">
        <v>281</v>
      </c>
      <c r="D8" s="2">
        <v>0.60085227272727271</v>
      </c>
      <c r="E8" s="2">
        <v>4.8695444035950358E-8</v>
      </c>
      <c r="F8" s="2">
        <v>0.99999996807690539</v>
      </c>
      <c r="G8" s="2">
        <v>9.7390888071900728E-8</v>
      </c>
      <c r="H8" s="2">
        <v>4.3535463345456549E-8</v>
      </c>
      <c r="I8" s="2">
        <v>0.99999995646453665</v>
      </c>
      <c r="J8" s="2">
        <v>8.7070926690913097E-8</v>
      </c>
      <c r="K8" s="2" t="s">
        <v>1</v>
      </c>
    </row>
    <row r="9" spans="1:11" x14ac:dyDescent="0.35">
      <c r="A9" s="2" t="s">
        <v>19</v>
      </c>
      <c r="B9" s="2">
        <v>402</v>
      </c>
      <c r="C9" s="2">
        <v>302</v>
      </c>
      <c r="D9" s="2">
        <v>0.57102272727272729</v>
      </c>
      <c r="E9" s="2">
        <v>9.3132563399741616E-5</v>
      </c>
      <c r="F9" s="2">
        <v>0.99993127286383343</v>
      </c>
      <c r="G9" s="2">
        <v>1.8626512679948321E-4</v>
      </c>
      <c r="H9" s="2">
        <v>8.1986969491132378E-5</v>
      </c>
      <c r="I9" s="2">
        <v>0.99991801303050887</v>
      </c>
      <c r="J9" s="2">
        <v>1.6397393898226481E-4</v>
      </c>
      <c r="K9" s="2" t="s">
        <v>1</v>
      </c>
    </row>
    <row r="10" spans="1:11" x14ac:dyDescent="0.35">
      <c r="A10" s="2" t="s">
        <v>20</v>
      </c>
      <c r="B10" s="2">
        <v>266</v>
      </c>
      <c r="C10" s="2">
        <v>438</v>
      </c>
      <c r="D10" s="2">
        <v>0.37784090909090912</v>
      </c>
      <c r="E10" s="2">
        <v>0.9999999999717929</v>
      </c>
      <c r="F10" s="2">
        <v>4.6966155646112112E-11</v>
      </c>
      <c r="G10" s="2">
        <v>9.393231129222421E-11</v>
      </c>
      <c r="H10" s="2">
        <v>0.99999999995489064</v>
      </c>
      <c r="I10" s="2">
        <v>4.5109364091736018E-11</v>
      </c>
      <c r="J10" s="2">
        <v>9.0218721382484546E-11</v>
      </c>
      <c r="K10" s="2" t="s">
        <v>2</v>
      </c>
    </row>
    <row r="11" spans="1:11" x14ac:dyDescent="0.35">
      <c r="A11" s="2" t="s">
        <v>21</v>
      </c>
      <c r="B11" s="2">
        <v>338</v>
      </c>
      <c r="C11" s="2">
        <v>366</v>
      </c>
      <c r="D11" s="2">
        <v>0.48011363636363641</v>
      </c>
      <c r="E11" s="2">
        <v>0.86280388643582817</v>
      </c>
      <c r="F11" s="2">
        <v>0.15443289176760841</v>
      </c>
      <c r="G11" s="2">
        <v>0.30886578353521688</v>
      </c>
      <c r="H11" s="2">
        <v>0.85435357619109364</v>
      </c>
      <c r="I11" s="2">
        <v>0.1456464238089063</v>
      </c>
      <c r="J11" s="2">
        <v>0.29129284761781271</v>
      </c>
      <c r="K11" s="2" t="s">
        <v>12</v>
      </c>
    </row>
    <row r="12" spans="1:11" x14ac:dyDescent="0.35">
      <c r="A12" s="2" t="s">
        <v>22</v>
      </c>
      <c r="B12" s="2">
        <v>274</v>
      </c>
      <c r="C12" s="2">
        <v>430</v>
      </c>
      <c r="D12" s="2">
        <v>0.38920454545454553</v>
      </c>
      <c r="E12" s="2">
        <v>0.99999999858720068</v>
      </c>
      <c r="F12" s="2">
        <v>2.2443084356065412E-9</v>
      </c>
      <c r="G12" s="2">
        <v>4.4886168712130824E-9</v>
      </c>
      <c r="H12" s="2">
        <v>0.99999999794210426</v>
      </c>
      <c r="I12" s="2">
        <v>2.057895758847207E-9</v>
      </c>
      <c r="J12" s="2">
        <v>4.1157914854039754E-9</v>
      </c>
      <c r="K12" s="2" t="s">
        <v>2</v>
      </c>
    </row>
    <row r="13" spans="1:11" x14ac:dyDescent="0.35">
      <c r="A13" s="2" t="s">
        <v>23</v>
      </c>
      <c r="B13" s="2">
        <v>397</v>
      </c>
      <c r="C13" s="2">
        <v>307</v>
      </c>
      <c r="D13" s="2">
        <v>0.56392045454545459</v>
      </c>
      <c r="E13" s="2">
        <v>3.9196467388036299E-4</v>
      </c>
      <c r="F13" s="2">
        <v>0.99970272376273472</v>
      </c>
      <c r="G13" s="2">
        <v>7.8392934776072597E-4</v>
      </c>
      <c r="H13" s="2">
        <v>3.4691887544968658E-4</v>
      </c>
      <c r="I13" s="2">
        <v>0.99965308112455031</v>
      </c>
      <c r="J13" s="2">
        <v>6.9383775089937316E-4</v>
      </c>
      <c r="K13" s="2" t="s">
        <v>1</v>
      </c>
    </row>
    <row r="14" spans="1:11" x14ac:dyDescent="0.35">
      <c r="A14" s="2" t="s">
        <v>24</v>
      </c>
      <c r="B14" s="2">
        <v>247</v>
      </c>
      <c r="C14" s="2">
        <v>457</v>
      </c>
      <c r="D14" s="2">
        <v>0.35085227272727271</v>
      </c>
      <c r="E14" s="2">
        <v>0.99999999999999944</v>
      </c>
      <c r="F14" s="2">
        <v>1.045738419167208E-15</v>
      </c>
      <c r="G14" s="2">
        <v>2.0914768383344149E-15</v>
      </c>
      <c r="H14" s="2">
        <v>0.99999999999999878</v>
      </c>
      <c r="I14" s="2">
        <v>1.239520982587429E-15</v>
      </c>
      <c r="J14" s="2">
        <v>2.442490654175344E-15</v>
      </c>
      <c r="K14" s="2" t="s">
        <v>2</v>
      </c>
    </row>
    <row r="15" spans="1:11" x14ac:dyDescent="0.35">
      <c r="A15" s="2" t="s">
        <v>25</v>
      </c>
      <c r="B15" s="2">
        <v>22</v>
      </c>
      <c r="C15" s="2">
        <v>29</v>
      </c>
      <c r="D15" s="2">
        <v>0.43137254901960792</v>
      </c>
      <c r="E15" s="2">
        <v>0.86878123214447811</v>
      </c>
      <c r="F15" s="2">
        <v>0.20053099551396869</v>
      </c>
      <c r="G15" s="2">
        <v>0.40106199102793738</v>
      </c>
      <c r="H15" s="2">
        <v>0.83650532520099241</v>
      </c>
      <c r="I15" s="2">
        <v>0.16349467479900759</v>
      </c>
      <c r="J15" s="2">
        <v>0.32698934959801518</v>
      </c>
      <c r="K15" s="2" t="s">
        <v>12</v>
      </c>
    </row>
    <row r="16" spans="1:11" x14ac:dyDescent="0.35">
      <c r="A16" s="2" t="s">
        <v>26</v>
      </c>
      <c r="B16" s="2">
        <v>357</v>
      </c>
      <c r="C16" s="2">
        <v>347</v>
      </c>
      <c r="D16" s="2">
        <v>0.50710227272727271</v>
      </c>
      <c r="E16" s="2">
        <v>0.36724284954996672</v>
      </c>
      <c r="F16" s="2">
        <v>0.66075969318714201</v>
      </c>
      <c r="G16" s="2">
        <v>0.73448569909993344</v>
      </c>
      <c r="H16" s="2">
        <v>0.35312798105242671</v>
      </c>
      <c r="I16" s="2">
        <v>0.64687201894757329</v>
      </c>
      <c r="J16" s="2">
        <v>0.70625596210485342</v>
      </c>
      <c r="K16" s="2" t="s">
        <v>12</v>
      </c>
    </row>
    <row r="17" spans="1:11" x14ac:dyDescent="0.35">
      <c r="A17" s="2" t="s">
        <v>27</v>
      </c>
      <c r="B17" s="2">
        <v>233</v>
      </c>
      <c r="C17" s="2">
        <v>471</v>
      </c>
      <c r="D17" s="2">
        <v>0.33096590909090912</v>
      </c>
      <c r="E17" s="2">
        <v>1</v>
      </c>
      <c r="F17" s="2">
        <v>9.4747657568744627E-20</v>
      </c>
      <c r="G17" s="2">
        <v>1.894953151374893E-19</v>
      </c>
      <c r="H17" s="2">
        <v>1</v>
      </c>
      <c r="I17" s="2">
        <v>1.4830770024941601E-19</v>
      </c>
      <c r="J17" s="2">
        <v>0</v>
      </c>
      <c r="K17" s="2" t="s">
        <v>2</v>
      </c>
    </row>
    <row r="18" spans="1:11" x14ac:dyDescent="0.35">
      <c r="A18" s="2" t="s">
        <v>28</v>
      </c>
      <c r="B18" s="2">
        <v>268</v>
      </c>
      <c r="C18" s="2">
        <v>436</v>
      </c>
      <c r="D18" s="2">
        <v>0.38068181818181818</v>
      </c>
      <c r="E18" s="2">
        <v>0.99999999992226063</v>
      </c>
      <c r="F18" s="2">
        <v>1.279181887347529E-10</v>
      </c>
      <c r="G18" s="2">
        <v>2.5583637746950579E-10</v>
      </c>
      <c r="H18" s="2">
        <v>0.99999999987879273</v>
      </c>
      <c r="I18" s="2">
        <v>1.212072519999565E-10</v>
      </c>
      <c r="J18" s="2">
        <v>2.4241453289164378E-10</v>
      </c>
      <c r="K18" s="2" t="s">
        <v>2</v>
      </c>
    </row>
    <row r="19" spans="1:11" x14ac:dyDescent="0.35">
      <c r="A19" s="2" t="s">
        <v>29</v>
      </c>
      <c r="B19" s="2">
        <v>165</v>
      </c>
      <c r="C19" s="2">
        <v>539</v>
      </c>
      <c r="D19" s="2">
        <v>0.234375</v>
      </c>
      <c r="E19" s="2">
        <v>1</v>
      </c>
      <c r="F19" s="2">
        <v>1.83008522618505E-47</v>
      </c>
      <c r="G19" s="2">
        <v>3.6601704523700991E-47</v>
      </c>
      <c r="H19" s="2">
        <v>1</v>
      </c>
      <c r="I19" s="2">
        <v>2.0194047971297279E-45</v>
      </c>
      <c r="J19" s="2">
        <v>0</v>
      </c>
      <c r="K19" s="2" t="s">
        <v>2</v>
      </c>
    </row>
    <row r="20" spans="1:11" x14ac:dyDescent="0.35">
      <c r="A20" s="2" t="s">
        <v>30</v>
      </c>
      <c r="B20" s="2">
        <v>110</v>
      </c>
      <c r="C20" s="2">
        <v>594</v>
      </c>
      <c r="D20" s="2">
        <v>0.15625</v>
      </c>
      <c r="E20" s="2">
        <v>1</v>
      </c>
      <c r="F20" s="2">
        <v>1.945343773751816E-81</v>
      </c>
      <c r="G20" s="2">
        <v>3.890687547503632E-81</v>
      </c>
      <c r="H20" s="2">
        <v>1</v>
      </c>
      <c r="I20" s="2">
        <v>1.2100716971802989E-74</v>
      </c>
      <c r="J20" s="2">
        <v>0</v>
      </c>
      <c r="K20" s="2" t="s">
        <v>2</v>
      </c>
    </row>
    <row r="21" spans="1:11" x14ac:dyDescent="0.35">
      <c r="A21" s="2" t="s">
        <v>31</v>
      </c>
      <c r="B21" s="2">
        <v>157</v>
      </c>
      <c r="C21" s="2">
        <v>547</v>
      </c>
      <c r="D21" s="2">
        <v>0.22301136363636359</v>
      </c>
      <c r="E21" s="2">
        <v>1</v>
      </c>
      <c r="F21" s="2">
        <v>1.0820995532293509E-51</v>
      </c>
      <c r="G21" s="2">
        <v>2.164199106458701E-51</v>
      </c>
      <c r="H21" s="2">
        <v>1</v>
      </c>
      <c r="I21" s="2">
        <v>3.2865195622025901E-49</v>
      </c>
      <c r="J21" s="2">
        <v>0</v>
      </c>
      <c r="K21" s="2" t="s">
        <v>2</v>
      </c>
    </row>
    <row r="22" spans="1:11" x14ac:dyDescent="0.35">
      <c r="A22" s="2" t="s">
        <v>32</v>
      </c>
      <c r="B22" s="2">
        <v>330</v>
      </c>
      <c r="C22" s="2">
        <v>374</v>
      </c>
      <c r="D22" s="2">
        <v>0.46875</v>
      </c>
      <c r="E22" s="2">
        <v>0.955092866564618</v>
      </c>
      <c r="F22" s="2">
        <v>5.2515725500884958E-2</v>
      </c>
      <c r="G22" s="2">
        <v>0.1050314510017699</v>
      </c>
      <c r="H22" s="2">
        <v>0.95137278578049833</v>
      </c>
      <c r="I22" s="2">
        <v>4.8627214219501641E-2</v>
      </c>
      <c r="J22" s="2">
        <v>9.7254428439003338E-2</v>
      </c>
      <c r="K22" s="2" t="s">
        <v>12</v>
      </c>
    </row>
    <row r="23" spans="1:11" x14ac:dyDescent="0.35">
      <c r="A23" s="2" t="s">
        <v>33</v>
      </c>
      <c r="B23" s="2">
        <v>171</v>
      </c>
      <c r="C23" s="2">
        <v>533</v>
      </c>
      <c r="D23" s="2">
        <v>0.24289772727272729</v>
      </c>
      <c r="E23" s="2">
        <v>1</v>
      </c>
      <c r="F23" s="2">
        <v>1.948076402871339E-44</v>
      </c>
      <c r="G23" s="2">
        <v>3.8961528057426781E-44</v>
      </c>
      <c r="H23" s="2">
        <v>1</v>
      </c>
      <c r="I23" s="2">
        <v>1.1052324561334901E-42</v>
      </c>
      <c r="J23" s="2">
        <v>0</v>
      </c>
      <c r="K23" s="2" t="s">
        <v>2</v>
      </c>
    </row>
    <row r="24" spans="1:11" x14ac:dyDescent="0.35">
      <c r="A24" s="2" t="s">
        <v>34</v>
      </c>
      <c r="B24" s="2">
        <v>233</v>
      </c>
      <c r="C24" s="2">
        <v>471</v>
      </c>
      <c r="D24" s="2">
        <v>0.33096590909090912</v>
      </c>
      <c r="E24" s="2">
        <v>1</v>
      </c>
      <c r="F24" s="2">
        <v>9.4747657568744627E-20</v>
      </c>
      <c r="G24" s="2">
        <v>1.894953151374893E-19</v>
      </c>
      <c r="H24" s="2">
        <v>1</v>
      </c>
      <c r="I24" s="2">
        <v>1.4830770024941601E-19</v>
      </c>
      <c r="J24" s="2">
        <v>0</v>
      </c>
      <c r="K24" s="2" t="s">
        <v>2</v>
      </c>
    </row>
    <row r="25" spans="1:11" x14ac:dyDescent="0.35">
      <c r="A25" s="2" t="s">
        <v>35</v>
      </c>
      <c r="B25" s="2">
        <v>330</v>
      </c>
      <c r="C25" s="2">
        <v>374</v>
      </c>
      <c r="D25" s="2">
        <v>0.46875</v>
      </c>
      <c r="E25" s="2">
        <v>0.955092866564618</v>
      </c>
      <c r="F25" s="2">
        <v>5.2515725500884958E-2</v>
      </c>
      <c r="G25" s="2">
        <v>0.1050314510017699</v>
      </c>
      <c r="H25" s="2">
        <v>0.95137278578049833</v>
      </c>
      <c r="I25" s="2">
        <v>4.8627214219501641E-2</v>
      </c>
      <c r="J25" s="2">
        <v>9.7254428439003338E-2</v>
      </c>
      <c r="K25" s="2" t="s">
        <v>12</v>
      </c>
    </row>
    <row r="26" spans="1:11" x14ac:dyDescent="0.35">
      <c r="A26" s="2" t="s">
        <v>36</v>
      </c>
      <c r="B26" s="2">
        <v>384</v>
      </c>
      <c r="C26" s="2">
        <v>320</v>
      </c>
      <c r="D26" s="2">
        <v>0.54545454545454541</v>
      </c>
      <c r="E26" s="2">
        <v>8.7576396766929094E-3</v>
      </c>
      <c r="F26" s="2">
        <v>0.99288163498380022</v>
      </c>
      <c r="G26" s="2">
        <v>1.7515279353385819E-2</v>
      </c>
      <c r="H26" s="2">
        <v>7.9306663698865965E-3</v>
      </c>
      <c r="I26" s="2">
        <v>0.9920693336301134</v>
      </c>
      <c r="J26" s="2">
        <v>1.5861332739773189E-2</v>
      </c>
      <c r="K26" s="2" t="s">
        <v>1</v>
      </c>
    </row>
    <row r="27" spans="1:11" x14ac:dyDescent="0.35">
      <c r="A27" s="2" t="s">
        <v>37</v>
      </c>
      <c r="B27" s="2">
        <v>335</v>
      </c>
      <c r="C27" s="2">
        <v>369</v>
      </c>
      <c r="D27" s="2">
        <v>0.47585227272727271</v>
      </c>
      <c r="E27" s="2">
        <v>0.90645347017408007</v>
      </c>
      <c r="F27" s="2">
        <v>0.1067839002741523</v>
      </c>
      <c r="G27" s="2">
        <v>0.21356780054830449</v>
      </c>
      <c r="H27" s="2">
        <v>0.89997747274533557</v>
      </c>
      <c r="I27" s="2">
        <v>0.1000225272546645</v>
      </c>
      <c r="J27" s="2">
        <v>0.20004505450932891</v>
      </c>
      <c r="K27" s="2" t="s">
        <v>12</v>
      </c>
    </row>
    <row r="28" spans="1:11" x14ac:dyDescent="0.35">
      <c r="A28" s="2" t="s">
        <v>38</v>
      </c>
      <c r="B28" s="2">
        <v>549</v>
      </c>
      <c r="C28" s="2">
        <v>155</v>
      </c>
      <c r="D28" s="2">
        <v>0.77982954545454541</v>
      </c>
      <c r="E28" s="2">
        <v>8.7522698247480294E-53</v>
      </c>
      <c r="F28" s="2">
        <v>1</v>
      </c>
      <c r="G28" s="2">
        <v>1.7504539649496059E-52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468</v>
      </c>
      <c r="C29" s="2">
        <v>236</v>
      </c>
      <c r="D29" s="2">
        <v>0.66477272727272729</v>
      </c>
      <c r="E29" s="2">
        <v>7.7224614927399764E-19</v>
      </c>
      <c r="F29" s="2">
        <v>1</v>
      </c>
      <c r="G29" s="2">
        <v>1.5444922985479951E-18</v>
      </c>
      <c r="H29" s="2">
        <v>0</v>
      </c>
      <c r="I29" s="2">
        <v>1</v>
      </c>
      <c r="J29" s="2">
        <v>0</v>
      </c>
      <c r="K29" s="2" t="s">
        <v>1</v>
      </c>
    </row>
    <row r="30" spans="1:11" x14ac:dyDescent="0.35">
      <c r="A30" s="2" t="s">
        <v>40</v>
      </c>
      <c r="B30" s="2">
        <v>179</v>
      </c>
      <c r="C30" s="2">
        <v>525</v>
      </c>
      <c r="D30" s="2">
        <v>0.25426136363636359</v>
      </c>
      <c r="E30" s="2">
        <v>1</v>
      </c>
      <c r="F30" s="2">
        <v>1.378744080652062E-40</v>
      </c>
      <c r="G30" s="2">
        <v>2.7574881613041239E-40</v>
      </c>
      <c r="H30" s="2">
        <v>1</v>
      </c>
      <c r="I30" s="2">
        <v>3.6055191761920078E-39</v>
      </c>
      <c r="J30" s="2">
        <v>0</v>
      </c>
      <c r="K30" s="2" t="s">
        <v>2</v>
      </c>
    </row>
    <row r="31" spans="1:11" x14ac:dyDescent="0.35">
      <c r="A31" s="2" t="s">
        <v>41</v>
      </c>
      <c r="B31" s="2">
        <v>206</v>
      </c>
      <c r="C31" s="2">
        <v>498</v>
      </c>
      <c r="D31" s="2">
        <v>0.29261363636363641</v>
      </c>
      <c r="E31" s="2">
        <v>1</v>
      </c>
      <c r="F31" s="2">
        <v>4.3442945899577279E-29</v>
      </c>
      <c r="G31" s="2">
        <v>8.6885891799154569E-29</v>
      </c>
      <c r="H31" s="2">
        <v>1</v>
      </c>
      <c r="I31" s="2">
        <v>1.8042922837426549E-28</v>
      </c>
      <c r="J31" s="2">
        <v>0</v>
      </c>
      <c r="K31" s="2" t="s">
        <v>2</v>
      </c>
    </row>
    <row r="32" spans="1:11" x14ac:dyDescent="0.35">
      <c r="A32" s="2" t="s">
        <v>42</v>
      </c>
      <c r="B32" s="2">
        <v>461</v>
      </c>
      <c r="C32" s="2">
        <v>243</v>
      </c>
      <c r="D32" s="2">
        <v>0.65482954545454541</v>
      </c>
      <c r="E32" s="2">
        <v>8.2873783617900435E-17</v>
      </c>
      <c r="F32" s="2">
        <v>1</v>
      </c>
      <c r="G32" s="2">
        <v>1.6574756723580089E-16</v>
      </c>
      <c r="H32" s="2">
        <v>1.110223024625157E-16</v>
      </c>
      <c r="I32" s="2">
        <v>0.99999999999999989</v>
      </c>
      <c r="J32" s="2">
        <v>2.2204460492503131E-16</v>
      </c>
      <c r="K32" s="2" t="s">
        <v>1</v>
      </c>
    </row>
    <row r="33" spans="1:11" x14ac:dyDescent="0.35">
      <c r="A33" s="2" t="s">
        <v>43</v>
      </c>
      <c r="B33" s="2">
        <v>437</v>
      </c>
      <c r="C33" s="2">
        <v>267</v>
      </c>
      <c r="D33" s="2">
        <v>0.62073863636363635</v>
      </c>
      <c r="E33" s="2">
        <v>7.773941077768152E-11</v>
      </c>
      <c r="F33" s="2">
        <v>0.99999999995303379</v>
      </c>
      <c r="G33" s="2">
        <v>1.5547882155536299E-10</v>
      </c>
      <c r="H33" s="2">
        <v>7.414890923485018E-11</v>
      </c>
      <c r="I33" s="2">
        <v>0.99999999992585109</v>
      </c>
      <c r="J33" s="2">
        <v>1.4829781846970041E-10</v>
      </c>
      <c r="K33" s="2" t="s">
        <v>1</v>
      </c>
    </row>
    <row r="34" spans="1:11" x14ac:dyDescent="0.35">
      <c r="A34" s="2" t="s">
        <v>44</v>
      </c>
      <c r="B34" s="2">
        <v>519</v>
      </c>
      <c r="C34" s="2">
        <v>185</v>
      </c>
      <c r="D34" s="2">
        <v>0.73721590909090906</v>
      </c>
      <c r="E34" s="2">
        <v>7.7754249024820046E-38</v>
      </c>
      <c r="F34" s="2">
        <v>1</v>
      </c>
      <c r="G34" s="2">
        <v>1.5550849804964009E-37</v>
      </c>
      <c r="H34" s="2">
        <v>0</v>
      </c>
      <c r="I34" s="2">
        <v>1</v>
      </c>
      <c r="J34" s="2">
        <v>0</v>
      </c>
      <c r="K34" s="2" t="s">
        <v>1</v>
      </c>
    </row>
    <row r="35" spans="1:11" x14ac:dyDescent="0.35">
      <c r="A35" s="2" t="s">
        <v>45</v>
      </c>
      <c r="B35" s="2">
        <v>497</v>
      </c>
      <c r="C35" s="2">
        <v>207</v>
      </c>
      <c r="D35" s="2">
        <v>0.70596590909090906</v>
      </c>
      <c r="E35" s="2">
        <v>1.050152150140678E-28</v>
      </c>
      <c r="F35" s="2">
        <v>1</v>
      </c>
      <c r="G35" s="2">
        <v>2.1003043002813569E-28</v>
      </c>
      <c r="H35" s="2">
        <v>0</v>
      </c>
      <c r="I35" s="2">
        <v>1</v>
      </c>
      <c r="J35" s="2">
        <v>0</v>
      </c>
      <c r="K35" s="2" t="s">
        <v>1</v>
      </c>
    </row>
    <row r="36" spans="1:11" x14ac:dyDescent="0.35">
      <c r="A36" s="2" t="s">
        <v>46</v>
      </c>
      <c r="B36" s="2">
        <v>415</v>
      </c>
      <c r="C36" s="2">
        <v>289</v>
      </c>
      <c r="D36" s="2">
        <v>0.58948863636363635</v>
      </c>
      <c r="E36" s="2">
        <v>1.161548776651688E-6</v>
      </c>
      <c r="F36" s="2">
        <v>0.99999920292038957</v>
      </c>
      <c r="G36" s="2">
        <v>2.323097553303376E-6</v>
      </c>
      <c r="H36" s="2">
        <v>1.023117284004726E-6</v>
      </c>
      <c r="I36" s="2">
        <v>0.999998976882716</v>
      </c>
      <c r="J36" s="2">
        <v>2.0462345680094529E-6</v>
      </c>
      <c r="K36" s="2" t="s">
        <v>1</v>
      </c>
    </row>
    <row r="37" spans="1:11" x14ac:dyDescent="0.35">
      <c r="A37" s="2" t="s">
        <v>47</v>
      </c>
      <c r="B37" s="2">
        <v>188</v>
      </c>
      <c r="C37" s="2">
        <v>516</v>
      </c>
      <c r="D37" s="2">
        <v>0.26704545454545447</v>
      </c>
      <c r="E37" s="2">
        <v>1</v>
      </c>
      <c r="F37" s="2">
        <v>1.672935226012477E-36</v>
      </c>
      <c r="G37" s="2">
        <v>3.3458704520249527E-36</v>
      </c>
      <c r="H37" s="2">
        <v>1</v>
      </c>
      <c r="I37" s="2">
        <v>2.0988391493379791E-35</v>
      </c>
      <c r="J37" s="2">
        <v>0</v>
      </c>
      <c r="K37" s="2" t="s">
        <v>2</v>
      </c>
    </row>
    <row r="38" spans="1:11" x14ac:dyDescent="0.35">
      <c r="A38" s="2" t="s">
        <v>48</v>
      </c>
      <c r="B38" s="2">
        <v>624</v>
      </c>
      <c r="C38" s="2">
        <v>80</v>
      </c>
      <c r="D38" s="2">
        <v>0.88636363636363635</v>
      </c>
      <c r="E38" s="2">
        <v>1.143154095141778E-105</v>
      </c>
      <c r="F38" s="2">
        <v>1</v>
      </c>
      <c r="G38" s="2">
        <v>2.286308190283556E-105</v>
      </c>
      <c r="H38" s="2">
        <v>0</v>
      </c>
      <c r="I38" s="2">
        <v>1</v>
      </c>
      <c r="J38" s="2">
        <v>0</v>
      </c>
      <c r="K38" s="2" t="s">
        <v>1</v>
      </c>
    </row>
    <row r="39" spans="1:11" x14ac:dyDescent="0.35">
      <c r="A39" s="2" t="s">
        <v>49</v>
      </c>
      <c r="B39" s="2">
        <v>534</v>
      </c>
      <c r="C39" s="2">
        <v>170</v>
      </c>
      <c r="D39" s="2">
        <v>0.75852272727272729</v>
      </c>
      <c r="E39" s="2">
        <v>6.2158512455527271E-45</v>
      </c>
      <c r="F39" s="2">
        <v>1</v>
      </c>
      <c r="G39" s="2">
        <v>1.2431702491105449E-44</v>
      </c>
      <c r="H39" s="2">
        <v>0</v>
      </c>
      <c r="I39" s="2">
        <v>1</v>
      </c>
      <c r="J39" s="2">
        <v>0</v>
      </c>
      <c r="K39" s="2" t="s">
        <v>1</v>
      </c>
    </row>
    <row r="40" spans="1:11" x14ac:dyDescent="0.35">
      <c r="A40" s="2" t="s">
        <v>50</v>
      </c>
      <c r="B40" s="2">
        <v>420</v>
      </c>
      <c r="C40" s="2">
        <v>284</v>
      </c>
      <c r="D40" s="2">
        <v>0.59659090909090906</v>
      </c>
      <c r="E40" s="2">
        <v>1.6698232803194559E-7</v>
      </c>
      <c r="F40" s="2">
        <v>0.99999988863049394</v>
      </c>
      <c r="G40" s="2">
        <v>3.3396465606389117E-7</v>
      </c>
      <c r="H40" s="2">
        <v>1.4822276928061479E-7</v>
      </c>
      <c r="I40" s="2">
        <v>0.99999985177723072</v>
      </c>
      <c r="J40" s="2">
        <v>2.9644553856122968E-7</v>
      </c>
      <c r="K40" s="2" t="s">
        <v>1</v>
      </c>
    </row>
    <row r="41" spans="1:11" x14ac:dyDescent="0.35">
      <c r="A41" s="2" t="s">
        <v>51</v>
      </c>
      <c r="B41" s="2">
        <v>255</v>
      </c>
      <c r="C41" s="2">
        <v>449</v>
      </c>
      <c r="D41" s="2">
        <v>0.36221590909090912</v>
      </c>
      <c r="E41" s="2">
        <v>0.99999999999993028</v>
      </c>
      <c r="F41" s="2">
        <v>1.240624711943028E-13</v>
      </c>
      <c r="G41" s="2">
        <v>2.4812494238860569E-13</v>
      </c>
      <c r="H41" s="2">
        <v>0.99999999999986811</v>
      </c>
      <c r="I41" s="2">
        <v>1.319407581265117E-13</v>
      </c>
      <c r="J41" s="2">
        <v>2.6378899065093719E-13</v>
      </c>
      <c r="K41" s="2" t="s">
        <v>2</v>
      </c>
    </row>
    <row r="42" spans="1:11" x14ac:dyDescent="0.35">
      <c r="A42" s="2" t="s">
        <v>52</v>
      </c>
      <c r="B42" s="2">
        <v>549</v>
      </c>
      <c r="C42" s="2">
        <v>155</v>
      </c>
      <c r="D42" s="2">
        <v>0.77982954545454541</v>
      </c>
      <c r="E42" s="2">
        <v>8.7522698247480294E-53</v>
      </c>
      <c r="F42" s="2">
        <v>1</v>
      </c>
      <c r="G42" s="2">
        <v>1.7504539649496059E-52</v>
      </c>
      <c r="H42" s="2">
        <v>0</v>
      </c>
      <c r="I42" s="2">
        <v>1</v>
      </c>
      <c r="J42" s="2">
        <v>0</v>
      </c>
      <c r="K42" s="2" t="s">
        <v>1</v>
      </c>
    </row>
    <row r="43" spans="1:11" x14ac:dyDescent="0.35">
      <c r="A43" s="2" t="s">
        <v>53</v>
      </c>
      <c r="B43" s="2">
        <v>558</v>
      </c>
      <c r="C43" s="2">
        <v>146</v>
      </c>
      <c r="D43" s="2">
        <v>0.79261363636363635</v>
      </c>
      <c r="E43" s="2">
        <v>7.0562677454433879E-58</v>
      </c>
      <c r="F43" s="2">
        <v>1</v>
      </c>
      <c r="G43" s="2">
        <v>1.4112535490886779E-57</v>
      </c>
      <c r="H43" s="2">
        <v>0</v>
      </c>
      <c r="I43" s="2">
        <v>1</v>
      </c>
      <c r="J43" s="2">
        <v>0</v>
      </c>
      <c r="K43" s="2" t="s">
        <v>1</v>
      </c>
    </row>
    <row r="44" spans="1:11" x14ac:dyDescent="0.35">
      <c r="A44" s="2" t="s">
        <v>54</v>
      </c>
      <c r="B44" s="2">
        <v>584</v>
      </c>
      <c r="C44" s="2">
        <v>120</v>
      </c>
      <c r="D44" s="2">
        <v>0.82954545454545459</v>
      </c>
      <c r="E44" s="2">
        <v>2.3998560594315532E-74</v>
      </c>
      <c r="F44" s="2">
        <v>1</v>
      </c>
      <c r="G44" s="2">
        <v>4.7997121188631064E-74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552</v>
      </c>
      <c r="C45" s="2">
        <v>152</v>
      </c>
      <c r="D45" s="2">
        <v>0.78409090909090906</v>
      </c>
      <c r="E45" s="2">
        <v>1.8925852581976919E-54</v>
      </c>
      <c r="F45" s="2">
        <v>1</v>
      </c>
      <c r="G45" s="2">
        <v>3.785170516395385E-54</v>
      </c>
      <c r="H45" s="2">
        <v>0</v>
      </c>
      <c r="I45" s="2">
        <v>1</v>
      </c>
      <c r="J45" s="2">
        <v>0</v>
      </c>
      <c r="K45" s="2" t="s">
        <v>1</v>
      </c>
    </row>
    <row r="46" spans="1:11" x14ac:dyDescent="0.35">
      <c r="A46" s="2" t="s">
        <v>56</v>
      </c>
      <c r="B46" s="2">
        <v>480</v>
      </c>
      <c r="C46" s="2">
        <v>224</v>
      </c>
      <c r="D46" s="2">
        <v>0.68181818181818177</v>
      </c>
      <c r="E46" s="2">
        <v>2.66113438101818E-22</v>
      </c>
      <c r="F46" s="2">
        <v>1</v>
      </c>
      <c r="G46" s="2">
        <v>5.3222687620363591E-22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526</v>
      </c>
      <c r="C47" s="2">
        <v>178</v>
      </c>
      <c r="D47" s="2">
        <v>0.74715909090909094</v>
      </c>
      <c r="E47" s="2">
        <v>4.6740756862825874E-41</v>
      </c>
      <c r="F47" s="2">
        <v>1</v>
      </c>
      <c r="G47" s="2">
        <v>9.3481513725651747E-41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230</v>
      </c>
      <c r="C48" s="2">
        <v>474</v>
      </c>
      <c r="D48" s="2">
        <v>0.32670454545454553</v>
      </c>
      <c r="E48" s="2">
        <v>1</v>
      </c>
      <c r="F48" s="2">
        <v>1.097977112383042E-20</v>
      </c>
      <c r="G48" s="2">
        <v>2.195954224766083E-20</v>
      </c>
      <c r="H48" s="2">
        <v>1</v>
      </c>
      <c r="I48" s="2">
        <v>1.8559548768900859E-20</v>
      </c>
      <c r="J48" s="2">
        <v>0</v>
      </c>
      <c r="K48" s="2" t="s">
        <v>2</v>
      </c>
    </row>
    <row r="49" spans="1:11" x14ac:dyDescent="0.35">
      <c r="A49" s="2" t="s">
        <v>59</v>
      </c>
      <c r="B49" s="2">
        <v>186</v>
      </c>
      <c r="C49" s="2">
        <v>518</v>
      </c>
      <c r="D49" s="2">
        <v>0.26420454545454553</v>
      </c>
      <c r="E49" s="2">
        <v>1</v>
      </c>
      <c r="F49" s="2">
        <v>2.178335365085946E-37</v>
      </c>
      <c r="G49" s="2">
        <v>4.356670730171892E-37</v>
      </c>
      <c r="H49" s="2">
        <v>1</v>
      </c>
      <c r="I49" s="2">
        <v>3.180377913453164E-36</v>
      </c>
      <c r="J49" s="2">
        <v>0</v>
      </c>
      <c r="K49" s="2" t="s">
        <v>2</v>
      </c>
    </row>
    <row r="50" spans="1:11" x14ac:dyDescent="0.35">
      <c r="A50" s="2" t="s">
        <v>60</v>
      </c>
      <c r="B50" s="2">
        <v>217</v>
      </c>
      <c r="C50" s="2">
        <v>487</v>
      </c>
      <c r="D50" s="2">
        <v>0.30823863636363641</v>
      </c>
      <c r="E50" s="2">
        <v>1</v>
      </c>
      <c r="F50" s="2">
        <v>4.9411160066861492E-25</v>
      </c>
      <c r="G50" s="2">
        <v>9.8822320133722983E-25</v>
      </c>
      <c r="H50" s="2">
        <v>1</v>
      </c>
      <c r="I50" s="2">
        <v>1.268795996811758E-24</v>
      </c>
      <c r="J50" s="2">
        <v>0</v>
      </c>
      <c r="K50" s="2" t="s">
        <v>2</v>
      </c>
    </row>
    <row r="51" spans="1:11" x14ac:dyDescent="0.35">
      <c r="A51" s="2" t="s">
        <v>61</v>
      </c>
      <c r="B51" s="2">
        <v>428</v>
      </c>
      <c r="C51" s="2">
        <v>276</v>
      </c>
      <c r="D51" s="2">
        <v>0.60795454545454541</v>
      </c>
      <c r="E51" s="2">
        <v>5.5654150471749074E-9</v>
      </c>
      <c r="F51" s="2">
        <v>0.99999999645551363</v>
      </c>
      <c r="G51" s="2">
        <v>1.113083009434981E-8</v>
      </c>
      <c r="H51" s="2">
        <v>5.0596956624460176E-9</v>
      </c>
      <c r="I51" s="2">
        <v>0.99999999494030434</v>
      </c>
      <c r="J51" s="2">
        <v>1.011939132489204E-8</v>
      </c>
      <c r="K51" s="2" t="s">
        <v>1</v>
      </c>
    </row>
    <row r="52" spans="1:11" x14ac:dyDescent="0.35">
      <c r="A52" s="2" t="s">
        <v>62</v>
      </c>
      <c r="B52" s="2">
        <v>453</v>
      </c>
      <c r="C52" s="2">
        <v>251</v>
      </c>
      <c r="D52" s="2">
        <v>0.64346590909090906</v>
      </c>
      <c r="E52" s="2">
        <v>1.1959484177270701E-14</v>
      </c>
      <c r="F52" s="2">
        <v>0.99999999999999345</v>
      </c>
      <c r="G52" s="2">
        <v>2.3918968354541401E-14</v>
      </c>
      <c r="H52" s="2">
        <v>1.332267629550188E-14</v>
      </c>
      <c r="I52" s="2">
        <v>0.99999999999998668</v>
      </c>
      <c r="J52" s="2">
        <v>2.664535259100376E-14</v>
      </c>
      <c r="K52" s="2" t="s">
        <v>1</v>
      </c>
    </row>
    <row r="53" spans="1:11" x14ac:dyDescent="0.35">
      <c r="A53" s="2" t="s">
        <v>63</v>
      </c>
      <c r="B53" s="2">
        <v>676</v>
      </c>
      <c r="C53" s="2">
        <v>28</v>
      </c>
      <c r="D53" s="2">
        <v>0.96022727272727271</v>
      </c>
      <c r="E53" s="2">
        <v>1.2729379227998621E-162</v>
      </c>
      <c r="F53" s="2">
        <v>1</v>
      </c>
      <c r="G53" s="2">
        <v>2.5458758455997231E-162</v>
      </c>
      <c r="H53" s="2">
        <v>0</v>
      </c>
      <c r="I53" s="2">
        <v>1</v>
      </c>
      <c r="J53" s="2">
        <v>0</v>
      </c>
      <c r="K53" s="2" t="s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346</v>
      </c>
      <c r="C2" s="2">
        <v>358</v>
      </c>
      <c r="D2" s="2">
        <v>0.49147727272727271</v>
      </c>
      <c r="E2" s="2">
        <v>0.68790182259992472</v>
      </c>
      <c r="F2" s="2">
        <v>0.33924030681285811</v>
      </c>
      <c r="G2" s="2">
        <v>0.6784806136257161</v>
      </c>
      <c r="H2" s="2">
        <v>0.67446168296108322</v>
      </c>
      <c r="I2" s="2">
        <v>0.32553831703891678</v>
      </c>
      <c r="J2" s="2">
        <v>0.65107663407783356</v>
      </c>
      <c r="K2" s="2" t="s">
        <v>12</v>
      </c>
    </row>
    <row r="3" spans="1:11" x14ac:dyDescent="0.35">
      <c r="A3" s="2" t="s">
        <v>13</v>
      </c>
      <c r="B3" s="2">
        <v>282</v>
      </c>
      <c r="C3" s="2">
        <v>422</v>
      </c>
      <c r="D3" s="2">
        <v>0.40056818181818182</v>
      </c>
      <c r="E3" s="2">
        <v>0.99999995130455599</v>
      </c>
      <c r="F3" s="2">
        <v>7.3853968232725039E-8</v>
      </c>
      <c r="G3" s="2">
        <v>1.477079364654501E-7</v>
      </c>
      <c r="H3" s="2">
        <v>0.99999993414425803</v>
      </c>
      <c r="I3" s="2">
        <v>6.5855741945611969E-8</v>
      </c>
      <c r="J3" s="2">
        <v>1.3171148394164331E-7</v>
      </c>
      <c r="K3" s="2" t="s">
        <v>2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214</v>
      </c>
      <c r="C5" s="2">
        <v>490</v>
      </c>
      <c r="D5" s="2">
        <v>0.30397727272727271</v>
      </c>
      <c r="E5" s="2">
        <v>1</v>
      </c>
      <c r="F5" s="2">
        <v>4.1928894555716279E-26</v>
      </c>
      <c r="G5" s="2">
        <v>8.3857789111432569E-26</v>
      </c>
      <c r="H5" s="2">
        <v>1</v>
      </c>
      <c r="I5" s="2">
        <v>1.21211528725007E-25</v>
      </c>
      <c r="J5" s="2">
        <v>0</v>
      </c>
      <c r="K5" s="2" t="s">
        <v>2</v>
      </c>
    </row>
    <row r="6" spans="1:11" x14ac:dyDescent="0.35">
      <c r="A6" s="2" t="s">
        <v>16</v>
      </c>
      <c r="B6" s="2">
        <v>224</v>
      </c>
      <c r="C6" s="2">
        <v>480</v>
      </c>
      <c r="D6" s="2">
        <v>0.31818181818181818</v>
      </c>
      <c r="E6" s="2">
        <v>1</v>
      </c>
      <c r="F6" s="2">
        <v>1.240409552897812E-22</v>
      </c>
      <c r="G6" s="2">
        <v>2.4808191057956239E-22</v>
      </c>
      <c r="H6" s="2">
        <v>1</v>
      </c>
      <c r="I6" s="2">
        <v>2.4973315511776192E-22</v>
      </c>
      <c r="J6" s="2">
        <v>0</v>
      </c>
      <c r="K6" s="2" t="s">
        <v>2</v>
      </c>
    </row>
    <row r="7" spans="1:11" x14ac:dyDescent="0.35">
      <c r="A7" s="2" t="s">
        <v>17</v>
      </c>
      <c r="B7" s="2">
        <v>195</v>
      </c>
      <c r="C7" s="2">
        <v>509</v>
      </c>
      <c r="D7" s="2">
        <v>0.27698863636363641</v>
      </c>
      <c r="E7" s="2">
        <v>1</v>
      </c>
      <c r="F7" s="2">
        <v>1.6755297730258412E-33</v>
      </c>
      <c r="G7" s="2">
        <v>3.3510595460516823E-33</v>
      </c>
      <c r="H7" s="2">
        <v>1</v>
      </c>
      <c r="I7" s="2">
        <v>1.2971835151858049E-32</v>
      </c>
      <c r="J7" s="2">
        <v>0</v>
      </c>
      <c r="K7" s="2" t="s">
        <v>2</v>
      </c>
    </row>
    <row r="8" spans="1:11" x14ac:dyDescent="0.35">
      <c r="A8" s="2" t="s">
        <v>18</v>
      </c>
      <c r="B8" s="2">
        <v>545</v>
      </c>
      <c r="C8" s="2">
        <v>159</v>
      </c>
      <c r="D8" s="2">
        <v>0.77414772727272729</v>
      </c>
      <c r="E8" s="2">
        <v>1.2949402305475899E-50</v>
      </c>
      <c r="F8" s="2">
        <v>1</v>
      </c>
      <c r="G8" s="2">
        <v>2.5898804610951798E-50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19</v>
      </c>
      <c r="B9" s="2">
        <v>480</v>
      </c>
      <c r="C9" s="2">
        <v>224</v>
      </c>
      <c r="D9" s="2">
        <v>0.68181818181818177</v>
      </c>
      <c r="E9" s="2">
        <v>2.66113438101818E-22</v>
      </c>
      <c r="F9" s="2">
        <v>1</v>
      </c>
      <c r="G9" s="2">
        <v>5.3222687620363591E-22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20</v>
      </c>
      <c r="B10" s="2">
        <v>421</v>
      </c>
      <c r="C10" s="2">
        <v>283</v>
      </c>
      <c r="D10" s="2">
        <v>0.59801136363636365</v>
      </c>
      <c r="E10" s="2">
        <v>1.113695060809213E-7</v>
      </c>
      <c r="F10" s="2">
        <v>0.99999992614603173</v>
      </c>
      <c r="G10" s="2">
        <v>2.2273901216184249E-7</v>
      </c>
      <c r="H10" s="2">
        <v>9.9071855386156926E-8</v>
      </c>
      <c r="I10" s="2">
        <v>0.99999990092814461</v>
      </c>
      <c r="J10" s="2">
        <v>1.9814371077231391E-7</v>
      </c>
      <c r="K10" s="2" t="s">
        <v>1</v>
      </c>
    </row>
    <row r="11" spans="1:11" x14ac:dyDescent="0.35">
      <c r="A11" s="2" t="s">
        <v>21</v>
      </c>
      <c r="B11" s="2">
        <v>301</v>
      </c>
      <c r="C11" s="2">
        <v>403</v>
      </c>
      <c r="D11" s="2">
        <v>0.42755681818181818</v>
      </c>
      <c r="E11" s="2">
        <v>0.99994956179441508</v>
      </c>
      <c r="F11" s="2">
        <v>6.8727136166595653E-5</v>
      </c>
      <c r="G11" s="2">
        <v>1.3745427233319131E-4</v>
      </c>
      <c r="H11" s="2">
        <v>0.99993954399936102</v>
      </c>
      <c r="I11" s="2">
        <v>6.0456000639001708E-5</v>
      </c>
      <c r="J11" s="2">
        <v>1.2091200127795081E-4</v>
      </c>
      <c r="K11" s="2" t="s">
        <v>2</v>
      </c>
    </row>
    <row r="12" spans="1:11" x14ac:dyDescent="0.35">
      <c r="A12" s="2" t="s">
        <v>22</v>
      </c>
      <c r="B12" s="2">
        <v>510</v>
      </c>
      <c r="C12" s="2">
        <v>194</v>
      </c>
      <c r="D12" s="2">
        <v>0.72443181818181823</v>
      </c>
      <c r="E12" s="2">
        <v>6.3788292383545346E-34</v>
      </c>
      <c r="F12" s="2">
        <v>1</v>
      </c>
      <c r="G12" s="2">
        <v>1.2757658476709069E-33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23</v>
      </c>
      <c r="B13" s="2">
        <v>582</v>
      </c>
      <c r="C13" s="2">
        <v>122</v>
      </c>
      <c r="D13" s="2">
        <v>0.82670454545454541</v>
      </c>
      <c r="E13" s="2">
        <v>5.5638477973692838E-73</v>
      </c>
      <c r="F13" s="2">
        <v>1</v>
      </c>
      <c r="G13" s="2">
        <v>1.112769559473857E-72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24</v>
      </c>
      <c r="B14" s="2">
        <v>600</v>
      </c>
      <c r="C14" s="2">
        <v>104</v>
      </c>
      <c r="D14" s="2">
        <v>0.85227272727272729</v>
      </c>
      <c r="E14" s="2">
        <v>6.4993528801190209E-86</v>
      </c>
      <c r="F14" s="2">
        <v>1</v>
      </c>
      <c r="G14" s="2">
        <v>1.2998705760238039E-85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25</v>
      </c>
      <c r="B15" s="2">
        <v>33</v>
      </c>
      <c r="C15" s="2">
        <v>23</v>
      </c>
      <c r="D15" s="2">
        <v>0.5892857142857143</v>
      </c>
      <c r="E15" s="2">
        <v>0.114402770617178</v>
      </c>
      <c r="F15" s="2">
        <v>0.92955228820075964</v>
      </c>
      <c r="G15" s="2">
        <v>0.22880554123435609</v>
      </c>
      <c r="H15" s="2">
        <v>9.0724603860710129E-2</v>
      </c>
      <c r="I15" s="2">
        <v>0.90927539613928987</v>
      </c>
      <c r="J15" s="2">
        <v>0.18144920772142031</v>
      </c>
      <c r="K15" s="2" t="s">
        <v>12</v>
      </c>
    </row>
    <row r="16" spans="1:11" x14ac:dyDescent="0.35">
      <c r="A16" s="2" t="s">
        <v>26</v>
      </c>
      <c r="B16" s="2">
        <v>409</v>
      </c>
      <c r="C16" s="2">
        <v>295</v>
      </c>
      <c r="D16" s="2">
        <v>0.58096590909090906</v>
      </c>
      <c r="E16" s="2">
        <v>9.8807434232840573E-6</v>
      </c>
      <c r="F16" s="2">
        <v>0.99999298654494129</v>
      </c>
      <c r="G16" s="2">
        <v>1.9761486846568111E-5</v>
      </c>
      <c r="H16" s="2">
        <v>8.6743644028830502E-6</v>
      </c>
      <c r="I16" s="2">
        <v>0.99999132563559712</v>
      </c>
      <c r="J16" s="2">
        <v>1.73487288057661E-5</v>
      </c>
      <c r="K16" s="2" t="s">
        <v>1</v>
      </c>
    </row>
    <row r="17" spans="1:11" x14ac:dyDescent="0.35">
      <c r="A17" s="2" t="s">
        <v>27</v>
      </c>
      <c r="B17" s="2">
        <v>524</v>
      </c>
      <c r="C17" s="2">
        <v>180</v>
      </c>
      <c r="D17" s="2">
        <v>0.74431818181818177</v>
      </c>
      <c r="E17" s="2">
        <v>4.0368089073880516E-40</v>
      </c>
      <c r="F17" s="2">
        <v>1</v>
      </c>
      <c r="G17" s="2">
        <v>8.0736178147761049E-40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28</v>
      </c>
      <c r="B18" s="2">
        <v>249</v>
      </c>
      <c r="C18" s="2">
        <v>455</v>
      </c>
      <c r="D18" s="2">
        <v>0.35369318181818182</v>
      </c>
      <c r="E18" s="2">
        <v>0.99999999999999811</v>
      </c>
      <c r="F18" s="2">
        <v>3.5800149477577373E-15</v>
      </c>
      <c r="G18" s="2">
        <v>7.160029895515473E-15</v>
      </c>
      <c r="H18" s="2">
        <v>0.99999999999999589</v>
      </c>
      <c r="I18" s="2">
        <v>4.1172859136787213E-15</v>
      </c>
      <c r="J18" s="2">
        <v>8.2156503822261584E-15</v>
      </c>
      <c r="K18" s="2" t="s">
        <v>2</v>
      </c>
    </row>
    <row r="19" spans="1:11" x14ac:dyDescent="0.35">
      <c r="A19" s="2" t="s">
        <v>29</v>
      </c>
      <c r="B19" s="2">
        <v>430</v>
      </c>
      <c r="C19" s="2">
        <v>274</v>
      </c>
      <c r="D19" s="2">
        <v>0.61079545454545459</v>
      </c>
      <c r="E19" s="2">
        <v>2.2443084356065412E-9</v>
      </c>
      <c r="F19" s="2">
        <v>0.99999999858720068</v>
      </c>
      <c r="G19" s="2">
        <v>4.4886168712130824E-9</v>
      </c>
      <c r="H19" s="2">
        <v>2.0578957427019869E-9</v>
      </c>
      <c r="I19" s="2">
        <v>0.99999999794210426</v>
      </c>
      <c r="J19" s="2">
        <v>4.1157914854039754E-9</v>
      </c>
      <c r="K19" s="2" t="s">
        <v>1</v>
      </c>
    </row>
    <row r="20" spans="1:11" x14ac:dyDescent="0.35">
      <c r="A20" s="2" t="s">
        <v>30</v>
      </c>
      <c r="B20" s="2">
        <v>325</v>
      </c>
      <c r="C20" s="2">
        <v>379</v>
      </c>
      <c r="D20" s="2">
        <v>0.46164772727272729</v>
      </c>
      <c r="E20" s="2">
        <v>0.98094645180629603</v>
      </c>
      <c r="F20" s="2">
        <v>2.284636495568472E-2</v>
      </c>
      <c r="G20" s="2">
        <v>4.5692729911369447E-2</v>
      </c>
      <c r="H20" s="2">
        <v>0.97908470271737758</v>
      </c>
      <c r="I20" s="2">
        <v>2.091529728262238E-2</v>
      </c>
      <c r="J20" s="2">
        <v>4.183059456524485E-2</v>
      </c>
      <c r="K20" s="2" t="s">
        <v>2</v>
      </c>
    </row>
    <row r="21" spans="1:11" x14ac:dyDescent="0.35">
      <c r="A21" s="2" t="s">
        <v>31</v>
      </c>
      <c r="B21" s="2">
        <v>250</v>
      </c>
      <c r="C21" s="2">
        <v>454</v>
      </c>
      <c r="D21" s="2">
        <v>0.35511363636363641</v>
      </c>
      <c r="E21" s="2">
        <v>0.99999999999999645</v>
      </c>
      <c r="F21" s="2">
        <v>6.5633437089035283E-15</v>
      </c>
      <c r="G21" s="2">
        <v>1.312668741780706E-14</v>
      </c>
      <c r="H21" s="2">
        <v>0.99999999999999256</v>
      </c>
      <c r="I21" s="2">
        <v>7.4412160783291908E-15</v>
      </c>
      <c r="J21" s="2">
        <v>1.4876988529977101E-14</v>
      </c>
      <c r="K21" s="2" t="s">
        <v>2</v>
      </c>
    </row>
    <row r="22" spans="1:11" x14ac:dyDescent="0.35">
      <c r="A22" s="2" t="s">
        <v>32</v>
      </c>
      <c r="B22" s="2">
        <v>145</v>
      </c>
      <c r="C22" s="2">
        <v>559</v>
      </c>
      <c r="D22" s="2">
        <v>0.20596590909090909</v>
      </c>
      <c r="E22" s="2">
        <v>1</v>
      </c>
      <c r="F22" s="2">
        <v>1.8373954545833421E-58</v>
      </c>
      <c r="G22" s="2">
        <v>3.6747909091666842E-58</v>
      </c>
      <c r="H22" s="2">
        <v>1</v>
      </c>
      <c r="I22" s="2">
        <v>3.4610951267802842E-55</v>
      </c>
      <c r="J22" s="2">
        <v>0</v>
      </c>
      <c r="K22" s="2" t="s">
        <v>2</v>
      </c>
    </row>
    <row r="23" spans="1:11" x14ac:dyDescent="0.35">
      <c r="A23" s="2" t="s">
        <v>33</v>
      </c>
      <c r="B23" s="2">
        <v>492</v>
      </c>
      <c r="C23" s="2">
        <v>212</v>
      </c>
      <c r="D23" s="2">
        <v>0.69886363636363635</v>
      </c>
      <c r="E23" s="2">
        <v>7.8319155503437783E-27</v>
      </c>
      <c r="F23" s="2">
        <v>1</v>
      </c>
      <c r="G23" s="2">
        <v>1.5663831100687559E-26</v>
      </c>
      <c r="H23" s="2">
        <v>0</v>
      </c>
      <c r="I23" s="2">
        <v>1</v>
      </c>
      <c r="J23" s="2">
        <v>0</v>
      </c>
      <c r="K23" s="2" t="s">
        <v>1</v>
      </c>
    </row>
    <row r="24" spans="1:11" x14ac:dyDescent="0.35">
      <c r="A24" s="2" t="s">
        <v>34</v>
      </c>
      <c r="B24" s="2">
        <v>483</v>
      </c>
      <c r="C24" s="2">
        <v>221</v>
      </c>
      <c r="D24" s="2">
        <v>0.68607954545454541</v>
      </c>
      <c r="E24" s="2">
        <v>1.208205309470976E-23</v>
      </c>
      <c r="F24" s="2">
        <v>1</v>
      </c>
      <c r="G24" s="2">
        <v>2.4164106189419519E-23</v>
      </c>
      <c r="H24" s="2">
        <v>0</v>
      </c>
      <c r="I24" s="2">
        <v>1</v>
      </c>
      <c r="J24" s="2">
        <v>0</v>
      </c>
      <c r="K24" s="2" t="s">
        <v>1</v>
      </c>
    </row>
    <row r="25" spans="1:11" x14ac:dyDescent="0.35">
      <c r="A25" s="2" t="s">
        <v>35</v>
      </c>
      <c r="B25" s="2">
        <v>546</v>
      </c>
      <c r="C25" s="2">
        <v>158</v>
      </c>
      <c r="D25" s="2">
        <v>0.77556818181818177</v>
      </c>
      <c r="E25" s="2">
        <v>3.7585550675657738E-51</v>
      </c>
      <c r="F25" s="2">
        <v>1</v>
      </c>
      <c r="G25" s="2">
        <v>7.5171101351315489E-51</v>
      </c>
      <c r="H25" s="2">
        <v>0</v>
      </c>
      <c r="I25" s="2">
        <v>1</v>
      </c>
      <c r="J25" s="2">
        <v>0</v>
      </c>
      <c r="K25" s="2" t="s">
        <v>1</v>
      </c>
    </row>
    <row r="26" spans="1:11" x14ac:dyDescent="0.35">
      <c r="A26" s="2" t="s">
        <v>36</v>
      </c>
      <c r="B26" s="2">
        <v>547</v>
      </c>
      <c r="C26" s="2">
        <v>157</v>
      </c>
      <c r="D26" s="2">
        <v>0.77698863636363635</v>
      </c>
      <c r="E26" s="2">
        <v>1.0820995532293509E-51</v>
      </c>
      <c r="F26" s="2">
        <v>1</v>
      </c>
      <c r="G26" s="2">
        <v>2.164199106458701E-51</v>
      </c>
      <c r="H26" s="2">
        <v>0</v>
      </c>
      <c r="I26" s="2">
        <v>1</v>
      </c>
      <c r="J26" s="2">
        <v>0</v>
      </c>
      <c r="K26" s="2" t="s">
        <v>1</v>
      </c>
    </row>
    <row r="27" spans="1:11" x14ac:dyDescent="0.35">
      <c r="A27" s="2" t="s">
        <v>37</v>
      </c>
      <c r="B27" s="2">
        <v>287</v>
      </c>
      <c r="C27" s="2">
        <v>417</v>
      </c>
      <c r="D27" s="2">
        <v>0.40767045454545447</v>
      </c>
      <c r="E27" s="2">
        <v>0.9999996309939132</v>
      </c>
      <c r="F27" s="2">
        <v>5.4387867517963772E-7</v>
      </c>
      <c r="G27" s="2">
        <v>1.087757350359275E-6</v>
      </c>
      <c r="H27" s="2">
        <v>0.99999951974083279</v>
      </c>
      <c r="I27" s="2">
        <v>4.8025916720629359E-7</v>
      </c>
      <c r="J27" s="2">
        <v>9.6051833442523105E-7</v>
      </c>
      <c r="K27" s="2" t="s">
        <v>2</v>
      </c>
    </row>
    <row r="28" spans="1:11" x14ac:dyDescent="0.35">
      <c r="A28" s="2" t="s">
        <v>38</v>
      </c>
      <c r="B28" s="2">
        <v>493</v>
      </c>
      <c r="C28" s="2">
        <v>211</v>
      </c>
      <c r="D28" s="2">
        <v>0.70028409090909094</v>
      </c>
      <c r="E28" s="2">
        <v>3.3511207137447161E-27</v>
      </c>
      <c r="F28" s="2">
        <v>1</v>
      </c>
      <c r="G28" s="2">
        <v>6.7022414274894322E-27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290</v>
      </c>
      <c r="C29" s="2">
        <v>414</v>
      </c>
      <c r="D29" s="2">
        <v>0.41193181818181818</v>
      </c>
      <c r="E29" s="2">
        <v>0.99999883845122339</v>
      </c>
      <c r="F29" s="2">
        <v>1.6831167214701571E-6</v>
      </c>
      <c r="G29" s="2">
        <v>3.366233442940315E-6</v>
      </c>
      <c r="H29" s="2">
        <v>0.99999851891653035</v>
      </c>
      <c r="I29" s="2">
        <v>1.4810834696294611E-6</v>
      </c>
      <c r="J29" s="2">
        <v>2.9621669392909671E-6</v>
      </c>
      <c r="K29" s="2" t="s">
        <v>2</v>
      </c>
    </row>
    <row r="30" spans="1:11" x14ac:dyDescent="0.35">
      <c r="A30" s="2" t="s">
        <v>40</v>
      </c>
      <c r="B30" s="2">
        <v>417</v>
      </c>
      <c r="C30" s="2">
        <v>287</v>
      </c>
      <c r="D30" s="2">
        <v>0.59232954545454541</v>
      </c>
      <c r="E30" s="2">
        <v>5.4387867517963772E-7</v>
      </c>
      <c r="F30" s="2">
        <v>0.9999996309939132</v>
      </c>
      <c r="G30" s="2">
        <v>1.087757350359275E-6</v>
      </c>
      <c r="H30" s="2">
        <v>4.8025916721261552E-7</v>
      </c>
      <c r="I30" s="2">
        <v>0.99999951974083279</v>
      </c>
      <c r="J30" s="2">
        <v>9.6051833442523105E-7</v>
      </c>
      <c r="K30" s="2" t="s">
        <v>1</v>
      </c>
    </row>
    <row r="31" spans="1:11" x14ac:dyDescent="0.35">
      <c r="A31" s="2" t="s">
        <v>41</v>
      </c>
      <c r="B31" s="2">
        <v>204</v>
      </c>
      <c r="C31" s="2">
        <v>500</v>
      </c>
      <c r="D31" s="2">
        <v>0.28977272727272729</v>
      </c>
      <c r="E31" s="2">
        <v>1</v>
      </c>
      <c r="F31" s="2">
        <v>7.2840856359823728E-30</v>
      </c>
      <c r="G31" s="2">
        <v>1.4568171271964751E-29</v>
      </c>
      <c r="H31" s="2">
        <v>1</v>
      </c>
      <c r="I31" s="2">
        <v>3.3498194480146642E-29</v>
      </c>
      <c r="J31" s="2">
        <v>0</v>
      </c>
      <c r="K31" s="2" t="s">
        <v>2</v>
      </c>
    </row>
    <row r="32" spans="1:11" x14ac:dyDescent="0.35">
      <c r="A32" s="2" t="s">
        <v>42</v>
      </c>
      <c r="B32" s="2">
        <v>252</v>
      </c>
      <c r="C32" s="2">
        <v>452</v>
      </c>
      <c r="D32" s="2">
        <v>0.35795454545454553</v>
      </c>
      <c r="E32" s="2">
        <v>0.99999999999998801</v>
      </c>
      <c r="F32" s="2">
        <v>2.1659689066834469E-14</v>
      </c>
      <c r="G32" s="2">
        <v>4.3319378133668937E-14</v>
      </c>
      <c r="H32" s="2">
        <v>0.99999999999997613</v>
      </c>
      <c r="I32" s="2">
        <v>2.3901309250039109E-14</v>
      </c>
      <c r="J32" s="2">
        <v>4.7739590058881731E-14</v>
      </c>
      <c r="K32" s="2" t="s">
        <v>2</v>
      </c>
    </row>
    <row r="33" spans="1:11" x14ac:dyDescent="0.35">
      <c r="A33" s="2" t="s">
        <v>43</v>
      </c>
      <c r="B33" s="2">
        <v>287</v>
      </c>
      <c r="C33" s="2">
        <v>417</v>
      </c>
      <c r="D33" s="2">
        <v>0.40767045454545447</v>
      </c>
      <c r="E33" s="2">
        <v>0.9999996309939132</v>
      </c>
      <c r="F33" s="2">
        <v>5.4387867517963772E-7</v>
      </c>
      <c r="G33" s="2">
        <v>1.087757350359275E-6</v>
      </c>
      <c r="H33" s="2">
        <v>0.99999951974083279</v>
      </c>
      <c r="I33" s="2">
        <v>4.8025916720629359E-7</v>
      </c>
      <c r="J33" s="2">
        <v>9.6051833442523105E-7</v>
      </c>
      <c r="K33" s="2" t="s">
        <v>2</v>
      </c>
    </row>
    <row r="34" spans="1:11" x14ac:dyDescent="0.35">
      <c r="A34" s="2" t="s">
        <v>44</v>
      </c>
      <c r="B34" s="2">
        <v>182</v>
      </c>
      <c r="C34" s="2">
        <v>522</v>
      </c>
      <c r="D34" s="2">
        <v>0.25852272727272729</v>
      </c>
      <c r="E34" s="2">
        <v>1</v>
      </c>
      <c r="F34" s="2">
        <v>3.3845026632262342E-39</v>
      </c>
      <c r="G34" s="2">
        <v>6.769005326452467E-39</v>
      </c>
      <c r="H34" s="2">
        <v>1</v>
      </c>
      <c r="I34" s="2">
        <v>6.8241372096338507E-38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380</v>
      </c>
      <c r="C35" s="2">
        <v>324</v>
      </c>
      <c r="D35" s="2">
        <v>0.53977272727272729</v>
      </c>
      <c r="E35" s="2">
        <v>1.9053548193704001E-2</v>
      </c>
      <c r="F35" s="2">
        <v>0.98419030824746367</v>
      </c>
      <c r="G35" s="2">
        <v>3.8107096387408002E-2</v>
      </c>
      <c r="H35" s="2">
        <v>1.7404239405933501E-2</v>
      </c>
      <c r="I35" s="2">
        <v>0.9825957605940665</v>
      </c>
      <c r="J35" s="2">
        <v>3.4808478811866987E-2</v>
      </c>
      <c r="K35" s="2" t="s">
        <v>1</v>
      </c>
    </row>
    <row r="36" spans="1:11" x14ac:dyDescent="0.35">
      <c r="A36" s="2" t="s">
        <v>46</v>
      </c>
      <c r="B36" s="2">
        <v>494</v>
      </c>
      <c r="C36" s="2">
        <v>210</v>
      </c>
      <c r="D36" s="2">
        <v>0.70170454545454541</v>
      </c>
      <c r="E36" s="2">
        <v>1.4242880456734839E-27</v>
      </c>
      <c r="F36" s="2">
        <v>1</v>
      </c>
      <c r="G36" s="2">
        <v>2.848576091346969E-27</v>
      </c>
      <c r="H36" s="2">
        <v>0</v>
      </c>
      <c r="I36" s="2">
        <v>1</v>
      </c>
      <c r="J36" s="2">
        <v>0</v>
      </c>
      <c r="K36" s="2" t="s">
        <v>1</v>
      </c>
    </row>
    <row r="37" spans="1:11" x14ac:dyDescent="0.35">
      <c r="A37" s="2" t="s">
        <v>47</v>
      </c>
      <c r="B37" s="2">
        <v>72</v>
      </c>
      <c r="C37" s="2">
        <v>632</v>
      </c>
      <c r="D37" s="2">
        <v>0.10227272727272731</v>
      </c>
      <c r="E37" s="2">
        <v>1</v>
      </c>
      <c r="F37" s="2">
        <v>5.4000264204073981E-113</v>
      </c>
      <c r="G37" s="2">
        <v>1.0800052840814801E-112</v>
      </c>
      <c r="H37" s="2">
        <v>1</v>
      </c>
      <c r="I37" s="2">
        <v>3.5181416290544462E-99</v>
      </c>
      <c r="J37" s="2">
        <v>0</v>
      </c>
      <c r="K37" s="2" t="s">
        <v>2</v>
      </c>
    </row>
    <row r="38" spans="1:11" x14ac:dyDescent="0.35">
      <c r="A38" s="2" t="s">
        <v>48</v>
      </c>
      <c r="B38" s="2">
        <v>229</v>
      </c>
      <c r="C38" s="2">
        <v>475</v>
      </c>
      <c r="D38" s="2">
        <v>0.32528409090909088</v>
      </c>
      <c r="E38" s="2">
        <v>1</v>
      </c>
      <c r="F38" s="2">
        <v>2.527851327681256E-21</v>
      </c>
      <c r="G38" s="2">
        <v>5.0557026553625112E-21</v>
      </c>
      <c r="H38" s="2">
        <v>1</v>
      </c>
      <c r="I38" s="2">
        <v>9.1795622358505517E-21</v>
      </c>
      <c r="J38" s="2">
        <v>0</v>
      </c>
      <c r="K38" s="2" t="s">
        <v>2</v>
      </c>
    </row>
    <row r="39" spans="1:11" x14ac:dyDescent="0.35">
      <c r="A39" s="2" t="s">
        <v>49</v>
      </c>
      <c r="B39" s="2">
        <v>180</v>
      </c>
      <c r="C39" s="2">
        <v>524</v>
      </c>
      <c r="D39" s="2">
        <v>0.25568181818181818</v>
      </c>
      <c r="E39" s="2">
        <v>1</v>
      </c>
      <c r="F39" s="2">
        <v>4.0368089073880516E-40</v>
      </c>
      <c r="G39" s="2">
        <v>8.0736178147761049E-40</v>
      </c>
      <c r="H39" s="2">
        <v>1</v>
      </c>
      <c r="I39" s="2">
        <v>9.6630554405166921E-39</v>
      </c>
      <c r="J39" s="2">
        <v>0</v>
      </c>
      <c r="K39" s="2" t="s">
        <v>2</v>
      </c>
    </row>
    <row r="40" spans="1:11" x14ac:dyDescent="0.35">
      <c r="A40" s="2" t="s">
        <v>50</v>
      </c>
      <c r="B40" s="2">
        <v>506</v>
      </c>
      <c r="C40" s="2">
        <v>198</v>
      </c>
      <c r="D40" s="2">
        <v>0.71875</v>
      </c>
      <c r="E40" s="2">
        <v>2.9112115071309389E-32</v>
      </c>
      <c r="F40" s="2">
        <v>1</v>
      </c>
      <c r="G40" s="2">
        <v>5.822423014261879E-32</v>
      </c>
      <c r="H40" s="2">
        <v>0</v>
      </c>
      <c r="I40" s="2">
        <v>1</v>
      </c>
      <c r="J40" s="2">
        <v>0</v>
      </c>
      <c r="K40" s="2" t="s">
        <v>1</v>
      </c>
    </row>
    <row r="41" spans="1:11" x14ac:dyDescent="0.35">
      <c r="A41" s="2" t="s">
        <v>51</v>
      </c>
      <c r="B41" s="2">
        <v>497</v>
      </c>
      <c r="C41" s="2">
        <v>207</v>
      </c>
      <c r="D41" s="2">
        <v>0.70596590909090906</v>
      </c>
      <c r="E41" s="2">
        <v>1.050152150140678E-28</v>
      </c>
      <c r="F41" s="2">
        <v>1</v>
      </c>
      <c r="G41" s="2">
        <v>2.1003043002813569E-28</v>
      </c>
      <c r="H41" s="2">
        <v>0</v>
      </c>
      <c r="I41" s="2">
        <v>1</v>
      </c>
      <c r="J41" s="2">
        <v>0</v>
      </c>
      <c r="K41" s="2" t="s">
        <v>1</v>
      </c>
    </row>
    <row r="42" spans="1:11" x14ac:dyDescent="0.35">
      <c r="A42" s="2" t="s">
        <v>52</v>
      </c>
      <c r="B42" s="2">
        <v>187</v>
      </c>
      <c r="C42" s="2">
        <v>517</v>
      </c>
      <c r="D42" s="2">
        <v>0.265625</v>
      </c>
      <c r="E42" s="2">
        <v>1</v>
      </c>
      <c r="F42" s="2">
        <v>6.0586065370963564E-37</v>
      </c>
      <c r="G42" s="2">
        <v>1.2117213074192709E-36</v>
      </c>
      <c r="H42" s="2">
        <v>1</v>
      </c>
      <c r="I42" s="2">
        <v>8.1932282042043511E-36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281</v>
      </c>
      <c r="C43" s="2">
        <v>423</v>
      </c>
      <c r="D43" s="2">
        <v>0.39914772727272729</v>
      </c>
      <c r="E43" s="2">
        <v>0.99999996807690539</v>
      </c>
      <c r="F43" s="2">
        <v>4.8695444035950358E-8</v>
      </c>
      <c r="G43" s="2">
        <v>9.7390888071900728E-8</v>
      </c>
      <c r="H43" s="2">
        <v>0.99999995646453665</v>
      </c>
      <c r="I43" s="2">
        <v>4.3535463367751409E-8</v>
      </c>
      <c r="J43" s="2">
        <v>8.7070926690913097E-8</v>
      </c>
      <c r="K43" s="2" t="s">
        <v>2</v>
      </c>
    </row>
    <row r="44" spans="1:11" x14ac:dyDescent="0.35">
      <c r="A44" s="2" t="s">
        <v>54</v>
      </c>
      <c r="B44" s="2">
        <v>258</v>
      </c>
      <c r="C44" s="2">
        <v>446</v>
      </c>
      <c r="D44" s="2">
        <v>0.36647727272727271</v>
      </c>
      <c r="E44" s="2">
        <v>0.99999999999961464</v>
      </c>
      <c r="F44" s="2">
        <v>6.7296703835153783E-13</v>
      </c>
      <c r="G44" s="2">
        <v>1.3459340767030761E-12</v>
      </c>
      <c r="H44" s="2">
        <v>0.99999999999930733</v>
      </c>
      <c r="I44" s="2">
        <v>6.9263282631854555E-13</v>
      </c>
      <c r="J44" s="2">
        <v>1.3853362901272699E-12</v>
      </c>
      <c r="K44" s="2" t="s">
        <v>2</v>
      </c>
    </row>
    <row r="45" spans="1:11" x14ac:dyDescent="0.35">
      <c r="A45" s="2" t="s">
        <v>55</v>
      </c>
      <c r="B45" s="2">
        <v>346</v>
      </c>
      <c r="C45" s="2">
        <v>358</v>
      </c>
      <c r="D45" s="2">
        <v>0.49147727272727271</v>
      </c>
      <c r="E45" s="2">
        <v>0.68790182259992472</v>
      </c>
      <c r="F45" s="2">
        <v>0.33924030681285811</v>
      </c>
      <c r="G45" s="2">
        <v>0.6784806136257161</v>
      </c>
      <c r="H45" s="2">
        <v>0.67446168296108322</v>
      </c>
      <c r="I45" s="2">
        <v>0.32553831703891678</v>
      </c>
      <c r="J45" s="2">
        <v>0.65107663407783356</v>
      </c>
      <c r="K45" s="2" t="s">
        <v>12</v>
      </c>
    </row>
    <row r="46" spans="1:11" x14ac:dyDescent="0.35">
      <c r="A46" s="2" t="s">
        <v>56</v>
      </c>
      <c r="B46" s="2">
        <v>394</v>
      </c>
      <c r="C46" s="2">
        <v>310</v>
      </c>
      <c r="D46" s="2">
        <v>0.55965909090909094</v>
      </c>
      <c r="E46" s="2">
        <v>8.6972830393244492E-4</v>
      </c>
      <c r="F46" s="2">
        <v>0.99932957240549158</v>
      </c>
      <c r="G46" s="2">
        <v>1.7394566078648901E-3</v>
      </c>
      <c r="H46" s="2">
        <v>7.7310173854039377E-4</v>
      </c>
      <c r="I46" s="2">
        <v>0.99922689826145961</v>
      </c>
      <c r="J46" s="2">
        <v>1.546203477080788E-3</v>
      </c>
      <c r="K46" s="2" t="s">
        <v>1</v>
      </c>
    </row>
    <row r="47" spans="1:11" x14ac:dyDescent="0.35">
      <c r="A47" s="2" t="s">
        <v>57</v>
      </c>
      <c r="B47" s="2">
        <v>410</v>
      </c>
      <c r="C47" s="2">
        <v>294</v>
      </c>
      <c r="D47" s="2">
        <v>0.58238636363636365</v>
      </c>
      <c r="E47" s="2">
        <v>7.0134550586825282E-6</v>
      </c>
      <c r="F47" s="2">
        <v>0.99999504959388663</v>
      </c>
      <c r="G47" s="2">
        <v>1.402691011736506E-5</v>
      </c>
      <c r="H47" s="2">
        <v>6.1580880682532424E-6</v>
      </c>
      <c r="I47" s="2">
        <v>0.99999384191193175</v>
      </c>
      <c r="J47" s="2">
        <v>1.231617613650648E-5</v>
      </c>
      <c r="K47" s="2" t="s">
        <v>1</v>
      </c>
    </row>
    <row r="48" spans="1:11" x14ac:dyDescent="0.35">
      <c r="A48" s="2" t="s">
        <v>58</v>
      </c>
      <c r="B48" s="2">
        <v>367</v>
      </c>
      <c r="C48" s="2">
        <v>337</v>
      </c>
      <c r="D48" s="2">
        <v>0.52130681818181823</v>
      </c>
      <c r="E48" s="2">
        <v>0.1371961135641718</v>
      </c>
      <c r="F48" s="2">
        <v>0.87867863039430649</v>
      </c>
      <c r="G48" s="2">
        <v>0.27439222712834371</v>
      </c>
      <c r="H48" s="2">
        <v>0.12909752379197201</v>
      </c>
      <c r="I48" s="2">
        <v>0.87090247620802796</v>
      </c>
      <c r="J48" s="2">
        <v>0.25819504758394413</v>
      </c>
      <c r="K48" s="2" t="s">
        <v>12</v>
      </c>
    </row>
    <row r="49" spans="1:11" x14ac:dyDescent="0.35">
      <c r="A49" s="2" t="s">
        <v>59</v>
      </c>
      <c r="B49" s="2">
        <v>404</v>
      </c>
      <c r="C49" s="2">
        <v>300</v>
      </c>
      <c r="D49" s="2">
        <v>0.57386363636363635</v>
      </c>
      <c r="E49" s="2">
        <v>5.0438205584933382E-5</v>
      </c>
      <c r="F49" s="2">
        <v>0.99996318795309103</v>
      </c>
      <c r="G49" s="2">
        <v>1.008764111698668E-4</v>
      </c>
      <c r="H49" s="2">
        <v>4.4339291497941247E-5</v>
      </c>
      <c r="I49" s="2">
        <v>0.99995566070850206</v>
      </c>
      <c r="J49" s="2">
        <v>8.8678582995882493E-5</v>
      </c>
      <c r="K49" s="2" t="s">
        <v>1</v>
      </c>
    </row>
    <row r="50" spans="1:11" x14ac:dyDescent="0.35">
      <c r="A50" s="2" t="s">
        <v>60</v>
      </c>
      <c r="B50" s="2">
        <v>552</v>
      </c>
      <c r="C50" s="2">
        <v>152</v>
      </c>
      <c r="D50" s="2">
        <v>0.78409090909090906</v>
      </c>
      <c r="E50" s="2">
        <v>1.8925852581976919E-54</v>
      </c>
      <c r="F50" s="2">
        <v>1</v>
      </c>
      <c r="G50" s="2">
        <v>3.785170516395385E-54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578</v>
      </c>
      <c r="C51" s="2">
        <v>126</v>
      </c>
      <c r="D51" s="2">
        <v>0.82102272727272729</v>
      </c>
      <c r="E51" s="2">
        <v>2.6580516062331328E-70</v>
      </c>
      <c r="F51" s="2">
        <v>1</v>
      </c>
      <c r="G51" s="2">
        <v>5.3161032124662657E-70</v>
      </c>
      <c r="H51" s="2">
        <v>0</v>
      </c>
      <c r="I51" s="2">
        <v>1</v>
      </c>
      <c r="J51" s="2">
        <v>0</v>
      </c>
      <c r="K51" s="2" t="s">
        <v>1</v>
      </c>
    </row>
    <row r="52" spans="1:11" x14ac:dyDescent="0.35">
      <c r="A52" s="2" t="s">
        <v>62</v>
      </c>
      <c r="B52" s="2">
        <v>599</v>
      </c>
      <c r="C52" s="2">
        <v>105</v>
      </c>
      <c r="D52" s="2">
        <v>0.85085227272727271</v>
      </c>
      <c r="E52" s="2">
        <v>3.7226817068810093E-85</v>
      </c>
      <c r="F52" s="2">
        <v>1</v>
      </c>
      <c r="G52" s="2">
        <v>7.4453634137620186E-85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284</v>
      </c>
      <c r="C53" s="2">
        <v>420</v>
      </c>
      <c r="D53" s="2">
        <v>0.40340909090909088</v>
      </c>
      <c r="E53" s="2">
        <v>0.99999988863049394</v>
      </c>
      <c r="F53" s="2">
        <v>1.6698232803194559E-7</v>
      </c>
      <c r="G53" s="2">
        <v>3.3396465606389117E-7</v>
      </c>
      <c r="H53" s="2">
        <v>0.99999985177723072</v>
      </c>
      <c r="I53" s="2">
        <v>1.482227692405834E-7</v>
      </c>
      <c r="J53" s="2">
        <v>2.9644553856122968E-7</v>
      </c>
      <c r="K53" s="2" t="s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352</v>
      </c>
      <c r="C2" s="2">
        <v>352</v>
      </c>
      <c r="D2" s="2">
        <v>0.5</v>
      </c>
      <c r="E2" s="2">
        <v>0.51503036448818196</v>
      </c>
      <c r="F2" s="2">
        <v>0.51503036448818196</v>
      </c>
      <c r="G2" s="2">
        <v>1</v>
      </c>
      <c r="H2" s="2">
        <v>0.5</v>
      </c>
      <c r="I2" s="2">
        <v>0.5</v>
      </c>
      <c r="J2" s="2">
        <v>1</v>
      </c>
      <c r="K2" s="2" t="s">
        <v>12</v>
      </c>
    </row>
    <row r="3" spans="1:11" x14ac:dyDescent="0.35">
      <c r="A3" s="2" t="s">
        <v>13</v>
      </c>
      <c r="B3" s="2">
        <v>400</v>
      </c>
      <c r="C3" s="2">
        <v>304</v>
      </c>
      <c r="D3" s="2">
        <v>0.56818181818181823</v>
      </c>
      <c r="E3" s="2">
        <v>1.682231284959967E-4</v>
      </c>
      <c r="F3" s="2">
        <v>0.99987448795888501</v>
      </c>
      <c r="G3" s="2">
        <v>3.3644625699199351E-4</v>
      </c>
      <c r="H3" s="2">
        <v>1.4836615564661759E-4</v>
      </c>
      <c r="I3" s="2">
        <v>0.99985163384435338</v>
      </c>
      <c r="J3" s="2">
        <v>2.9673231129323518E-4</v>
      </c>
      <c r="K3" s="2" t="s">
        <v>1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305</v>
      </c>
      <c r="C5" s="2">
        <v>399</v>
      </c>
      <c r="D5" s="2">
        <v>0.43323863636363641</v>
      </c>
      <c r="E5" s="2">
        <v>0.99983177687150404</v>
      </c>
      <c r="F5" s="2">
        <v>2.2423766932352069E-4</v>
      </c>
      <c r="G5" s="2">
        <v>4.4847533864704139E-4</v>
      </c>
      <c r="H5" s="2">
        <v>0.99980201728178342</v>
      </c>
      <c r="I5" s="2">
        <v>1.979827182166197E-4</v>
      </c>
      <c r="J5" s="2">
        <v>3.9596543643316551E-4</v>
      </c>
      <c r="K5" s="2" t="s">
        <v>2</v>
      </c>
    </row>
    <row r="6" spans="1:11" x14ac:dyDescent="0.35">
      <c r="A6" s="2" t="s">
        <v>16</v>
      </c>
      <c r="B6" s="2">
        <v>384</v>
      </c>
      <c r="C6" s="2">
        <v>320</v>
      </c>
      <c r="D6" s="2">
        <v>0.54545454545454541</v>
      </c>
      <c r="E6" s="2">
        <v>8.7576396766929094E-3</v>
      </c>
      <c r="F6" s="2">
        <v>0.99288163498380022</v>
      </c>
      <c r="G6" s="2">
        <v>1.7515279353385819E-2</v>
      </c>
      <c r="H6" s="2">
        <v>7.9306663698865965E-3</v>
      </c>
      <c r="I6" s="2">
        <v>0.9920693336301134</v>
      </c>
      <c r="J6" s="2">
        <v>1.5861332739773189E-2</v>
      </c>
      <c r="K6" s="2" t="s">
        <v>1</v>
      </c>
    </row>
    <row r="7" spans="1:11" x14ac:dyDescent="0.35">
      <c r="A7" s="2" t="s">
        <v>17</v>
      </c>
      <c r="B7" s="2">
        <v>384</v>
      </c>
      <c r="C7" s="2">
        <v>320</v>
      </c>
      <c r="D7" s="2">
        <v>0.54545454545454541</v>
      </c>
      <c r="E7" s="2">
        <v>8.7576396766929094E-3</v>
      </c>
      <c r="F7" s="2">
        <v>0.99288163498380022</v>
      </c>
      <c r="G7" s="2">
        <v>1.7515279353385819E-2</v>
      </c>
      <c r="H7" s="2">
        <v>7.9306663698865965E-3</v>
      </c>
      <c r="I7" s="2">
        <v>0.9920693336301134</v>
      </c>
      <c r="J7" s="2">
        <v>1.5861332739773189E-2</v>
      </c>
      <c r="K7" s="2" t="s">
        <v>1</v>
      </c>
    </row>
    <row r="8" spans="1:11" x14ac:dyDescent="0.35">
      <c r="A8" s="2" t="s">
        <v>18</v>
      </c>
      <c r="B8" s="2">
        <v>396</v>
      </c>
      <c r="C8" s="2">
        <v>308</v>
      </c>
      <c r="D8" s="2">
        <v>0.5625</v>
      </c>
      <c r="E8" s="2">
        <v>5.140143795173258E-4</v>
      </c>
      <c r="F8" s="2">
        <v>0.99960803532611964</v>
      </c>
      <c r="G8" s="2">
        <v>1.028028759034652E-3</v>
      </c>
      <c r="H8" s="2">
        <v>4.555594385768913E-4</v>
      </c>
      <c r="I8" s="2">
        <v>0.99954444056142311</v>
      </c>
      <c r="J8" s="2">
        <v>9.1111887715378259E-4</v>
      </c>
      <c r="K8" s="2" t="s">
        <v>1</v>
      </c>
    </row>
    <row r="9" spans="1:11" x14ac:dyDescent="0.35">
      <c r="A9" s="2" t="s">
        <v>19</v>
      </c>
      <c r="B9" s="2">
        <v>345</v>
      </c>
      <c r="C9" s="2">
        <v>359</v>
      </c>
      <c r="D9" s="2">
        <v>0.49005681818181818</v>
      </c>
      <c r="E9" s="2">
        <v>0.71406108938773216</v>
      </c>
      <c r="F9" s="2">
        <v>0.31209817740007528</v>
      </c>
      <c r="G9" s="2">
        <v>0.62419635480015057</v>
      </c>
      <c r="H9" s="2">
        <v>0.70112707214848013</v>
      </c>
      <c r="I9" s="2">
        <v>0.29887292785151992</v>
      </c>
      <c r="J9" s="2">
        <v>0.59774585570303973</v>
      </c>
      <c r="K9" s="2" t="s">
        <v>12</v>
      </c>
    </row>
    <row r="10" spans="1:11" x14ac:dyDescent="0.35">
      <c r="A10" s="2" t="s">
        <v>20</v>
      </c>
      <c r="B10" s="2">
        <v>359</v>
      </c>
      <c r="C10" s="2">
        <v>345</v>
      </c>
      <c r="D10" s="2">
        <v>0.50994318181818177</v>
      </c>
      <c r="E10" s="2">
        <v>0.33924030681285811</v>
      </c>
      <c r="F10" s="2">
        <v>0.68790182259992472</v>
      </c>
      <c r="G10" s="2">
        <v>0.6784806136257161</v>
      </c>
      <c r="H10" s="2">
        <v>0.29887292785152092</v>
      </c>
      <c r="I10" s="2">
        <v>0.70112707214847914</v>
      </c>
      <c r="J10" s="2">
        <v>0.59774585570304173</v>
      </c>
      <c r="K10" s="2" t="s">
        <v>12</v>
      </c>
    </row>
    <row r="11" spans="1:11" x14ac:dyDescent="0.35">
      <c r="A11" s="2" t="s">
        <v>21</v>
      </c>
      <c r="B11" s="2">
        <v>407</v>
      </c>
      <c r="C11" s="2">
        <v>297</v>
      </c>
      <c r="D11" s="2">
        <v>0.578125</v>
      </c>
      <c r="E11" s="2">
        <v>1.9285241824994172E-5</v>
      </c>
      <c r="F11" s="2">
        <v>0.99998615736150531</v>
      </c>
      <c r="G11" s="2">
        <v>3.8570483649988343E-5</v>
      </c>
      <c r="H11" s="2">
        <v>1.6932870656627411E-5</v>
      </c>
      <c r="I11" s="2">
        <v>0.99998306712934337</v>
      </c>
      <c r="J11" s="2">
        <v>3.3865741313254823E-5</v>
      </c>
      <c r="K11" s="2" t="s">
        <v>1</v>
      </c>
    </row>
    <row r="12" spans="1:11" x14ac:dyDescent="0.35">
      <c r="A12" s="2" t="s">
        <v>22</v>
      </c>
      <c r="B12" s="2">
        <v>397</v>
      </c>
      <c r="C12" s="2">
        <v>307</v>
      </c>
      <c r="D12" s="2">
        <v>0.56392045454545459</v>
      </c>
      <c r="E12" s="2">
        <v>3.9196467388036299E-4</v>
      </c>
      <c r="F12" s="2">
        <v>0.99970272376273472</v>
      </c>
      <c r="G12" s="2">
        <v>7.8392934776072597E-4</v>
      </c>
      <c r="H12" s="2">
        <v>3.4691887544968658E-4</v>
      </c>
      <c r="I12" s="2">
        <v>0.99965308112455031</v>
      </c>
      <c r="J12" s="2">
        <v>6.9383775089937316E-4</v>
      </c>
      <c r="K12" s="2" t="s">
        <v>1</v>
      </c>
    </row>
    <row r="13" spans="1:11" x14ac:dyDescent="0.35">
      <c r="A13" s="2" t="s">
        <v>23</v>
      </c>
      <c r="B13" s="2">
        <v>342</v>
      </c>
      <c r="C13" s="2">
        <v>362</v>
      </c>
      <c r="D13" s="2">
        <v>0.48579545454545447</v>
      </c>
      <c r="E13" s="2">
        <v>0.78565405479424744</v>
      </c>
      <c r="F13" s="2">
        <v>0.23698086456375611</v>
      </c>
      <c r="G13" s="2">
        <v>0.47396172912751222</v>
      </c>
      <c r="H13" s="2">
        <v>0.77450884036555889</v>
      </c>
      <c r="I13" s="2">
        <v>0.22549115963444111</v>
      </c>
      <c r="J13" s="2">
        <v>0.45098231926888221</v>
      </c>
      <c r="K13" s="2" t="s">
        <v>12</v>
      </c>
    </row>
    <row r="14" spans="1:11" x14ac:dyDescent="0.35">
      <c r="A14" s="2" t="s">
        <v>24</v>
      </c>
      <c r="B14" s="2">
        <v>472</v>
      </c>
      <c r="C14" s="2">
        <v>232</v>
      </c>
      <c r="D14" s="2">
        <v>0.67045454545454541</v>
      </c>
      <c r="E14" s="2">
        <v>4.6487864535216721E-20</v>
      </c>
      <c r="F14" s="2">
        <v>1</v>
      </c>
      <c r="G14" s="2">
        <v>9.2975729070433442E-20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25</v>
      </c>
      <c r="B15" s="2">
        <v>56</v>
      </c>
      <c r="C15" s="2">
        <v>55</v>
      </c>
      <c r="D15" s="2">
        <v>0.50450450450450446</v>
      </c>
      <c r="E15" s="2">
        <v>0.57522490634277323</v>
      </c>
      <c r="F15" s="2">
        <v>0.50000000000000067</v>
      </c>
      <c r="G15" s="2">
        <v>1</v>
      </c>
      <c r="H15" s="2">
        <v>0.46219085346560568</v>
      </c>
      <c r="I15" s="2">
        <v>0.53780914653439427</v>
      </c>
      <c r="J15" s="2">
        <v>0.92438170693121147</v>
      </c>
      <c r="K15" s="2" t="s">
        <v>12</v>
      </c>
    </row>
    <row r="16" spans="1:11" x14ac:dyDescent="0.35">
      <c r="A16" s="2" t="s">
        <v>26</v>
      </c>
      <c r="B16" s="2">
        <v>346</v>
      </c>
      <c r="C16" s="2">
        <v>358</v>
      </c>
      <c r="D16" s="2">
        <v>0.49147727272727271</v>
      </c>
      <c r="E16" s="2">
        <v>0.68790182259992472</v>
      </c>
      <c r="F16" s="2">
        <v>0.33924030681285811</v>
      </c>
      <c r="G16" s="2">
        <v>0.6784806136257161</v>
      </c>
      <c r="H16" s="2">
        <v>0.67446168296108322</v>
      </c>
      <c r="I16" s="2">
        <v>0.32553831703891678</v>
      </c>
      <c r="J16" s="2">
        <v>0.65107663407783356</v>
      </c>
      <c r="K16" s="2" t="s">
        <v>12</v>
      </c>
    </row>
    <row r="17" spans="1:11" x14ac:dyDescent="0.35">
      <c r="A17" s="2" t="s">
        <v>27</v>
      </c>
      <c r="B17" s="2">
        <v>438</v>
      </c>
      <c r="C17" s="2">
        <v>266</v>
      </c>
      <c r="D17" s="2">
        <v>0.62215909090909094</v>
      </c>
      <c r="E17" s="2">
        <v>4.6966155646112112E-11</v>
      </c>
      <c r="F17" s="2">
        <v>0.9999999999717929</v>
      </c>
      <c r="G17" s="2">
        <v>9.393231129222421E-11</v>
      </c>
      <c r="H17" s="2">
        <v>4.5109360691242273E-11</v>
      </c>
      <c r="I17" s="2">
        <v>0.99999999995489064</v>
      </c>
      <c r="J17" s="2">
        <v>9.0218721382484546E-11</v>
      </c>
      <c r="K17" s="2" t="s">
        <v>1</v>
      </c>
    </row>
    <row r="18" spans="1:11" x14ac:dyDescent="0.35">
      <c r="A18" s="2" t="s">
        <v>28</v>
      </c>
      <c r="B18" s="2">
        <v>387</v>
      </c>
      <c r="C18" s="2">
        <v>317</v>
      </c>
      <c r="D18" s="2">
        <v>0.54971590909090906</v>
      </c>
      <c r="E18" s="2">
        <v>4.6298355537997774E-3</v>
      </c>
      <c r="F18" s="2">
        <v>0.99629541745891781</v>
      </c>
      <c r="G18" s="2">
        <v>9.2596711075995548E-3</v>
      </c>
      <c r="H18" s="2">
        <v>4.1670722889086687E-3</v>
      </c>
      <c r="I18" s="2">
        <v>0.99583292771109133</v>
      </c>
      <c r="J18" s="2">
        <v>8.3341445778173373E-3</v>
      </c>
      <c r="K18" s="2" t="s">
        <v>1</v>
      </c>
    </row>
    <row r="19" spans="1:11" x14ac:dyDescent="0.35">
      <c r="A19" s="2" t="s">
        <v>29</v>
      </c>
      <c r="B19" s="2">
        <v>369</v>
      </c>
      <c r="C19" s="2">
        <v>335</v>
      </c>
      <c r="D19" s="2">
        <v>0.52414772727272729</v>
      </c>
      <c r="E19" s="2">
        <v>0.1067839002741523</v>
      </c>
      <c r="F19" s="2">
        <v>0.90645347017408007</v>
      </c>
      <c r="G19" s="2">
        <v>0.21356780054830449</v>
      </c>
      <c r="H19" s="2">
        <v>0.1000225272546644</v>
      </c>
      <c r="I19" s="2">
        <v>0.89997747274533557</v>
      </c>
      <c r="J19" s="2">
        <v>0.20004505450932891</v>
      </c>
      <c r="K19" s="2" t="s">
        <v>12</v>
      </c>
    </row>
    <row r="20" spans="1:11" x14ac:dyDescent="0.35">
      <c r="A20" s="2" t="s">
        <v>30</v>
      </c>
      <c r="B20" s="2">
        <v>432</v>
      </c>
      <c r="C20" s="2">
        <v>272</v>
      </c>
      <c r="D20" s="2">
        <v>0.61363636363636365</v>
      </c>
      <c r="E20" s="2">
        <v>8.8418329764702732E-10</v>
      </c>
      <c r="F20" s="2">
        <v>0.99999999944987261</v>
      </c>
      <c r="G20" s="2">
        <v>1.7683665952940551E-9</v>
      </c>
      <c r="H20" s="2">
        <v>8.1864826029232063E-10</v>
      </c>
      <c r="I20" s="2">
        <v>0.99999999918135174</v>
      </c>
      <c r="J20" s="2">
        <v>1.6372965205846411E-9</v>
      </c>
      <c r="K20" s="2" t="s">
        <v>1</v>
      </c>
    </row>
    <row r="21" spans="1:11" x14ac:dyDescent="0.35">
      <c r="A21" s="2" t="s">
        <v>31</v>
      </c>
      <c r="B21" s="2">
        <v>330</v>
      </c>
      <c r="C21" s="2">
        <v>374</v>
      </c>
      <c r="D21" s="2">
        <v>0.46875</v>
      </c>
      <c r="E21" s="2">
        <v>0.955092866564618</v>
      </c>
      <c r="F21" s="2">
        <v>5.2515725500884958E-2</v>
      </c>
      <c r="G21" s="2">
        <v>0.1050314510017699</v>
      </c>
      <c r="H21" s="2">
        <v>0.95137278578049833</v>
      </c>
      <c r="I21" s="2">
        <v>4.8627214219501641E-2</v>
      </c>
      <c r="J21" s="2">
        <v>9.7254428439003338E-2</v>
      </c>
      <c r="K21" s="2" t="s">
        <v>12</v>
      </c>
    </row>
    <row r="22" spans="1:11" x14ac:dyDescent="0.35">
      <c r="A22" s="2" t="s">
        <v>32</v>
      </c>
      <c r="B22" s="2">
        <v>419</v>
      </c>
      <c r="C22" s="2">
        <v>285</v>
      </c>
      <c r="D22" s="2">
        <v>0.59517045454545459</v>
      </c>
      <c r="E22" s="2">
        <v>2.4893806564397472E-7</v>
      </c>
      <c r="F22" s="2">
        <v>0.99999983301767192</v>
      </c>
      <c r="G22" s="2">
        <v>4.9787613128794933E-7</v>
      </c>
      <c r="H22" s="2">
        <v>2.205410271072239E-7</v>
      </c>
      <c r="I22" s="2">
        <v>0.99999977945897289</v>
      </c>
      <c r="J22" s="2">
        <v>4.4108205421444779E-7</v>
      </c>
      <c r="K22" s="2" t="s">
        <v>1</v>
      </c>
    </row>
    <row r="23" spans="1:11" x14ac:dyDescent="0.35">
      <c r="A23" s="2" t="s">
        <v>33</v>
      </c>
      <c r="B23" s="2">
        <v>317</v>
      </c>
      <c r="C23" s="2">
        <v>387</v>
      </c>
      <c r="D23" s="2">
        <v>0.45028409090909088</v>
      </c>
      <c r="E23" s="2">
        <v>0.99629541745891781</v>
      </c>
      <c r="F23" s="2">
        <v>4.6298355537997774E-3</v>
      </c>
      <c r="G23" s="2">
        <v>9.2596711075995548E-3</v>
      </c>
      <c r="H23" s="2">
        <v>0.99583292771109133</v>
      </c>
      <c r="I23" s="2">
        <v>4.1670722889086756E-3</v>
      </c>
      <c r="J23" s="2">
        <v>8.3341445778173373E-3</v>
      </c>
      <c r="K23" s="2" t="s">
        <v>2</v>
      </c>
    </row>
    <row r="24" spans="1:11" x14ac:dyDescent="0.35">
      <c r="A24" s="2" t="s">
        <v>34</v>
      </c>
      <c r="B24" s="2">
        <v>253</v>
      </c>
      <c r="C24" s="2">
        <v>451</v>
      </c>
      <c r="D24" s="2">
        <v>0.359375</v>
      </c>
      <c r="E24" s="2">
        <v>0.99999999999997835</v>
      </c>
      <c r="F24" s="2">
        <v>3.8989699383371863E-14</v>
      </c>
      <c r="G24" s="2">
        <v>7.7979398766743726E-14</v>
      </c>
      <c r="H24" s="2">
        <v>0.99999999999995748</v>
      </c>
      <c r="I24" s="2">
        <v>4.2478382908461559E-14</v>
      </c>
      <c r="J24" s="2">
        <v>8.5043083686286991E-14</v>
      </c>
      <c r="K24" s="2" t="s">
        <v>2</v>
      </c>
    </row>
    <row r="25" spans="1:11" x14ac:dyDescent="0.35">
      <c r="A25" s="2" t="s">
        <v>35</v>
      </c>
      <c r="B25" s="2">
        <v>232</v>
      </c>
      <c r="C25" s="2">
        <v>472</v>
      </c>
      <c r="D25" s="2">
        <v>0.32954545454545447</v>
      </c>
      <c r="E25" s="2">
        <v>1</v>
      </c>
      <c r="F25" s="2">
        <v>4.6487864535216721E-20</v>
      </c>
      <c r="G25" s="2">
        <v>9.2975729070433442E-20</v>
      </c>
      <c r="H25" s="2">
        <v>1</v>
      </c>
      <c r="I25" s="2">
        <v>7.4599831984933769E-20</v>
      </c>
      <c r="J25" s="2">
        <v>0</v>
      </c>
      <c r="K25" s="2" t="s">
        <v>2</v>
      </c>
    </row>
    <row r="26" spans="1:11" x14ac:dyDescent="0.35">
      <c r="A26" s="2" t="s">
        <v>36</v>
      </c>
      <c r="B26" s="2">
        <v>205</v>
      </c>
      <c r="C26" s="2">
        <v>499</v>
      </c>
      <c r="D26" s="2">
        <v>0.29119318181818182</v>
      </c>
      <c r="E26" s="2">
        <v>1</v>
      </c>
      <c r="F26" s="2">
        <v>1.7849653315840999E-29</v>
      </c>
      <c r="G26" s="2">
        <v>3.5699306631681998E-29</v>
      </c>
      <c r="H26" s="2">
        <v>1</v>
      </c>
      <c r="I26" s="2">
        <v>7.7962965122216599E-29</v>
      </c>
      <c r="J26" s="2">
        <v>0</v>
      </c>
      <c r="K26" s="2" t="s">
        <v>2</v>
      </c>
    </row>
    <row r="27" spans="1:11" x14ac:dyDescent="0.35">
      <c r="A27" s="2" t="s">
        <v>37</v>
      </c>
      <c r="B27" s="2">
        <v>469</v>
      </c>
      <c r="C27" s="2">
        <v>235</v>
      </c>
      <c r="D27" s="2">
        <v>0.66619318181818177</v>
      </c>
      <c r="E27" s="2">
        <v>7.7224614927399764E-19</v>
      </c>
      <c r="F27" s="2">
        <v>1</v>
      </c>
      <c r="G27" s="2">
        <v>1.5444922985479951E-18</v>
      </c>
      <c r="H27" s="2">
        <v>0</v>
      </c>
      <c r="I27" s="2">
        <v>1</v>
      </c>
      <c r="J27" s="2">
        <v>0</v>
      </c>
      <c r="K27" s="2" t="s">
        <v>1</v>
      </c>
    </row>
    <row r="28" spans="1:11" x14ac:dyDescent="0.35">
      <c r="A28" s="2" t="s">
        <v>38</v>
      </c>
      <c r="B28" s="2">
        <v>539</v>
      </c>
      <c r="C28" s="2">
        <v>165</v>
      </c>
      <c r="D28" s="2">
        <v>0.765625</v>
      </c>
      <c r="E28" s="2">
        <v>1.83008522618505E-47</v>
      </c>
      <c r="F28" s="2">
        <v>1</v>
      </c>
      <c r="G28" s="2">
        <v>3.6601704523700991E-47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477</v>
      </c>
      <c r="C29" s="2">
        <v>227</v>
      </c>
      <c r="D29" s="2">
        <v>0.67755681818181823</v>
      </c>
      <c r="E29" s="2">
        <v>1.2013044069375279E-21</v>
      </c>
      <c r="F29" s="2">
        <v>1</v>
      </c>
      <c r="G29" s="2">
        <v>2.4026088138750559E-21</v>
      </c>
      <c r="H29" s="2">
        <v>0</v>
      </c>
      <c r="I29" s="2">
        <v>1</v>
      </c>
      <c r="J29" s="2">
        <v>0</v>
      </c>
      <c r="K29" s="2" t="s">
        <v>1</v>
      </c>
    </row>
    <row r="30" spans="1:11" x14ac:dyDescent="0.35">
      <c r="A30" s="2" t="s">
        <v>40</v>
      </c>
      <c r="B30" s="2">
        <v>403</v>
      </c>
      <c r="C30" s="2">
        <v>301</v>
      </c>
      <c r="D30" s="2">
        <v>0.57244318181818177</v>
      </c>
      <c r="E30" s="2">
        <v>9.3132563399741616E-5</v>
      </c>
      <c r="F30" s="2">
        <v>0.99993127286383343</v>
      </c>
      <c r="G30" s="2">
        <v>1.8626512679948321E-4</v>
      </c>
      <c r="H30" s="2">
        <v>6.0456000638975382E-5</v>
      </c>
      <c r="I30" s="2">
        <v>0.99993954399936102</v>
      </c>
      <c r="J30" s="2">
        <v>1.2091200127795081E-4</v>
      </c>
      <c r="K30" s="2" t="s">
        <v>1</v>
      </c>
    </row>
    <row r="31" spans="1:11" x14ac:dyDescent="0.35">
      <c r="A31" s="2" t="s">
        <v>41</v>
      </c>
      <c r="B31" s="2">
        <v>432</v>
      </c>
      <c r="C31" s="2">
        <v>272</v>
      </c>
      <c r="D31" s="2">
        <v>0.61363636363636365</v>
      </c>
      <c r="E31" s="2">
        <v>8.8418329764702732E-10</v>
      </c>
      <c r="F31" s="2">
        <v>0.99999999944987261</v>
      </c>
      <c r="G31" s="2">
        <v>1.7683665952940551E-9</v>
      </c>
      <c r="H31" s="2">
        <v>8.1864826029232063E-10</v>
      </c>
      <c r="I31" s="2">
        <v>0.99999999918135174</v>
      </c>
      <c r="J31" s="2">
        <v>1.6372965205846411E-9</v>
      </c>
      <c r="K31" s="2" t="s">
        <v>1</v>
      </c>
    </row>
    <row r="32" spans="1:11" x14ac:dyDescent="0.35">
      <c r="A32" s="2" t="s">
        <v>42</v>
      </c>
      <c r="B32" s="2">
        <v>470</v>
      </c>
      <c r="C32" s="2">
        <v>234</v>
      </c>
      <c r="D32" s="2">
        <v>0.66761363636363635</v>
      </c>
      <c r="E32" s="2">
        <v>1.918859589311014E-19</v>
      </c>
      <c r="F32" s="2">
        <v>1</v>
      </c>
      <c r="G32" s="2">
        <v>3.837719178622028E-19</v>
      </c>
      <c r="H32" s="2">
        <v>0</v>
      </c>
      <c r="I32" s="2">
        <v>1</v>
      </c>
      <c r="J32" s="2">
        <v>0</v>
      </c>
      <c r="K32" s="2" t="s">
        <v>1</v>
      </c>
    </row>
    <row r="33" spans="1:11" x14ac:dyDescent="0.35">
      <c r="A33" s="2" t="s">
        <v>43</v>
      </c>
      <c r="B33" s="2">
        <v>413</v>
      </c>
      <c r="C33" s="2">
        <v>291</v>
      </c>
      <c r="D33" s="2">
        <v>0.58664772727272729</v>
      </c>
      <c r="E33" s="2">
        <v>2.425141220284132E-6</v>
      </c>
      <c r="F33" s="2">
        <v>0.99999831688327856</v>
      </c>
      <c r="G33" s="2">
        <v>4.8502824405682632E-6</v>
      </c>
      <c r="H33" s="2">
        <v>2.1323387218163958E-6</v>
      </c>
      <c r="I33" s="2">
        <v>0.99999786766127818</v>
      </c>
      <c r="J33" s="2">
        <v>4.2646774436327917E-6</v>
      </c>
      <c r="K33" s="2" t="s">
        <v>1</v>
      </c>
    </row>
    <row r="34" spans="1:11" x14ac:dyDescent="0.35">
      <c r="A34" s="2" t="s">
        <v>44</v>
      </c>
      <c r="B34" s="2">
        <v>312</v>
      </c>
      <c r="C34" s="2">
        <v>392</v>
      </c>
      <c r="D34" s="2">
        <v>0.44318181818181818</v>
      </c>
      <c r="E34" s="2">
        <v>0.99887778140824413</v>
      </c>
      <c r="F34" s="2">
        <v>1.440259242764247E-3</v>
      </c>
      <c r="G34" s="2">
        <v>2.880518485528494E-3</v>
      </c>
      <c r="H34" s="2">
        <v>0.99871558423648865</v>
      </c>
      <c r="I34" s="2">
        <v>1.284415763511356E-3</v>
      </c>
      <c r="J34" s="2">
        <v>2.5688315270226969E-3</v>
      </c>
      <c r="K34" s="2" t="s">
        <v>2</v>
      </c>
    </row>
    <row r="35" spans="1:11" x14ac:dyDescent="0.35">
      <c r="A35" s="2" t="s">
        <v>45</v>
      </c>
      <c r="B35" s="2">
        <v>209</v>
      </c>
      <c r="C35" s="2">
        <v>495</v>
      </c>
      <c r="D35" s="2">
        <v>0.296875</v>
      </c>
      <c r="E35" s="2">
        <v>1</v>
      </c>
      <c r="F35" s="2">
        <v>6.0128866720584896E-28</v>
      </c>
      <c r="G35" s="2">
        <v>1.2025773344116979E-27</v>
      </c>
      <c r="H35" s="2">
        <v>1</v>
      </c>
      <c r="I35" s="2">
        <v>2.162094319784073E-27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192</v>
      </c>
      <c r="C36" s="2">
        <v>512</v>
      </c>
      <c r="D36" s="2">
        <v>0.27272727272727271</v>
      </c>
      <c r="E36" s="2">
        <v>1</v>
      </c>
      <c r="F36" s="2">
        <v>9.0511370201880743E-35</v>
      </c>
      <c r="G36" s="2">
        <v>1.8102274040376151E-34</v>
      </c>
      <c r="H36" s="2">
        <v>1</v>
      </c>
      <c r="I36" s="2">
        <v>8.5419509094949382E-34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420</v>
      </c>
      <c r="C37" s="2">
        <v>284</v>
      </c>
      <c r="D37" s="2">
        <v>0.59659090909090906</v>
      </c>
      <c r="E37" s="2">
        <v>1.6698232803194559E-7</v>
      </c>
      <c r="F37" s="2">
        <v>0.99999988863049394</v>
      </c>
      <c r="G37" s="2">
        <v>3.3396465606389117E-7</v>
      </c>
      <c r="H37" s="2">
        <v>1.4822276928061479E-7</v>
      </c>
      <c r="I37" s="2">
        <v>0.99999985177723072</v>
      </c>
      <c r="J37" s="2">
        <v>2.9644553856122968E-7</v>
      </c>
      <c r="K37" s="2" t="s">
        <v>1</v>
      </c>
    </row>
    <row r="38" spans="1:11" x14ac:dyDescent="0.35">
      <c r="A38" s="2" t="s">
        <v>48</v>
      </c>
      <c r="B38" s="2">
        <v>477</v>
      </c>
      <c r="C38" s="2">
        <v>227</v>
      </c>
      <c r="D38" s="2">
        <v>0.67755681818181823</v>
      </c>
      <c r="E38" s="2">
        <v>1.2013044069375279E-21</v>
      </c>
      <c r="F38" s="2">
        <v>1</v>
      </c>
      <c r="G38" s="2">
        <v>2.4026088138750559E-21</v>
      </c>
      <c r="H38" s="2">
        <v>0</v>
      </c>
      <c r="I38" s="2">
        <v>1</v>
      </c>
      <c r="J38" s="2">
        <v>0</v>
      </c>
      <c r="K38" s="2" t="s">
        <v>1</v>
      </c>
    </row>
    <row r="39" spans="1:11" x14ac:dyDescent="0.35">
      <c r="A39" s="2" t="s">
        <v>49</v>
      </c>
      <c r="B39" s="2">
        <v>555</v>
      </c>
      <c r="C39" s="2">
        <v>149</v>
      </c>
      <c r="D39" s="2">
        <v>0.78835227272727271</v>
      </c>
      <c r="E39" s="2">
        <v>3.7963523261952142E-56</v>
      </c>
      <c r="F39" s="2">
        <v>1</v>
      </c>
      <c r="G39" s="2">
        <v>7.5927046523904283E-56</v>
      </c>
      <c r="H39" s="2">
        <v>0</v>
      </c>
      <c r="I39" s="2">
        <v>1</v>
      </c>
      <c r="J39" s="2">
        <v>0</v>
      </c>
      <c r="K39" s="2" t="s">
        <v>1</v>
      </c>
    </row>
    <row r="40" spans="1:11" x14ac:dyDescent="0.35">
      <c r="A40" s="2" t="s">
        <v>50</v>
      </c>
      <c r="B40" s="2">
        <v>228</v>
      </c>
      <c r="C40" s="2">
        <v>476</v>
      </c>
      <c r="D40" s="2">
        <v>0.32386363636363641</v>
      </c>
      <c r="E40" s="2">
        <v>1</v>
      </c>
      <c r="F40" s="2">
        <v>2.527851327681256E-21</v>
      </c>
      <c r="G40" s="2">
        <v>5.0557026553625112E-21</v>
      </c>
      <c r="H40" s="2">
        <v>1</v>
      </c>
      <c r="I40" s="2">
        <v>4.5147719972388678E-21</v>
      </c>
      <c r="J40" s="2">
        <v>0</v>
      </c>
      <c r="K40" s="2" t="s">
        <v>2</v>
      </c>
    </row>
    <row r="41" spans="1:11" x14ac:dyDescent="0.35">
      <c r="A41" s="2" t="s">
        <v>51</v>
      </c>
      <c r="B41" s="2">
        <v>246</v>
      </c>
      <c r="C41" s="2">
        <v>458</v>
      </c>
      <c r="D41" s="2">
        <v>0.34943181818181818</v>
      </c>
      <c r="E41" s="2">
        <v>0.99999999999999967</v>
      </c>
      <c r="F41" s="2">
        <v>5.6000306775880166E-16</v>
      </c>
      <c r="G41" s="2">
        <v>1.1200061355176029E-15</v>
      </c>
      <c r="H41" s="2">
        <v>0.99999999999999933</v>
      </c>
      <c r="I41" s="2">
        <v>6.7441673037357693E-16</v>
      </c>
      <c r="J41" s="2">
        <v>1.332267629550188E-15</v>
      </c>
      <c r="K41" s="2" t="s">
        <v>2</v>
      </c>
    </row>
    <row r="42" spans="1:11" x14ac:dyDescent="0.35">
      <c r="A42" s="2" t="s">
        <v>52</v>
      </c>
      <c r="B42" s="2">
        <v>566</v>
      </c>
      <c r="C42" s="2">
        <v>138</v>
      </c>
      <c r="D42" s="2">
        <v>0.80397727272727271</v>
      </c>
      <c r="E42" s="2">
        <v>1.1679391231761289E-62</v>
      </c>
      <c r="F42" s="2">
        <v>1</v>
      </c>
      <c r="G42" s="2">
        <v>2.3358782463522569E-62</v>
      </c>
      <c r="H42" s="2">
        <v>0</v>
      </c>
      <c r="I42" s="2">
        <v>1</v>
      </c>
      <c r="J42" s="2">
        <v>0</v>
      </c>
      <c r="K42" s="2" t="s">
        <v>1</v>
      </c>
    </row>
    <row r="43" spans="1:11" x14ac:dyDescent="0.35">
      <c r="A43" s="2" t="s">
        <v>53</v>
      </c>
      <c r="B43" s="2">
        <v>460</v>
      </c>
      <c r="C43" s="2">
        <v>244</v>
      </c>
      <c r="D43" s="2">
        <v>0.65340909090909094</v>
      </c>
      <c r="E43" s="2">
        <v>1.576497202618777E-16</v>
      </c>
      <c r="F43" s="2">
        <v>0.99999999999999989</v>
      </c>
      <c r="G43" s="2">
        <v>3.1529944052375539E-16</v>
      </c>
      <c r="H43" s="2">
        <v>2.2204460492503131E-16</v>
      </c>
      <c r="I43" s="2">
        <v>0.99999999999999978</v>
      </c>
      <c r="J43" s="2">
        <v>4.4408920985006262E-16</v>
      </c>
      <c r="K43" s="2" t="s">
        <v>1</v>
      </c>
    </row>
    <row r="44" spans="1:11" x14ac:dyDescent="0.35">
      <c r="A44" s="2" t="s">
        <v>54</v>
      </c>
      <c r="B44" s="2">
        <v>508</v>
      </c>
      <c r="C44" s="2">
        <v>196</v>
      </c>
      <c r="D44" s="2">
        <v>0.72159090909090906</v>
      </c>
      <c r="E44" s="2">
        <v>4.3702351109743023E-33</v>
      </c>
      <c r="F44" s="2">
        <v>1</v>
      </c>
      <c r="G44" s="2">
        <v>8.7404702219486046E-33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447</v>
      </c>
      <c r="C45" s="2">
        <v>257</v>
      </c>
      <c r="D45" s="2">
        <v>0.63494318181818177</v>
      </c>
      <c r="E45" s="2">
        <v>6.7296703835153783E-13</v>
      </c>
      <c r="F45" s="2">
        <v>0.99999999999961464</v>
      </c>
      <c r="G45" s="2">
        <v>1.3459340767030761E-12</v>
      </c>
      <c r="H45" s="2">
        <v>4.0079051188968151E-13</v>
      </c>
      <c r="I45" s="2">
        <v>0.99999999999959921</v>
      </c>
      <c r="J45" s="2">
        <v>8.0158102377936302E-13</v>
      </c>
      <c r="K45" s="2" t="s">
        <v>1</v>
      </c>
    </row>
    <row r="46" spans="1:11" x14ac:dyDescent="0.35">
      <c r="A46" s="2" t="s">
        <v>56</v>
      </c>
      <c r="B46" s="2">
        <v>423</v>
      </c>
      <c r="C46" s="2">
        <v>281</v>
      </c>
      <c r="D46" s="2">
        <v>0.60085227272727271</v>
      </c>
      <c r="E46" s="2">
        <v>4.8695444035950358E-8</v>
      </c>
      <c r="F46" s="2">
        <v>0.99999996807690539</v>
      </c>
      <c r="G46" s="2">
        <v>9.7390888071900728E-8</v>
      </c>
      <c r="H46" s="2">
        <v>4.3535463345456549E-8</v>
      </c>
      <c r="I46" s="2">
        <v>0.99999995646453665</v>
      </c>
      <c r="J46" s="2">
        <v>8.7070926690913097E-8</v>
      </c>
      <c r="K46" s="2" t="s">
        <v>1</v>
      </c>
    </row>
    <row r="47" spans="1:11" x14ac:dyDescent="0.35">
      <c r="A47" s="2" t="s">
        <v>57</v>
      </c>
      <c r="B47" s="2">
        <v>631</v>
      </c>
      <c r="C47" s="2">
        <v>73</v>
      </c>
      <c r="D47" s="2">
        <v>0.89630681818181823</v>
      </c>
      <c r="E47" s="2">
        <v>4.6843790067146826E-112</v>
      </c>
      <c r="F47" s="2">
        <v>1</v>
      </c>
      <c r="G47" s="2">
        <v>9.3687580134293651E-112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379</v>
      </c>
      <c r="C48" s="2">
        <v>325</v>
      </c>
      <c r="D48" s="2">
        <v>0.53835227272727271</v>
      </c>
      <c r="E48" s="2">
        <v>2.284636495568472E-2</v>
      </c>
      <c r="F48" s="2">
        <v>0.98094645180629603</v>
      </c>
      <c r="G48" s="2">
        <v>4.5692729911369447E-2</v>
      </c>
      <c r="H48" s="2">
        <v>2.0915297282622421E-2</v>
      </c>
      <c r="I48" s="2">
        <v>0.97908470271737758</v>
      </c>
      <c r="J48" s="2">
        <v>4.183059456524485E-2</v>
      </c>
      <c r="K48" s="2" t="s">
        <v>1</v>
      </c>
    </row>
    <row r="49" spans="1:11" x14ac:dyDescent="0.35">
      <c r="A49" s="2" t="s">
        <v>59</v>
      </c>
      <c r="B49" s="2">
        <v>347</v>
      </c>
      <c r="C49" s="2">
        <v>357</v>
      </c>
      <c r="D49" s="2">
        <v>0.49289772727272729</v>
      </c>
      <c r="E49" s="2">
        <v>0.66075969318714201</v>
      </c>
      <c r="F49" s="2">
        <v>0.36724284954996672</v>
      </c>
      <c r="G49" s="2">
        <v>0.73448569909993344</v>
      </c>
      <c r="H49" s="2">
        <v>0.64687201894757329</v>
      </c>
      <c r="I49" s="2">
        <v>0.35312798105242671</v>
      </c>
      <c r="J49" s="2">
        <v>0.70625596210485342</v>
      </c>
      <c r="K49" s="2" t="s">
        <v>12</v>
      </c>
    </row>
    <row r="50" spans="1:11" x14ac:dyDescent="0.35">
      <c r="A50" s="2" t="s">
        <v>60</v>
      </c>
      <c r="B50" s="2">
        <v>431</v>
      </c>
      <c r="C50" s="2">
        <v>273</v>
      </c>
      <c r="D50" s="2">
        <v>0.61221590909090906</v>
      </c>
      <c r="E50" s="2">
        <v>1.412799308712125E-9</v>
      </c>
      <c r="F50" s="2">
        <v>0.99999999911581672</v>
      </c>
      <c r="G50" s="2">
        <v>2.82559861742425E-9</v>
      </c>
      <c r="H50" s="2">
        <v>1.301559859889778E-9</v>
      </c>
      <c r="I50" s="2">
        <v>0.99999999869844014</v>
      </c>
      <c r="J50" s="2">
        <v>2.6031197197795559E-9</v>
      </c>
      <c r="K50" s="2" t="s">
        <v>1</v>
      </c>
    </row>
    <row r="51" spans="1:11" x14ac:dyDescent="0.35">
      <c r="A51" s="2" t="s">
        <v>61</v>
      </c>
      <c r="B51" s="2">
        <v>326</v>
      </c>
      <c r="C51" s="2">
        <v>378</v>
      </c>
      <c r="D51" s="2">
        <v>0.46306818181818182</v>
      </c>
      <c r="E51" s="2">
        <v>0.97715363504431529</v>
      </c>
      <c r="F51" s="2">
        <v>2.7255805301668649E-2</v>
      </c>
      <c r="G51" s="2">
        <v>5.4511610603337292E-2</v>
      </c>
      <c r="H51" s="2">
        <v>0.97499180225717708</v>
      </c>
      <c r="I51" s="2">
        <v>2.5008197742822879E-2</v>
      </c>
      <c r="J51" s="2">
        <v>5.0016395485645848E-2</v>
      </c>
      <c r="K51" s="2" t="s">
        <v>2</v>
      </c>
    </row>
    <row r="52" spans="1:11" x14ac:dyDescent="0.35">
      <c r="A52" s="2" t="s">
        <v>62</v>
      </c>
      <c r="B52" s="2">
        <v>661</v>
      </c>
      <c r="C52" s="2">
        <v>43</v>
      </c>
      <c r="D52" s="2">
        <v>0.93892045454545459</v>
      </c>
      <c r="E52" s="2">
        <v>1.584378530636991E-143</v>
      </c>
      <c r="F52" s="2">
        <v>1</v>
      </c>
      <c r="G52" s="2">
        <v>3.1687570612739828E-143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671</v>
      </c>
      <c r="C53" s="2">
        <v>33</v>
      </c>
      <c r="D53" s="2">
        <v>0.953125</v>
      </c>
      <c r="E53" s="2">
        <v>6.2672177835785651E-156</v>
      </c>
      <c r="F53" s="2">
        <v>1</v>
      </c>
      <c r="G53" s="2">
        <v>1.253443556715713E-155</v>
      </c>
      <c r="H53" s="2">
        <v>0</v>
      </c>
      <c r="I53" s="2">
        <v>1</v>
      </c>
      <c r="J53" s="2">
        <v>0</v>
      </c>
      <c r="K53" s="2" t="s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485</v>
      </c>
      <c r="C2" s="2">
        <v>499</v>
      </c>
      <c r="D2" s="2">
        <v>0.49288617886178859</v>
      </c>
      <c r="E2" s="2">
        <v>0.6837287171426143</v>
      </c>
      <c r="F2" s="2">
        <v>0.33929215320999773</v>
      </c>
      <c r="G2" s="2">
        <v>0.67858430641999545</v>
      </c>
      <c r="H2" s="2">
        <v>0.67231105772201771</v>
      </c>
      <c r="I2" s="2">
        <v>0.32768894227798229</v>
      </c>
      <c r="J2" s="2">
        <v>0.65537788455596457</v>
      </c>
      <c r="K2" s="2" t="s">
        <v>12</v>
      </c>
    </row>
    <row r="3" spans="1:11" x14ac:dyDescent="0.35">
      <c r="A3" s="2" t="s">
        <v>13</v>
      </c>
      <c r="B3" s="2">
        <v>465</v>
      </c>
      <c r="C3" s="2">
        <v>519</v>
      </c>
      <c r="D3" s="2">
        <v>0.47256097560975607</v>
      </c>
      <c r="E3" s="2">
        <v>0.96025424856792696</v>
      </c>
      <c r="F3" s="2">
        <v>4.5528921742181858E-2</v>
      </c>
      <c r="G3" s="2">
        <v>9.1057843484363715E-2</v>
      </c>
      <c r="H3" s="2">
        <v>0.95741604705802219</v>
      </c>
      <c r="I3" s="2">
        <v>4.2583952941977823E-2</v>
      </c>
      <c r="J3" s="2">
        <v>8.5167905883955619E-2</v>
      </c>
      <c r="K3" s="2" t="s">
        <v>2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445</v>
      </c>
      <c r="C5" s="2">
        <v>539</v>
      </c>
      <c r="D5" s="2">
        <v>0.45223577235772361</v>
      </c>
      <c r="E5" s="2">
        <v>0.99877962679942434</v>
      </c>
      <c r="F5" s="2">
        <v>1.5051032699417129E-3</v>
      </c>
      <c r="G5" s="2">
        <v>3.0102065398834271E-3</v>
      </c>
      <c r="H5" s="2">
        <v>0.99863500384341108</v>
      </c>
      <c r="I5" s="2">
        <v>1.364996156588868E-3</v>
      </c>
      <c r="J5" s="2">
        <v>2.729992313177831E-3</v>
      </c>
      <c r="K5" s="2" t="s">
        <v>2</v>
      </c>
    </row>
    <row r="6" spans="1:11" x14ac:dyDescent="0.35">
      <c r="A6" s="2" t="s">
        <v>16</v>
      </c>
      <c r="B6" s="2">
        <v>643</v>
      </c>
      <c r="C6" s="2">
        <v>341</v>
      </c>
      <c r="D6" s="2">
        <v>0.65345528455284552</v>
      </c>
      <c r="E6" s="2">
        <v>1.9797325263251729E-22</v>
      </c>
      <c r="F6" s="2">
        <v>1</v>
      </c>
      <c r="G6" s="2">
        <v>3.9594650526503459E-22</v>
      </c>
      <c r="H6" s="2">
        <v>0</v>
      </c>
      <c r="I6" s="2">
        <v>1</v>
      </c>
      <c r="J6" s="2">
        <v>0</v>
      </c>
      <c r="K6" s="2" t="s">
        <v>1</v>
      </c>
    </row>
    <row r="7" spans="1:11" x14ac:dyDescent="0.35">
      <c r="A7" s="2" t="s">
        <v>17</v>
      </c>
      <c r="B7" s="2">
        <v>693</v>
      </c>
      <c r="C7" s="2">
        <v>291</v>
      </c>
      <c r="D7" s="2">
        <v>0.70426829268292679</v>
      </c>
      <c r="E7" s="2">
        <v>8.9658728957199553E-39</v>
      </c>
      <c r="F7" s="2">
        <v>1</v>
      </c>
      <c r="G7" s="2">
        <v>1.7931745791439911E-38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18</v>
      </c>
      <c r="B8" s="2">
        <v>611</v>
      </c>
      <c r="C8" s="2">
        <v>373</v>
      </c>
      <c r="D8" s="2">
        <v>0.62093495934959353</v>
      </c>
      <c r="E8" s="2">
        <v>1.5757444469028781E-14</v>
      </c>
      <c r="F8" s="2">
        <v>0.99999999999999045</v>
      </c>
      <c r="G8" s="2">
        <v>3.1514888938057569E-14</v>
      </c>
      <c r="H8" s="2">
        <v>1.6320278461989801E-14</v>
      </c>
      <c r="I8" s="2">
        <v>0.99999999999998368</v>
      </c>
      <c r="J8" s="2">
        <v>3.2640556923979602E-14</v>
      </c>
      <c r="K8" s="2" t="s">
        <v>1</v>
      </c>
    </row>
    <row r="9" spans="1:11" x14ac:dyDescent="0.35">
      <c r="A9" s="2" t="s">
        <v>19</v>
      </c>
      <c r="B9" s="2">
        <v>548</v>
      </c>
      <c r="C9" s="2">
        <v>436</v>
      </c>
      <c r="D9" s="2">
        <v>0.55691056910569103</v>
      </c>
      <c r="E9" s="2">
        <v>1.9853821643737031E-4</v>
      </c>
      <c r="F9" s="2">
        <v>0.99984451123023477</v>
      </c>
      <c r="G9" s="2">
        <v>3.9707643287474072E-4</v>
      </c>
      <c r="H9" s="2">
        <v>1.7819812152974901E-4</v>
      </c>
      <c r="I9" s="2">
        <v>0.99982180187847025</v>
      </c>
      <c r="J9" s="2">
        <v>3.5639624305949802E-4</v>
      </c>
      <c r="K9" s="2" t="s">
        <v>1</v>
      </c>
    </row>
    <row r="10" spans="1:11" x14ac:dyDescent="0.35">
      <c r="A10" s="2" t="s">
        <v>20</v>
      </c>
      <c r="B10" s="2">
        <v>373</v>
      </c>
      <c r="C10" s="2">
        <v>611</v>
      </c>
      <c r="D10" s="2">
        <v>0.37906504065040653</v>
      </c>
      <c r="E10" s="2">
        <v>0.99999999999999045</v>
      </c>
      <c r="F10" s="2">
        <v>1.5757444469028781E-14</v>
      </c>
      <c r="G10" s="2">
        <v>3.1514888938057569E-14</v>
      </c>
      <c r="H10" s="2">
        <v>0.99999999999998368</v>
      </c>
      <c r="I10" s="2">
        <v>1.634929683736508E-14</v>
      </c>
      <c r="J10" s="2">
        <v>3.2640556923979602E-14</v>
      </c>
      <c r="K10" s="2" t="s">
        <v>2</v>
      </c>
    </row>
    <row r="11" spans="1:11" x14ac:dyDescent="0.35">
      <c r="A11" s="2" t="s">
        <v>21</v>
      </c>
      <c r="B11" s="2">
        <v>438</v>
      </c>
      <c r="C11" s="2">
        <v>546</v>
      </c>
      <c r="D11" s="2">
        <v>0.4451219512195122</v>
      </c>
      <c r="E11" s="2">
        <v>0.99974747758041316</v>
      </c>
      <c r="F11" s="2">
        <v>3.1994104772099428E-4</v>
      </c>
      <c r="G11" s="2">
        <v>6.3988209544198866E-4</v>
      </c>
      <c r="H11" s="2">
        <v>0.99971225912348216</v>
      </c>
      <c r="I11" s="2">
        <v>2.8774087651785952E-4</v>
      </c>
      <c r="J11" s="2">
        <v>5.7548175303567817E-4</v>
      </c>
      <c r="K11" s="2" t="s">
        <v>2</v>
      </c>
    </row>
    <row r="12" spans="1:11" x14ac:dyDescent="0.35">
      <c r="A12" s="2" t="s">
        <v>22</v>
      </c>
      <c r="B12" s="2">
        <v>448</v>
      </c>
      <c r="C12" s="2">
        <v>536</v>
      </c>
      <c r="D12" s="2">
        <v>0.45528455284552838</v>
      </c>
      <c r="E12" s="2">
        <v>0.99773664056901701</v>
      </c>
      <c r="F12" s="2">
        <v>2.7597897121236729E-3</v>
      </c>
      <c r="G12" s="2">
        <v>5.5195794242473457E-3</v>
      </c>
      <c r="H12" s="2">
        <v>0.99748680434957493</v>
      </c>
      <c r="I12" s="2">
        <v>2.5131956504250621E-3</v>
      </c>
      <c r="J12" s="2">
        <v>5.0263913008501424E-3</v>
      </c>
      <c r="K12" s="2" t="s">
        <v>2</v>
      </c>
    </row>
    <row r="13" spans="1:11" x14ac:dyDescent="0.35">
      <c r="A13" s="2" t="s">
        <v>23</v>
      </c>
      <c r="B13" s="2">
        <v>543</v>
      </c>
      <c r="C13" s="2">
        <v>441</v>
      </c>
      <c r="D13" s="2">
        <v>0.55182926829268297</v>
      </c>
      <c r="E13" s="2">
        <v>6.3577144909883129E-4</v>
      </c>
      <c r="F13" s="2">
        <v>0.99949234714653856</v>
      </c>
      <c r="G13" s="2">
        <v>1.271542898197663E-3</v>
      </c>
      <c r="H13" s="2">
        <v>5.7370376166432369E-4</v>
      </c>
      <c r="I13" s="2">
        <v>0.99942629623833568</v>
      </c>
      <c r="J13" s="2">
        <v>1.1474075233286469E-3</v>
      </c>
      <c r="K13" s="2" t="s">
        <v>1</v>
      </c>
    </row>
    <row r="14" spans="1:11" x14ac:dyDescent="0.35">
      <c r="A14" s="2" t="s">
        <v>24</v>
      </c>
      <c r="B14" s="2">
        <v>394</v>
      </c>
      <c r="C14" s="2">
        <v>590</v>
      </c>
      <c r="D14" s="2">
        <v>0.40040650406504058</v>
      </c>
      <c r="E14" s="2">
        <v>0.99999999985201682</v>
      </c>
      <c r="F14" s="2">
        <v>2.237676364152182E-10</v>
      </c>
      <c r="G14" s="2">
        <v>4.4753527283043639E-10</v>
      </c>
      <c r="H14" s="2">
        <v>0.9999999997924639</v>
      </c>
      <c r="I14" s="2">
        <v>2.0753609061794201E-10</v>
      </c>
      <c r="J14" s="2">
        <v>4.150721988338546E-10</v>
      </c>
      <c r="K14" s="2" t="s">
        <v>2</v>
      </c>
    </row>
    <row r="15" spans="1:11" x14ac:dyDescent="0.35">
      <c r="A15" s="2" t="s">
        <v>25</v>
      </c>
      <c r="B15" s="2">
        <v>25</v>
      </c>
      <c r="C15" s="2">
        <v>48</v>
      </c>
      <c r="D15" s="2">
        <v>0.34246575342465752</v>
      </c>
      <c r="E15" s="2">
        <v>0.99768685303905225</v>
      </c>
      <c r="F15" s="2">
        <v>4.7711057129327383E-3</v>
      </c>
      <c r="G15" s="2">
        <v>9.5422114258654767E-3</v>
      </c>
      <c r="H15" s="2">
        <v>0.99644818180012895</v>
      </c>
      <c r="I15" s="2">
        <v>3.5518181998710611E-3</v>
      </c>
      <c r="J15" s="2">
        <v>7.103636399742097E-3</v>
      </c>
      <c r="K15" s="2" t="s">
        <v>2</v>
      </c>
    </row>
    <row r="16" spans="1:11" x14ac:dyDescent="0.35">
      <c r="A16" s="2" t="s">
        <v>26</v>
      </c>
      <c r="B16" s="2">
        <v>490</v>
      </c>
      <c r="C16" s="2">
        <v>494</v>
      </c>
      <c r="D16" s="2">
        <v>0.49796747967479682</v>
      </c>
      <c r="E16" s="2">
        <v>0.56331564741138507</v>
      </c>
      <c r="F16" s="2">
        <v>0.46190782651296952</v>
      </c>
      <c r="G16" s="2">
        <v>0.92381565302593904</v>
      </c>
      <c r="H16" s="2">
        <v>0.55073373467072373</v>
      </c>
      <c r="I16" s="2">
        <v>0.44926626532927622</v>
      </c>
      <c r="J16" s="2">
        <v>0.89853253065855254</v>
      </c>
      <c r="K16" s="2" t="s">
        <v>12</v>
      </c>
    </row>
    <row r="17" spans="1:11" x14ac:dyDescent="0.35">
      <c r="A17" s="2" t="s">
        <v>27</v>
      </c>
      <c r="B17" s="2">
        <v>472</v>
      </c>
      <c r="C17" s="2">
        <v>512</v>
      </c>
      <c r="D17" s="2">
        <v>0.47967479674796748</v>
      </c>
      <c r="E17" s="2">
        <v>0.90441242068569194</v>
      </c>
      <c r="F17" s="2">
        <v>0.1068727673786477</v>
      </c>
      <c r="G17" s="2">
        <v>0.21374553475729549</v>
      </c>
      <c r="H17" s="2">
        <v>0.89887252882252811</v>
      </c>
      <c r="I17" s="2">
        <v>0.10112747117747201</v>
      </c>
      <c r="J17" s="2">
        <v>0.20225494235494379</v>
      </c>
      <c r="K17" s="2" t="s">
        <v>12</v>
      </c>
    </row>
    <row r="18" spans="1:11" x14ac:dyDescent="0.35">
      <c r="A18" s="2" t="s">
        <v>28</v>
      </c>
      <c r="B18" s="2">
        <v>333</v>
      </c>
      <c r="C18" s="2">
        <v>651</v>
      </c>
      <c r="D18" s="2">
        <v>0.33841463414634149</v>
      </c>
      <c r="E18" s="2">
        <v>1</v>
      </c>
      <c r="F18" s="2">
        <v>1.037862286681335E-24</v>
      </c>
      <c r="G18" s="2">
        <v>2.0757245733626699E-24</v>
      </c>
      <c r="H18" s="2">
        <v>1</v>
      </c>
      <c r="I18" s="2">
        <v>1.8836556277564651E-24</v>
      </c>
      <c r="J18" s="2">
        <v>0</v>
      </c>
      <c r="K18" s="2" t="s">
        <v>2</v>
      </c>
    </row>
    <row r="19" spans="1:11" x14ac:dyDescent="0.35">
      <c r="A19" s="2" t="s">
        <v>29</v>
      </c>
      <c r="B19" s="2">
        <v>155</v>
      </c>
      <c r="C19" s="2">
        <v>829</v>
      </c>
      <c r="D19" s="2">
        <v>0.15752032520325199</v>
      </c>
      <c r="E19" s="2">
        <v>1</v>
      </c>
      <c r="F19" s="2">
        <v>3.490328385852726E-112</v>
      </c>
      <c r="G19" s="2">
        <v>6.980656771705451E-112</v>
      </c>
      <c r="H19" s="2">
        <v>1</v>
      </c>
      <c r="I19" s="2">
        <v>1.044844947802335E-102</v>
      </c>
      <c r="J19" s="2">
        <v>0</v>
      </c>
      <c r="K19" s="2" t="s">
        <v>2</v>
      </c>
    </row>
    <row r="20" spans="1:11" x14ac:dyDescent="0.35">
      <c r="A20" s="2" t="s">
        <v>30</v>
      </c>
      <c r="B20" s="2">
        <v>87</v>
      </c>
      <c r="C20" s="2">
        <v>897</v>
      </c>
      <c r="D20" s="2">
        <v>8.8414634146341459E-2</v>
      </c>
      <c r="E20" s="2">
        <v>1</v>
      </c>
      <c r="F20" s="2">
        <v>1.569241167657816E-170</v>
      </c>
      <c r="G20" s="2">
        <v>3.138482335315631E-170</v>
      </c>
      <c r="H20" s="2">
        <v>1</v>
      </c>
      <c r="I20" s="2">
        <v>2.5198725051771762E-147</v>
      </c>
      <c r="J20" s="2">
        <v>0</v>
      </c>
      <c r="K20" s="2" t="s">
        <v>2</v>
      </c>
    </row>
    <row r="21" spans="1:11" x14ac:dyDescent="0.35">
      <c r="A21" s="2" t="s">
        <v>31</v>
      </c>
      <c r="B21" s="2">
        <v>107</v>
      </c>
      <c r="C21" s="2">
        <v>877</v>
      </c>
      <c r="D21" s="2">
        <v>0.10873983739837401</v>
      </c>
      <c r="E21" s="2">
        <v>1</v>
      </c>
      <c r="F21" s="2">
        <v>2.547883684376974E-151</v>
      </c>
      <c r="G21" s="2">
        <v>5.0957673687539488E-151</v>
      </c>
      <c r="H21" s="2">
        <v>1</v>
      </c>
      <c r="I21" s="2">
        <v>2.345088771077771E-133</v>
      </c>
      <c r="J21" s="2">
        <v>0</v>
      </c>
      <c r="K21" s="2" t="s">
        <v>2</v>
      </c>
    </row>
    <row r="22" spans="1:11" x14ac:dyDescent="0.35">
      <c r="A22" s="2" t="s">
        <v>32</v>
      </c>
      <c r="B22" s="2">
        <v>540</v>
      </c>
      <c r="C22" s="2">
        <v>444</v>
      </c>
      <c r="D22" s="2">
        <v>0.54878048780487809</v>
      </c>
      <c r="E22" s="2">
        <v>1.220373200575612E-3</v>
      </c>
      <c r="F22" s="2">
        <v>0.99901426546769834</v>
      </c>
      <c r="G22" s="2">
        <v>2.4407464011512239E-3</v>
      </c>
      <c r="H22" s="2">
        <v>1.105325091572462E-3</v>
      </c>
      <c r="I22" s="2">
        <v>0.99889467490842754</v>
      </c>
      <c r="J22" s="2">
        <v>2.2106501831449239E-3</v>
      </c>
      <c r="K22" s="2" t="s">
        <v>1</v>
      </c>
    </row>
    <row r="23" spans="1:11" x14ac:dyDescent="0.35">
      <c r="A23" s="2" t="s">
        <v>33</v>
      </c>
      <c r="B23" s="2">
        <v>378</v>
      </c>
      <c r="C23" s="2">
        <v>606</v>
      </c>
      <c r="D23" s="2">
        <v>0.38414634146341459</v>
      </c>
      <c r="E23" s="2">
        <v>0.99999999999988765</v>
      </c>
      <c r="F23" s="2">
        <v>1.8162106935694731E-13</v>
      </c>
      <c r="G23" s="2">
        <v>3.6324213871389461E-13</v>
      </c>
      <c r="H23" s="2">
        <v>0.99999999999981803</v>
      </c>
      <c r="I23" s="2">
        <v>1.8191943608650479E-13</v>
      </c>
      <c r="J23" s="2">
        <v>3.6393110747212631E-13</v>
      </c>
      <c r="K23" s="2" t="s">
        <v>2</v>
      </c>
    </row>
    <row r="24" spans="1:11" x14ac:dyDescent="0.35">
      <c r="A24" s="2" t="s">
        <v>34</v>
      </c>
      <c r="B24" s="2">
        <v>409</v>
      </c>
      <c r="C24" s="2">
        <v>575</v>
      </c>
      <c r="D24" s="2">
        <v>0.41565040650406498</v>
      </c>
      <c r="E24" s="2">
        <v>0.99999995254875329</v>
      </c>
      <c r="F24" s="2">
        <v>6.7468977420744442E-8</v>
      </c>
      <c r="G24" s="2">
        <v>1.3493795484148891E-7</v>
      </c>
      <c r="H24" s="2">
        <v>0.99999993946956223</v>
      </c>
      <c r="I24" s="2">
        <v>6.0530437799305245E-8</v>
      </c>
      <c r="J24" s="2">
        <v>1.2106087554641931E-7</v>
      </c>
      <c r="K24" s="2" t="s">
        <v>2</v>
      </c>
    </row>
    <row r="25" spans="1:11" x14ac:dyDescent="0.35">
      <c r="A25" s="2" t="s">
        <v>35</v>
      </c>
      <c r="B25" s="2">
        <v>533</v>
      </c>
      <c r="C25" s="2">
        <v>451</v>
      </c>
      <c r="D25" s="2">
        <v>0.54166666666666663</v>
      </c>
      <c r="E25" s="2">
        <v>4.8911942996628134E-3</v>
      </c>
      <c r="F25" s="2">
        <v>0.99594302973241455</v>
      </c>
      <c r="G25" s="2">
        <v>9.7823885993256268E-3</v>
      </c>
      <c r="H25" s="2">
        <v>4.4736068869172252E-3</v>
      </c>
      <c r="I25" s="2">
        <v>0.99552639311308277</v>
      </c>
      <c r="J25" s="2">
        <v>8.9472137738344504E-3</v>
      </c>
      <c r="K25" s="2" t="s">
        <v>1</v>
      </c>
    </row>
    <row r="26" spans="1:11" x14ac:dyDescent="0.35">
      <c r="A26" s="2" t="s">
        <v>36</v>
      </c>
      <c r="B26" s="2">
        <v>317</v>
      </c>
      <c r="C26" s="2">
        <v>667</v>
      </c>
      <c r="D26" s="2">
        <v>0.32215447154471538</v>
      </c>
      <c r="E26" s="2">
        <v>1</v>
      </c>
      <c r="F26" s="2">
        <v>1.198074593892667E-29</v>
      </c>
      <c r="G26" s="2">
        <v>2.396149187785335E-29</v>
      </c>
      <c r="H26" s="2">
        <v>1</v>
      </c>
      <c r="I26" s="2">
        <v>3.287398768204894E-29</v>
      </c>
      <c r="J26" s="2">
        <v>0</v>
      </c>
      <c r="K26" s="2" t="s">
        <v>2</v>
      </c>
    </row>
    <row r="27" spans="1:11" x14ac:dyDescent="0.35">
      <c r="A27" s="2" t="s">
        <v>37</v>
      </c>
      <c r="B27" s="2">
        <v>568</v>
      </c>
      <c r="C27" s="2">
        <v>416</v>
      </c>
      <c r="D27" s="2">
        <v>0.57723577235772361</v>
      </c>
      <c r="E27" s="2">
        <v>7.0771119274836087E-7</v>
      </c>
      <c r="F27" s="2">
        <v>0.99999948797209881</v>
      </c>
      <c r="G27" s="2">
        <v>1.415422385496722E-6</v>
      </c>
      <c r="H27" s="2">
        <v>6.3120204352173914E-7</v>
      </c>
      <c r="I27" s="2">
        <v>0.99999936879795648</v>
      </c>
      <c r="J27" s="2">
        <v>1.2624040870434781E-6</v>
      </c>
      <c r="K27" s="2" t="s">
        <v>1</v>
      </c>
    </row>
    <row r="28" spans="1:11" x14ac:dyDescent="0.35">
      <c r="A28" s="2" t="s">
        <v>38</v>
      </c>
      <c r="B28" s="2">
        <v>908</v>
      </c>
      <c r="C28" s="2">
        <v>76</v>
      </c>
      <c r="D28" s="2">
        <v>0.92276422764227639</v>
      </c>
      <c r="E28" s="2">
        <v>5.3115811875040262E-182</v>
      </c>
      <c r="F28" s="2">
        <v>1</v>
      </c>
      <c r="G28" s="2">
        <v>1.062316237500805E-181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885</v>
      </c>
      <c r="C29" s="2">
        <v>99</v>
      </c>
      <c r="D29" s="2">
        <v>0.89939024390243905</v>
      </c>
      <c r="E29" s="2">
        <v>9.0805711554375239E-159</v>
      </c>
      <c r="F29" s="2">
        <v>1</v>
      </c>
      <c r="G29" s="2">
        <v>1.816114231087505E-158</v>
      </c>
      <c r="H29" s="2">
        <v>0</v>
      </c>
      <c r="I29" s="2">
        <v>1</v>
      </c>
      <c r="J29" s="2">
        <v>0</v>
      </c>
      <c r="K29" s="2" t="s">
        <v>1</v>
      </c>
    </row>
    <row r="30" spans="1:11" x14ac:dyDescent="0.35">
      <c r="A30" s="2" t="s">
        <v>40</v>
      </c>
      <c r="B30" s="2">
        <v>219</v>
      </c>
      <c r="C30" s="2">
        <v>765</v>
      </c>
      <c r="D30" s="2">
        <v>0.2225609756097561</v>
      </c>
      <c r="E30" s="2">
        <v>1</v>
      </c>
      <c r="F30" s="2">
        <v>9.2558777689842466E-72</v>
      </c>
      <c r="G30" s="2">
        <v>1.8511755537968489E-71</v>
      </c>
      <c r="H30" s="2">
        <v>1</v>
      </c>
      <c r="I30" s="2">
        <v>3.724976418456799E-68</v>
      </c>
      <c r="J30" s="2">
        <v>0</v>
      </c>
      <c r="K30" s="2" t="s">
        <v>2</v>
      </c>
    </row>
    <row r="31" spans="1:11" x14ac:dyDescent="0.35">
      <c r="A31" s="2" t="s">
        <v>41</v>
      </c>
      <c r="B31" s="2">
        <v>392</v>
      </c>
      <c r="C31" s="2">
        <v>592</v>
      </c>
      <c r="D31" s="2">
        <v>0.3983739837398374</v>
      </c>
      <c r="E31" s="2">
        <v>0.99999999993607946</v>
      </c>
      <c r="F31" s="2">
        <v>9.7460268327204311E-11</v>
      </c>
      <c r="G31" s="2">
        <v>1.949205366544086E-10</v>
      </c>
      <c r="H31" s="2">
        <v>0.99999999990897537</v>
      </c>
      <c r="I31" s="2">
        <v>9.1024684095297619E-11</v>
      </c>
      <c r="J31" s="2">
        <v>1.8204926455211989E-10</v>
      </c>
      <c r="K31" s="2" t="s">
        <v>2</v>
      </c>
    </row>
    <row r="32" spans="1:11" x14ac:dyDescent="0.35">
      <c r="A32" s="2" t="s">
        <v>42</v>
      </c>
      <c r="B32" s="2">
        <v>855</v>
      </c>
      <c r="C32" s="2">
        <v>129</v>
      </c>
      <c r="D32" s="2">
        <v>0.86890243902439024</v>
      </c>
      <c r="E32" s="2">
        <v>2.7747383884747689E-132</v>
      </c>
      <c r="F32" s="2">
        <v>1</v>
      </c>
      <c r="G32" s="2">
        <v>5.549476776949539E-132</v>
      </c>
      <c r="H32" s="2">
        <v>0</v>
      </c>
      <c r="I32" s="2">
        <v>1</v>
      </c>
      <c r="J32" s="2">
        <v>0</v>
      </c>
      <c r="K32" s="2" t="s">
        <v>1</v>
      </c>
    </row>
    <row r="33" spans="1:11" x14ac:dyDescent="0.35">
      <c r="A33" s="2" t="s">
        <v>43</v>
      </c>
      <c r="B33" s="2">
        <v>426</v>
      </c>
      <c r="C33" s="2">
        <v>558</v>
      </c>
      <c r="D33" s="2">
        <v>0.43292682926829268</v>
      </c>
      <c r="E33" s="2">
        <v>0.99998912001215334</v>
      </c>
      <c r="F33" s="2">
        <v>1.4449111374415439E-5</v>
      </c>
      <c r="G33" s="2">
        <v>2.8898222748830879E-5</v>
      </c>
      <c r="H33" s="2">
        <v>0.99998711831606835</v>
      </c>
      <c r="I33" s="2">
        <v>1.2881683931679459E-5</v>
      </c>
      <c r="J33" s="2">
        <v>2.5763367863307352E-5</v>
      </c>
      <c r="K33" s="2" t="s">
        <v>2</v>
      </c>
    </row>
    <row r="34" spans="1:11" x14ac:dyDescent="0.35">
      <c r="A34" s="2" t="s">
        <v>44</v>
      </c>
      <c r="B34" s="2">
        <v>542</v>
      </c>
      <c r="C34" s="2">
        <v>442</v>
      </c>
      <c r="D34" s="2">
        <v>0.55081300813008127</v>
      </c>
      <c r="E34" s="2">
        <v>7.9316601342255938E-4</v>
      </c>
      <c r="F34" s="2">
        <v>0.99936422855090112</v>
      </c>
      <c r="G34" s="2">
        <v>1.586332026845119E-3</v>
      </c>
      <c r="H34" s="2">
        <v>7.1659117266220651E-4</v>
      </c>
      <c r="I34" s="2">
        <v>0.99928340882733779</v>
      </c>
      <c r="J34" s="2">
        <v>1.433182345324413E-3</v>
      </c>
      <c r="K34" s="2" t="s">
        <v>1</v>
      </c>
    </row>
    <row r="35" spans="1:11" x14ac:dyDescent="0.35">
      <c r="A35" s="2" t="s">
        <v>45</v>
      </c>
      <c r="B35" s="2">
        <v>555</v>
      </c>
      <c r="C35" s="2">
        <v>429</v>
      </c>
      <c r="D35" s="2">
        <v>0.56402439024390238</v>
      </c>
      <c r="E35" s="2">
        <v>3.3049857869967827E-5</v>
      </c>
      <c r="F35" s="2">
        <v>0.99997481691893608</v>
      </c>
      <c r="G35" s="2">
        <v>6.6099715739935654E-5</v>
      </c>
      <c r="H35" s="2">
        <v>2.9505222181147591E-5</v>
      </c>
      <c r="I35" s="2">
        <v>0.99997049477781885</v>
      </c>
      <c r="J35" s="2">
        <v>5.9010444362295189E-5</v>
      </c>
      <c r="K35" s="2" t="s">
        <v>1</v>
      </c>
    </row>
    <row r="36" spans="1:11" x14ac:dyDescent="0.35">
      <c r="A36" s="2" t="s">
        <v>46</v>
      </c>
      <c r="B36" s="2">
        <v>451</v>
      </c>
      <c r="C36" s="2">
        <v>533</v>
      </c>
      <c r="D36" s="2">
        <v>0.45833333333333331</v>
      </c>
      <c r="E36" s="2">
        <v>0.99594302973241455</v>
      </c>
      <c r="F36" s="2">
        <v>4.8911942996628134E-3</v>
      </c>
      <c r="G36" s="2">
        <v>9.7823885993256268E-3</v>
      </c>
      <c r="H36" s="2">
        <v>0.99552639311308277</v>
      </c>
      <c r="I36" s="2">
        <v>4.473606886917194E-3</v>
      </c>
      <c r="J36" s="2">
        <v>8.9472137738344504E-3</v>
      </c>
      <c r="K36" s="2" t="s">
        <v>2</v>
      </c>
    </row>
    <row r="37" spans="1:11" x14ac:dyDescent="0.35">
      <c r="A37" s="2" t="s">
        <v>47</v>
      </c>
      <c r="B37" s="2">
        <v>328</v>
      </c>
      <c r="C37" s="2">
        <v>656</v>
      </c>
      <c r="D37" s="2">
        <v>0.33333333333333331</v>
      </c>
      <c r="E37" s="2">
        <v>1</v>
      </c>
      <c r="F37" s="2">
        <v>3.3686473783027312E-26</v>
      </c>
      <c r="G37" s="2">
        <v>6.7372947566054624E-26</v>
      </c>
      <c r="H37" s="2">
        <v>1</v>
      </c>
      <c r="I37" s="2">
        <v>6.8583061131524297E-26</v>
      </c>
      <c r="J37" s="2">
        <v>0</v>
      </c>
      <c r="K37" s="2" t="s">
        <v>2</v>
      </c>
    </row>
    <row r="38" spans="1:11" x14ac:dyDescent="0.35">
      <c r="A38" s="2" t="s">
        <v>48</v>
      </c>
      <c r="B38" s="2">
        <v>863</v>
      </c>
      <c r="C38" s="2">
        <v>121</v>
      </c>
      <c r="D38" s="2">
        <v>0.87703252032520329</v>
      </c>
      <c r="E38" s="2">
        <v>5.655055321337531E-139</v>
      </c>
      <c r="F38" s="2">
        <v>1</v>
      </c>
      <c r="G38" s="2">
        <v>1.1310110642675061E-138</v>
      </c>
      <c r="H38" s="2">
        <v>0</v>
      </c>
      <c r="I38" s="2">
        <v>1</v>
      </c>
      <c r="J38" s="2">
        <v>0</v>
      </c>
      <c r="K38" s="2" t="s">
        <v>1</v>
      </c>
    </row>
    <row r="39" spans="1:11" x14ac:dyDescent="0.35">
      <c r="A39" s="2" t="s">
        <v>49</v>
      </c>
      <c r="B39" s="2">
        <v>948</v>
      </c>
      <c r="C39" s="2">
        <v>36</v>
      </c>
      <c r="D39" s="2">
        <v>0.96341463414634143</v>
      </c>
      <c r="E39" s="2">
        <v>5.001368427739879E-231</v>
      </c>
      <c r="F39" s="2">
        <v>1</v>
      </c>
      <c r="G39" s="2">
        <v>1.000273685547976E-230</v>
      </c>
      <c r="H39" s="2">
        <v>0</v>
      </c>
      <c r="I39" s="2">
        <v>1</v>
      </c>
      <c r="J39" s="2">
        <v>0</v>
      </c>
      <c r="K39" s="2" t="s">
        <v>1</v>
      </c>
    </row>
    <row r="40" spans="1:11" x14ac:dyDescent="0.35">
      <c r="A40" s="2" t="s">
        <v>50</v>
      </c>
      <c r="B40" s="2">
        <v>387</v>
      </c>
      <c r="C40" s="2">
        <v>597</v>
      </c>
      <c r="D40" s="2">
        <v>0.39329268292682928</v>
      </c>
      <c r="E40" s="2">
        <v>0.99999999999271227</v>
      </c>
      <c r="F40" s="2">
        <v>1.134549943286507E-11</v>
      </c>
      <c r="G40" s="2">
        <v>2.2690998865730149E-11</v>
      </c>
      <c r="H40" s="2">
        <v>0.99999999998918354</v>
      </c>
      <c r="I40" s="2">
        <v>1.081640962178126E-11</v>
      </c>
      <c r="J40" s="2">
        <v>2.16329176794261E-11</v>
      </c>
      <c r="K40" s="2" t="s">
        <v>2</v>
      </c>
    </row>
    <row r="41" spans="1:11" x14ac:dyDescent="0.35">
      <c r="A41" s="2" t="s">
        <v>51</v>
      </c>
      <c r="B41" s="2">
        <v>445</v>
      </c>
      <c r="C41" s="2">
        <v>539</v>
      </c>
      <c r="D41" s="2">
        <v>0.45223577235772361</v>
      </c>
      <c r="E41" s="2">
        <v>0.99877962679942434</v>
      </c>
      <c r="F41" s="2">
        <v>1.5051032699417129E-3</v>
      </c>
      <c r="G41" s="2">
        <v>3.0102065398834271E-3</v>
      </c>
      <c r="H41" s="2">
        <v>0.99863500384341108</v>
      </c>
      <c r="I41" s="2">
        <v>1.364996156588868E-3</v>
      </c>
      <c r="J41" s="2">
        <v>2.729992313177831E-3</v>
      </c>
      <c r="K41" s="2" t="s">
        <v>2</v>
      </c>
    </row>
    <row r="42" spans="1:11" x14ac:dyDescent="0.35">
      <c r="A42" s="2" t="s">
        <v>52</v>
      </c>
      <c r="B42" s="2">
        <v>890</v>
      </c>
      <c r="C42" s="2">
        <v>94</v>
      </c>
      <c r="D42" s="2">
        <v>0.90447154471544711</v>
      </c>
      <c r="E42" s="2">
        <v>1.4016688322339379E-163</v>
      </c>
      <c r="F42" s="2">
        <v>1</v>
      </c>
      <c r="G42" s="2">
        <v>2.8033376644678753E-163</v>
      </c>
      <c r="H42" s="2">
        <v>0</v>
      </c>
      <c r="I42" s="2">
        <v>1</v>
      </c>
      <c r="J42" s="2">
        <v>0</v>
      </c>
      <c r="K42" s="2" t="s">
        <v>1</v>
      </c>
    </row>
    <row r="43" spans="1:11" x14ac:dyDescent="0.35">
      <c r="A43" s="2" t="s">
        <v>53</v>
      </c>
      <c r="B43" s="2">
        <v>677</v>
      </c>
      <c r="C43" s="2">
        <v>307</v>
      </c>
      <c r="D43" s="2">
        <v>0.68800813008130079</v>
      </c>
      <c r="E43" s="2">
        <v>5.4017712735869157E-33</v>
      </c>
      <c r="F43" s="2">
        <v>1</v>
      </c>
      <c r="G43" s="2">
        <v>1.080354254717383E-32</v>
      </c>
      <c r="H43" s="2">
        <v>0</v>
      </c>
      <c r="I43" s="2">
        <v>1</v>
      </c>
      <c r="J43" s="2">
        <v>0</v>
      </c>
      <c r="K43" s="2" t="s">
        <v>1</v>
      </c>
    </row>
    <row r="44" spans="1:11" x14ac:dyDescent="0.35">
      <c r="A44" s="2" t="s">
        <v>54</v>
      </c>
      <c r="B44" s="2">
        <v>519</v>
      </c>
      <c r="C44" s="2">
        <v>465</v>
      </c>
      <c r="D44" s="2">
        <v>0.52743902439024393</v>
      </c>
      <c r="E44" s="2">
        <v>4.5528921742181858E-2</v>
      </c>
      <c r="F44" s="2">
        <v>0.96025424856792696</v>
      </c>
      <c r="G44" s="2">
        <v>9.1057843484363715E-2</v>
      </c>
      <c r="H44" s="2">
        <v>4.258395294197781E-2</v>
      </c>
      <c r="I44" s="2">
        <v>0.95741604705802219</v>
      </c>
      <c r="J44" s="2">
        <v>8.5167905883955619E-2</v>
      </c>
      <c r="K44" s="2" t="s">
        <v>1</v>
      </c>
    </row>
    <row r="45" spans="1:11" x14ac:dyDescent="0.35">
      <c r="A45" s="2" t="s">
        <v>55</v>
      </c>
      <c r="B45" s="2">
        <v>557</v>
      </c>
      <c r="C45" s="2">
        <v>427</v>
      </c>
      <c r="D45" s="2">
        <v>0.56605691056910568</v>
      </c>
      <c r="E45" s="2">
        <v>1.911321190952992E-5</v>
      </c>
      <c r="F45" s="2">
        <v>0.99998555088862562</v>
      </c>
      <c r="G45" s="2">
        <v>3.8226423819059833E-5</v>
      </c>
      <c r="H45" s="2">
        <v>1.704648436806622E-5</v>
      </c>
      <c r="I45" s="2">
        <v>0.99998295351563193</v>
      </c>
      <c r="J45" s="2">
        <v>3.4092968736132427E-5</v>
      </c>
      <c r="K45" s="2" t="s">
        <v>1</v>
      </c>
    </row>
    <row r="46" spans="1:11" x14ac:dyDescent="0.35">
      <c r="A46" s="2" t="s">
        <v>56</v>
      </c>
      <c r="B46" s="2">
        <v>435</v>
      </c>
      <c r="C46" s="2">
        <v>549</v>
      </c>
      <c r="D46" s="2">
        <v>0.44207317073170732</v>
      </c>
      <c r="E46" s="2">
        <v>0.99987869986183586</v>
      </c>
      <c r="F46" s="2">
        <v>1.5548876976525199E-4</v>
      </c>
      <c r="G46" s="2">
        <v>3.1097753953050397E-4</v>
      </c>
      <c r="H46" s="2">
        <v>0.9998605708629793</v>
      </c>
      <c r="I46" s="2">
        <v>1.3942913702068619E-4</v>
      </c>
      <c r="J46" s="2">
        <v>2.7885827404139357E-4</v>
      </c>
      <c r="K46" s="2" t="s">
        <v>2</v>
      </c>
    </row>
    <row r="47" spans="1:11" x14ac:dyDescent="0.35">
      <c r="A47" s="2" t="s">
        <v>57</v>
      </c>
      <c r="B47" s="2">
        <v>881</v>
      </c>
      <c r="C47" s="2">
        <v>103</v>
      </c>
      <c r="D47" s="2">
        <v>0.89532520325203258</v>
      </c>
      <c r="E47" s="2">
        <v>5.2438014827760843E-155</v>
      </c>
      <c r="F47" s="2">
        <v>1</v>
      </c>
      <c r="G47" s="2">
        <v>1.048760296555217E-154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685</v>
      </c>
      <c r="C48" s="2">
        <v>299</v>
      </c>
      <c r="D48" s="2">
        <v>0.69613821138211385</v>
      </c>
      <c r="E48" s="2">
        <v>8.1080101929464927E-36</v>
      </c>
      <c r="F48" s="2">
        <v>1</v>
      </c>
      <c r="G48" s="2">
        <v>1.6216020385892991E-35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756</v>
      </c>
      <c r="C49" s="2">
        <v>228</v>
      </c>
      <c r="D49" s="2">
        <v>0.76829268292682928</v>
      </c>
      <c r="E49" s="2">
        <v>5.7046947689623379E-67</v>
      </c>
      <c r="F49" s="2">
        <v>1</v>
      </c>
      <c r="G49" s="2">
        <v>1.140938953792468E-66</v>
      </c>
      <c r="H49" s="2">
        <v>0</v>
      </c>
      <c r="I49" s="2">
        <v>1</v>
      </c>
      <c r="J49" s="2">
        <v>0</v>
      </c>
      <c r="K49" s="2" t="s">
        <v>1</v>
      </c>
    </row>
    <row r="50" spans="1:11" x14ac:dyDescent="0.35">
      <c r="A50" s="2" t="s">
        <v>60</v>
      </c>
      <c r="B50" s="2">
        <v>611</v>
      </c>
      <c r="C50" s="2">
        <v>373</v>
      </c>
      <c r="D50" s="2">
        <v>0.62093495934959353</v>
      </c>
      <c r="E50" s="2">
        <v>1.5757444469028781E-14</v>
      </c>
      <c r="F50" s="2">
        <v>0.99999999999999045</v>
      </c>
      <c r="G50" s="2">
        <v>3.1514888938057569E-14</v>
      </c>
      <c r="H50" s="2">
        <v>1.6320278461989801E-14</v>
      </c>
      <c r="I50" s="2">
        <v>0.99999999999998368</v>
      </c>
      <c r="J50" s="2">
        <v>3.2640556923979602E-14</v>
      </c>
      <c r="K50" s="2" t="s">
        <v>1</v>
      </c>
    </row>
    <row r="51" spans="1:11" x14ac:dyDescent="0.35">
      <c r="A51" s="2" t="s">
        <v>61</v>
      </c>
      <c r="B51" s="2">
        <v>144</v>
      </c>
      <c r="C51" s="2">
        <v>840</v>
      </c>
      <c r="D51" s="2">
        <v>0.14634146341463411</v>
      </c>
      <c r="E51" s="2">
        <v>1</v>
      </c>
      <c r="F51" s="2">
        <v>2.1483468080309269E-120</v>
      </c>
      <c r="G51" s="2">
        <v>4.2966936160618539E-120</v>
      </c>
      <c r="H51" s="2">
        <v>1</v>
      </c>
      <c r="I51" s="2">
        <v>2.2590340934893531E-109</v>
      </c>
      <c r="J51" s="2">
        <v>0</v>
      </c>
      <c r="K51" s="2" t="s">
        <v>2</v>
      </c>
    </row>
    <row r="52" spans="1:11" x14ac:dyDescent="0.35">
      <c r="A52" s="2" t="s">
        <v>62</v>
      </c>
      <c r="B52" s="2">
        <v>945</v>
      </c>
      <c r="C52" s="2">
        <v>39</v>
      </c>
      <c r="D52" s="2">
        <v>0.96036585365853655</v>
      </c>
      <c r="E52" s="2">
        <v>7.7727522562061908E-227</v>
      </c>
      <c r="F52" s="2">
        <v>1</v>
      </c>
      <c r="G52" s="2">
        <v>1.554550451241238E-226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984</v>
      </c>
      <c r="C53" s="2">
        <v>0</v>
      </c>
      <c r="D53" s="2">
        <v>1</v>
      </c>
      <c r="E53" s="2">
        <v>6.1162364502226952E-297</v>
      </c>
      <c r="F53" s="2">
        <v>1</v>
      </c>
      <c r="G53" s="2">
        <v>1.223247290044539E-296</v>
      </c>
      <c r="H53" s="2">
        <v>0</v>
      </c>
      <c r="I53" s="2">
        <v>1</v>
      </c>
      <c r="J53" s="2">
        <v>0</v>
      </c>
      <c r="K53" s="2" t="s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841</v>
      </c>
      <c r="C2" s="2">
        <v>792</v>
      </c>
      <c r="D2" s="2">
        <v>0.51500306184935696</v>
      </c>
      <c r="E2" s="2">
        <v>0.12748966132940071</v>
      </c>
      <c r="F2" s="2">
        <v>0.88255139218429346</v>
      </c>
      <c r="G2" s="2">
        <v>0.25497932265880152</v>
      </c>
      <c r="H2" s="2">
        <v>0.1126491783846143</v>
      </c>
      <c r="I2" s="2">
        <v>0.8873508216153857</v>
      </c>
      <c r="J2" s="2">
        <v>0.2252983567692286</v>
      </c>
      <c r="K2" s="2" t="s">
        <v>12</v>
      </c>
    </row>
    <row r="3" spans="1:11" x14ac:dyDescent="0.35">
      <c r="A3" s="2" t="s">
        <v>13</v>
      </c>
      <c r="B3" s="2">
        <v>692</v>
      </c>
      <c r="C3" s="2">
        <v>941</v>
      </c>
      <c r="D3" s="2">
        <v>0.42375995101041031</v>
      </c>
      <c r="E3" s="2">
        <v>0.99999999971479081</v>
      </c>
      <c r="F3" s="2">
        <v>3.9081565190395678E-10</v>
      </c>
      <c r="G3" s="2">
        <v>7.8163130380791367E-10</v>
      </c>
      <c r="H3" s="2">
        <v>0.99999999964034347</v>
      </c>
      <c r="I3" s="2">
        <v>3.5965656551931891E-10</v>
      </c>
      <c r="J3" s="2">
        <v>7.1931305356542907E-10</v>
      </c>
      <c r="K3" s="2" t="s">
        <v>2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501</v>
      </c>
      <c r="C5" s="2">
        <v>1132</v>
      </c>
      <c r="D5" s="2">
        <v>0.30679730557256579</v>
      </c>
      <c r="E5" s="2">
        <v>1</v>
      </c>
      <c r="F5" s="2">
        <v>1.7171803494803709E-56</v>
      </c>
      <c r="G5" s="2">
        <v>3.4343606989607419E-56</v>
      </c>
      <c r="H5" s="2">
        <v>1</v>
      </c>
      <c r="I5" s="2">
        <v>2.8865512537135709E-55</v>
      </c>
      <c r="J5" s="2">
        <v>0</v>
      </c>
      <c r="K5" s="2" t="s">
        <v>2</v>
      </c>
    </row>
    <row r="6" spans="1:11" x14ac:dyDescent="0.35">
      <c r="A6" s="2" t="s">
        <v>16</v>
      </c>
      <c r="B6" s="2">
        <v>375</v>
      </c>
      <c r="C6" s="2">
        <v>1258</v>
      </c>
      <c r="D6" s="2">
        <v>0.22963870177587259</v>
      </c>
      <c r="E6" s="2">
        <v>1</v>
      </c>
      <c r="F6" s="2">
        <v>1.225274824472019E-111</v>
      </c>
      <c r="G6" s="2">
        <v>2.4505496489440381E-111</v>
      </c>
      <c r="H6" s="2">
        <v>1</v>
      </c>
      <c r="I6" s="2">
        <v>3.8180249808807371E-106</v>
      </c>
      <c r="J6" s="2">
        <v>0</v>
      </c>
      <c r="K6" s="2" t="s">
        <v>2</v>
      </c>
    </row>
    <row r="7" spans="1:11" x14ac:dyDescent="0.35">
      <c r="A7" s="2" t="s">
        <v>17</v>
      </c>
      <c r="B7" s="2">
        <v>433</v>
      </c>
      <c r="C7" s="2">
        <v>1200</v>
      </c>
      <c r="D7" s="2">
        <v>0.26515615431720763</v>
      </c>
      <c r="E7" s="2">
        <v>1</v>
      </c>
      <c r="F7" s="2">
        <v>5.0946124501019883E-84</v>
      </c>
      <c r="G7" s="2">
        <v>1.018922490020398E-83</v>
      </c>
      <c r="H7" s="2">
        <v>1</v>
      </c>
      <c r="I7" s="2">
        <v>1.241701567465425E-80</v>
      </c>
      <c r="J7" s="2">
        <v>0</v>
      </c>
      <c r="K7" s="2" t="s">
        <v>2</v>
      </c>
    </row>
    <row r="8" spans="1:11" x14ac:dyDescent="0.35">
      <c r="A8" s="2" t="s">
        <v>18</v>
      </c>
      <c r="B8" s="2">
        <v>1034</v>
      </c>
      <c r="C8" s="2">
        <v>599</v>
      </c>
      <c r="D8" s="2">
        <v>0.63319044703000615</v>
      </c>
      <c r="E8" s="2">
        <v>1.6453224167204381E-27</v>
      </c>
      <c r="F8" s="2">
        <v>1</v>
      </c>
      <c r="G8" s="2">
        <v>3.2906448334408763E-27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19</v>
      </c>
      <c r="B9" s="2">
        <v>500</v>
      </c>
      <c r="C9" s="2">
        <v>1133</v>
      </c>
      <c r="D9" s="2">
        <v>0.30618493570116351</v>
      </c>
      <c r="E9" s="2">
        <v>1</v>
      </c>
      <c r="F9" s="2">
        <v>7.5760311776544855E-57</v>
      </c>
      <c r="G9" s="2">
        <v>1.5152062355308971E-56</v>
      </c>
      <c r="H9" s="2">
        <v>1</v>
      </c>
      <c r="I9" s="2">
        <v>1.3269561855120329E-55</v>
      </c>
      <c r="J9" s="2">
        <v>0</v>
      </c>
      <c r="K9" s="2" t="s">
        <v>2</v>
      </c>
    </row>
    <row r="10" spans="1:11" x14ac:dyDescent="0.35">
      <c r="A10" s="2" t="s">
        <v>20</v>
      </c>
      <c r="B10" s="2">
        <v>825</v>
      </c>
      <c r="C10" s="2">
        <v>808</v>
      </c>
      <c r="D10" s="2">
        <v>0.50520514390691973</v>
      </c>
      <c r="E10" s="2">
        <v>0.36450981315316999</v>
      </c>
      <c r="F10" s="2">
        <v>0.6539182261478429</v>
      </c>
      <c r="G10" s="2">
        <v>0.7290196263063401</v>
      </c>
      <c r="H10" s="2">
        <v>0.33699298168283232</v>
      </c>
      <c r="I10" s="2">
        <v>0.66300701831716768</v>
      </c>
      <c r="J10" s="2">
        <v>0.67398596336566463</v>
      </c>
      <c r="K10" s="2" t="s">
        <v>12</v>
      </c>
    </row>
    <row r="11" spans="1:11" x14ac:dyDescent="0.35">
      <c r="A11" s="2" t="s">
        <v>21</v>
      </c>
      <c r="B11" s="2">
        <v>438</v>
      </c>
      <c r="C11" s="2">
        <v>1195</v>
      </c>
      <c r="D11" s="2">
        <v>0.26821800367421922</v>
      </c>
      <c r="E11" s="2">
        <v>1</v>
      </c>
      <c r="F11" s="2">
        <v>2.2369391647193978E-81</v>
      </c>
      <c r="G11" s="2">
        <v>4.4738783294387966E-81</v>
      </c>
      <c r="H11" s="2">
        <v>1</v>
      </c>
      <c r="I11" s="2">
        <v>1.337258533128009E-78</v>
      </c>
      <c r="J11" s="2">
        <v>0</v>
      </c>
      <c r="K11" s="2" t="s">
        <v>2</v>
      </c>
    </row>
    <row r="12" spans="1:11" x14ac:dyDescent="0.35">
      <c r="A12" s="2" t="s">
        <v>22</v>
      </c>
      <c r="B12" s="2">
        <v>817</v>
      </c>
      <c r="C12" s="2">
        <v>816</v>
      </c>
      <c r="D12" s="2">
        <v>0.50030618493570111</v>
      </c>
      <c r="E12" s="2">
        <v>0.51973547523924757</v>
      </c>
      <c r="F12" s="2">
        <v>0.49999999999999939</v>
      </c>
      <c r="G12" s="2">
        <v>1</v>
      </c>
      <c r="H12" s="2">
        <v>0.49012873864821649</v>
      </c>
      <c r="I12" s="2">
        <v>0.50987126135178351</v>
      </c>
      <c r="J12" s="2">
        <v>0.98025747729643298</v>
      </c>
      <c r="K12" s="2" t="s">
        <v>12</v>
      </c>
    </row>
    <row r="13" spans="1:11" x14ac:dyDescent="0.35">
      <c r="A13" s="2" t="s">
        <v>23</v>
      </c>
      <c r="B13" s="2">
        <v>448</v>
      </c>
      <c r="C13" s="2">
        <v>1185</v>
      </c>
      <c r="D13" s="2">
        <v>0.27434170238824251</v>
      </c>
      <c r="E13" s="2">
        <v>1</v>
      </c>
      <c r="F13" s="2">
        <v>4.4260608983734622E-77</v>
      </c>
      <c r="G13" s="2">
        <v>8.8521217967469244E-77</v>
      </c>
      <c r="H13" s="2">
        <v>1</v>
      </c>
      <c r="I13" s="2">
        <v>1.2913755917770159E-74</v>
      </c>
      <c r="J13" s="2">
        <v>0</v>
      </c>
      <c r="K13" s="2" t="s">
        <v>2</v>
      </c>
    </row>
    <row r="14" spans="1:11" x14ac:dyDescent="0.35">
      <c r="A14" s="2" t="s">
        <v>24</v>
      </c>
      <c r="B14" s="2">
        <v>590</v>
      </c>
      <c r="C14" s="2">
        <v>1043</v>
      </c>
      <c r="D14" s="2">
        <v>0.36129822412737289</v>
      </c>
      <c r="E14" s="2">
        <v>1</v>
      </c>
      <c r="F14" s="2">
        <v>1.0561768432081439E-29</v>
      </c>
      <c r="G14" s="2">
        <v>2.1123536864162879E-29</v>
      </c>
      <c r="H14" s="2">
        <v>1</v>
      </c>
      <c r="I14" s="2">
        <v>1.821234016931933E-29</v>
      </c>
      <c r="J14" s="2">
        <v>0</v>
      </c>
      <c r="K14" s="2" t="s">
        <v>2</v>
      </c>
    </row>
    <row r="15" spans="1:11" x14ac:dyDescent="0.35">
      <c r="A15" s="2" t="s">
        <v>25</v>
      </c>
      <c r="B15" s="2">
        <v>79</v>
      </c>
      <c r="C15" s="2">
        <v>47</v>
      </c>
      <c r="D15" s="2">
        <v>0.62698412698412698</v>
      </c>
      <c r="E15" s="2">
        <v>2.7680125819489068E-3</v>
      </c>
      <c r="F15" s="2">
        <v>0.99843719446686263</v>
      </c>
      <c r="G15" s="2">
        <v>5.5360251638978154E-3</v>
      </c>
      <c r="H15" s="2">
        <v>2.1805615268203349E-3</v>
      </c>
      <c r="I15" s="2">
        <v>0.99781943847317967</v>
      </c>
      <c r="J15" s="2">
        <v>4.3611230536406698E-3</v>
      </c>
      <c r="K15" s="2" t="s">
        <v>1</v>
      </c>
    </row>
    <row r="16" spans="1:11" x14ac:dyDescent="0.35">
      <c r="A16" s="2" t="s">
        <v>26</v>
      </c>
      <c r="B16" s="2">
        <v>1059</v>
      </c>
      <c r="C16" s="2">
        <v>574</v>
      </c>
      <c r="D16" s="2">
        <v>0.64849969381506434</v>
      </c>
      <c r="E16" s="2">
        <v>7.8832504818009139E-34</v>
      </c>
      <c r="F16" s="2">
        <v>1</v>
      </c>
      <c r="G16" s="2">
        <v>1.5766500963601831E-33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27</v>
      </c>
      <c r="B17" s="2">
        <v>621</v>
      </c>
      <c r="C17" s="2">
        <v>1012</v>
      </c>
      <c r="D17" s="2">
        <v>0.38028169014084512</v>
      </c>
      <c r="E17" s="2">
        <v>1</v>
      </c>
      <c r="F17" s="2">
        <v>1.547601377779754E-22</v>
      </c>
      <c r="G17" s="2">
        <v>3.095202755559508E-22</v>
      </c>
      <c r="H17" s="2">
        <v>1</v>
      </c>
      <c r="I17" s="2">
        <v>1.911796903706294E-22</v>
      </c>
      <c r="J17" s="2">
        <v>0</v>
      </c>
      <c r="K17" s="2" t="s">
        <v>2</v>
      </c>
    </row>
    <row r="18" spans="1:11" x14ac:dyDescent="0.35">
      <c r="A18" s="2" t="s">
        <v>28</v>
      </c>
      <c r="B18" s="2">
        <v>428</v>
      </c>
      <c r="C18" s="2">
        <v>1205</v>
      </c>
      <c r="D18" s="2">
        <v>0.26209430496019598</v>
      </c>
      <c r="E18" s="2">
        <v>1</v>
      </c>
      <c r="F18" s="2">
        <v>8.2828953435746142E-86</v>
      </c>
      <c r="G18" s="2">
        <v>1.6565790687149231E-85</v>
      </c>
      <c r="H18" s="2">
        <v>1</v>
      </c>
      <c r="I18" s="2">
        <v>1.0846679872884481E-82</v>
      </c>
      <c r="J18" s="2">
        <v>0</v>
      </c>
      <c r="K18" s="2" t="s">
        <v>2</v>
      </c>
    </row>
    <row r="19" spans="1:11" x14ac:dyDescent="0.35">
      <c r="A19" s="2" t="s">
        <v>29</v>
      </c>
      <c r="B19" s="2">
        <v>539</v>
      </c>
      <c r="C19" s="2">
        <v>1094</v>
      </c>
      <c r="D19" s="2">
        <v>0.33006736068585418</v>
      </c>
      <c r="E19" s="2">
        <v>1</v>
      </c>
      <c r="F19" s="2">
        <v>6.7361153829833298E-44</v>
      </c>
      <c r="G19" s="2">
        <v>1.347223076596666E-43</v>
      </c>
      <c r="H19" s="2">
        <v>1</v>
      </c>
      <c r="I19" s="2">
        <v>3.1724100119529571E-43</v>
      </c>
      <c r="J19" s="2">
        <v>0</v>
      </c>
      <c r="K19" s="2" t="s">
        <v>2</v>
      </c>
    </row>
    <row r="20" spans="1:11" x14ac:dyDescent="0.35">
      <c r="A20" s="2" t="s">
        <v>30</v>
      </c>
      <c r="B20" s="2">
        <v>606</v>
      </c>
      <c r="C20" s="2">
        <v>1027</v>
      </c>
      <c r="D20" s="2">
        <v>0.37109614206981018</v>
      </c>
      <c r="E20" s="2">
        <v>1</v>
      </c>
      <c r="F20" s="2">
        <v>7.2093686304169373E-26</v>
      </c>
      <c r="G20" s="2">
        <v>1.441873726083387E-25</v>
      </c>
      <c r="H20" s="2">
        <v>1</v>
      </c>
      <c r="I20" s="2">
        <v>1.024913820648597E-25</v>
      </c>
      <c r="J20" s="2">
        <v>0</v>
      </c>
      <c r="K20" s="2" t="s">
        <v>2</v>
      </c>
    </row>
    <row r="21" spans="1:11" x14ac:dyDescent="0.35">
      <c r="A21" s="2" t="s">
        <v>31</v>
      </c>
      <c r="B21" s="2">
        <v>529</v>
      </c>
      <c r="C21" s="2">
        <v>1104</v>
      </c>
      <c r="D21" s="2">
        <v>0.323943661971831</v>
      </c>
      <c r="E21" s="2">
        <v>1</v>
      </c>
      <c r="F21" s="2">
        <v>4.8371594689142379E-47</v>
      </c>
      <c r="G21" s="2">
        <v>9.6743189378284759E-47</v>
      </c>
      <c r="H21" s="2">
        <v>1</v>
      </c>
      <c r="I21" s="2">
        <v>3.026536224249245E-46</v>
      </c>
      <c r="J21" s="2">
        <v>0</v>
      </c>
      <c r="K21" s="2" t="s">
        <v>2</v>
      </c>
    </row>
    <row r="22" spans="1:11" x14ac:dyDescent="0.35">
      <c r="A22" s="2" t="s">
        <v>32</v>
      </c>
      <c r="B22" s="2">
        <v>466</v>
      </c>
      <c r="C22" s="2">
        <v>1167</v>
      </c>
      <c r="D22" s="2">
        <v>0.28536436007348442</v>
      </c>
      <c r="E22" s="2">
        <v>1</v>
      </c>
      <c r="F22" s="2">
        <v>1.109316043001566E-69</v>
      </c>
      <c r="G22" s="2">
        <v>2.2186320860031331E-69</v>
      </c>
      <c r="H22" s="2">
        <v>1</v>
      </c>
      <c r="I22" s="2">
        <v>1.0386920557564751E-67</v>
      </c>
      <c r="J22" s="2">
        <v>0</v>
      </c>
      <c r="K22" s="2" t="s">
        <v>2</v>
      </c>
    </row>
    <row r="23" spans="1:11" x14ac:dyDescent="0.35">
      <c r="A23" s="2" t="s">
        <v>33</v>
      </c>
      <c r="B23" s="2">
        <v>795</v>
      </c>
      <c r="C23" s="2">
        <v>838</v>
      </c>
      <c r="D23" s="2">
        <v>0.48683404776485001</v>
      </c>
      <c r="E23" s="2">
        <v>0.86188756165359359</v>
      </c>
      <c r="F23" s="2">
        <v>0.14932314264485841</v>
      </c>
      <c r="G23" s="2">
        <v>0.29864628528971682</v>
      </c>
      <c r="H23" s="2">
        <v>0.85635437073453313</v>
      </c>
      <c r="I23" s="2">
        <v>0.1436456292654669</v>
      </c>
      <c r="J23" s="2">
        <v>0.28729125853093368</v>
      </c>
      <c r="K23" s="2" t="s">
        <v>12</v>
      </c>
    </row>
    <row r="24" spans="1:11" x14ac:dyDescent="0.35">
      <c r="A24" s="2" t="s">
        <v>34</v>
      </c>
      <c r="B24" s="2">
        <v>822</v>
      </c>
      <c r="C24" s="2">
        <v>811</v>
      </c>
      <c r="D24" s="2">
        <v>0.50336803429271282</v>
      </c>
      <c r="E24" s="2">
        <v>0.40228029459432979</v>
      </c>
      <c r="F24" s="2">
        <v>0.61674363822456479</v>
      </c>
      <c r="G24" s="2">
        <v>0.80456058918865969</v>
      </c>
      <c r="H24" s="2">
        <v>0.39273135673816012</v>
      </c>
      <c r="I24" s="2">
        <v>0.60726864326183994</v>
      </c>
      <c r="J24" s="2">
        <v>0.78546271347632013</v>
      </c>
      <c r="K24" s="2" t="s">
        <v>12</v>
      </c>
    </row>
    <row r="25" spans="1:11" x14ac:dyDescent="0.35">
      <c r="A25" s="2" t="s">
        <v>35</v>
      </c>
      <c r="B25" s="2">
        <v>474</v>
      </c>
      <c r="C25" s="2">
        <v>1159</v>
      </c>
      <c r="D25" s="2">
        <v>0.29026331904470298</v>
      </c>
      <c r="E25" s="2">
        <v>1</v>
      </c>
      <c r="F25" s="2">
        <v>6.429341910968031E-67</v>
      </c>
      <c r="G25" s="2">
        <v>1.2858683821936059E-66</v>
      </c>
      <c r="H25" s="2">
        <v>1</v>
      </c>
      <c r="I25" s="2">
        <v>9.4468734111707277E-65</v>
      </c>
      <c r="J25" s="2">
        <v>0</v>
      </c>
      <c r="K25" s="2" t="s">
        <v>2</v>
      </c>
    </row>
    <row r="26" spans="1:11" x14ac:dyDescent="0.35">
      <c r="A26" s="2" t="s">
        <v>36</v>
      </c>
      <c r="B26" s="2">
        <v>867</v>
      </c>
      <c r="C26" s="2">
        <v>766</v>
      </c>
      <c r="D26" s="2">
        <v>0.53092467850581748</v>
      </c>
      <c r="E26" s="2">
        <v>6.6569854056430112E-3</v>
      </c>
      <c r="F26" s="2">
        <v>0.99421172315698081</v>
      </c>
      <c r="G26" s="2">
        <v>1.3313970811286021E-2</v>
      </c>
      <c r="H26" s="2">
        <v>6.2209463336887483E-3</v>
      </c>
      <c r="I26" s="2">
        <v>0.99377905366631125</v>
      </c>
      <c r="J26" s="2">
        <v>1.24418926673775E-2</v>
      </c>
      <c r="K26" s="2" t="s">
        <v>1</v>
      </c>
    </row>
    <row r="27" spans="1:11" x14ac:dyDescent="0.35">
      <c r="A27" s="2" t="s">
        <v>37</v>
      </c>
      <c r="B27" s="2">
        <v>974</v>
      </c>
      <c r="C27" s="2">
        <v>659</v>
      </c>
      <c r="D27" s="2">
        <v>0.59644825474586649</v>
      </c>
      <c r="E27" s="2">
        <v>3.2423801973958432E-15</v>
      </c>
      <c r="F27" s="2">
        <v>0.99999999999999778</v>
      </c>
      <c r="G27" s="2">
        <v>6.4847603947916863E-15</v>
      </c>
      <c r="H27" s="2">
        <v>3.219646771412954E-15</v>
      </c>
      <c r="I27" s="2">
        <v>0.99999999999999678</v>
      </c>
      <c r="J27" s="2">
        <v>6.4392935428259079E-15</v>
      </c>
      <c r="K27" s="2" t="s">
        <v>1</v>
      </c>
    </row>
    <row r="28" spans="1:11" x14ac:dyDescent="0.35">
      <c r="A28" s="2" t="s">
        <v>38</v>
      </c>
      <c r="B28" s="2">
        <v>568</v>
      </c>
      <c r="C28" s="2">
        <v>1065</v>
      </c>
      <c r="D28" s="2">
        <v>0.34782608695652167</v>
      </c>
      <c r="E28" s="2">
        <v>1</v>
      </c>
      <c r="F28" s="2">
        <v>1.8740374908315151E-35</v>
      </c>
      <c r="G28" s="2">
        <v>3.7480749816630312E-35</v>
      </c>
      <c r="H28" s="2">
        <v>1</v>
      </c>
      <c r="I28" s="2">
        <v>4.595588060456599E-35</v>
      </c>
      <c r="J28" s="2">
        <v>0</v>
      </c>
      <c r="K28" s="2" t="s">
        <v>2</v>
      </c>
    </row>
    <row r="29" spans="1:11" x14ac:dyDescent="0.35">
      <c r="A29" s="2" t="s">
        <v>39</v>
      </c>
      <c r="B29" s="2">
        <v>474</v>
      </c>
      <c r="C29" s="2">
        <v>1159</v>
      </c>
      <c r="D29" s="2">
        <v>0.29026331904470298</v>
      </c>
      <c r="E29" s="2">
        <v>1</v>
      </c>
      <c r="F29" s="2">
        <v>6.429341910968031E-67</v>
      </c>
      <c r="G29" s="2">
        <v>1.2858683821936059E-66</v>
      </c>
      <c r="H29" s="2">
        <v>1</v>
      </c>
      <c r="I29" s="2">
        <v>9.4468734111707277E-65</v>
      </c>
      <c r="J29" s="2">
        <v>0</v>
      </c>
      <c r="K29" s="2" t="s">
        <v>2</v>
      </c>
    </row>
    <row r="30" spans="1:11" x14ac:dyDescent="0.35">
      <c r="A30" s="2" t="s">
        <v>40</v>
      </c>
      <c r="B30" s="2">
        <v>1052</v>
      </c>
      <c r="C30" s="2">
        <v>581</v>
      </c>
      <c r="D30" s="2">
        <v>0.64421310471524806</v>
      </c>
      <c r="E30" s="2">
        <v>5.4772304363935804E-32</v>
      </c>
      <c r="F30" s="2">
        <v>1</v>
      </c>
      <c r="G30" s="2">
        <v>1.0954460872787161E-31</v>
      </c>
      <c r="H30" s="2">
        <v>0</v>
      </c>
      <c r="I30" s="2">
        <v>1</v>
      </c>
      <c r="J30" s="2">
        <v>0</v>
      </c>
      <c r="K30" s="2" t="s">
        <v>1</v>
      </c>
    </row>
    <row r="31" spans="1:11" x14ac:dyDescent="0.35">
      <c r="A31" s="2" t="s">
        <v>41</v>
      </c>
      <c r="B31" s="2">
        <v>1078</v>
      </c>
      <c r="C31" s="2">
        <v>555</v>
      </c>
      <c r="D31" s="2">
        <v>0.66013472137170848</v>
      </c>
      <c r="E31" s="2">
        <v>4.0745483613636383E-39</v>
      </c>
      <c r="F31" s="2">
        <v>1</v>
      </c>
      <c r="G31" s="2">
        <v>8.1490967227272752E-39</v>
      </c>
      <c r="H31" s="2">
        <v>0</v>
      </c>
      <c r="I31" s="2">
        <v>1</v>
      </c>
      <c r="J31" s="2">
        <v>0</v>
      </c>
      <c r="K31" s="2" t="s">
        <v>1</v>
      </c>
    </row>
    <row r="32" spans="1:11" x14ac:dyDescent="0.35">
      <c r="A32" s="2" t="s">
        <v>42</v>
      </c>
      <c r="B32" s="2">
        <v>534</v>
      </c>
      <c r="C32" s="2">
        <v>1099</v>
      </c>
      <c r="D32" s="2">
        <v>0.32700551132884259</v>
      </c>
      <c r="E32" s="2">
        <v>1</v>
      </c>
      <c r="F32" s="2">
        <v>1.8686687816596521E-45</v>
      </c>
      <c r="G32" s="2">
        <v>3.737337563319303E-45</v>
      </c>
      <c r="H32" s="2">
        <v>1</v>
      </c>
      <c r="I32" s="2">
        <v>1.010180561328642E-44</v>
      </c>
      <c r="J32" s="2">
        <v>0</v>
      </c>
      <c r="K32" s="2" t="s">
        <v>2</v>
      </c>
    </row>
    <row r="33" spans="1:11" x14ac:dyDescent="0.35">
      <c r="A33" s="2" t="s">
        <v>43</v>
      </c>
      <c r="B33" s="2">
        <v>254</v>
      </c>
      <c r="C33" s="2">
        <v>1379</v>
      </c>
      <c r="D33" s="2">
        <v>0.15554194733619109</v>
      </c>
      <c r="E33" s="2">
        <v>1</v>
      </c>
      <c r="F33" s="2">
        <v>2.8897837116281568E-187</v>
      </c>
      <c r="G33" s="2">
        <v>5.7795674232563145E-187</v>
      </c>
      <c r="H33" s="2">
        <v>1</v>
      </c>
      <c r="I33" s="2">
        <v>7.2432189792769811E-171</v>
      </c>
      <c r="J33" s="2">
        <v>0</v>
      </c>
      <c r="K33" s="2" t="s">
        <v>2</v>
      </c>
    </row>
    <row r="34" spans="1:11" x14ac:dyDescent="0.35">
      <c r="A34" s="2" t="s">
        <v>44</v>
      </c>
      <c r="B34" s="2">
        <v>226</v>
      </c>
      <c r="C34" s="2">
        <v>1407</v>
      </c>
      <c r="D34" s="2">
        <v>0.13839559093692591</v>
      </c>
      <c r="E34" s="2">
        <v>1</v>
      </c>
      <c r="F34" s="2">
        <v>1.1970065775587481E-208</v>
      </c>
      <c r="G34" s="2">
        <v>2.3940131551174961E-208</v>
      </c>
      <c r="H34" s="2">
        <v>1</v>
      </c>
      <c r="I34" s="2">
        <v>4.6462231972265628E-188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327</v>
      </c>
      <c r="C35" s="2">
        <v>1306</v>
      </c>
      <c r="D35" s="2">
        <v>0.2002449479485609</v>
      </c>
      <c r="E35" s="2">
        <v>1</v>
      </c>
      <c r="F35" s="2">
        <v>1.1546744722917979E-138</v>
      </c>
      <c r="G35" s="2">
        <v>2.3093489445835971E-138</v>
      </c>
      <c r="H35" s="2">
        <v>1</v>
      </c>
      <c r="I35" s="2">
        <v>5.8578719558902327E-130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282</v>
      </c>
      <c r="C36" s="2">
        <v>1351</v>
      </c>
      <c r="D36" s="2">
        <v>0.17268830373545621</v>
      </c>
      <c r="E36" s="2">
        <v>1</v>
      </c>
      <c r="F36" s="2">
        <v>1.8076477649345908E-167</v>
      </c>
      <c r="G36" s="2">
        <v>3.6152955298691816E-167</v>
      </c>
      <c r="H36" s="2">
        <v>1</v>
      </c>
      <c r="I36" s="2">
        <v>1.6588866602632269E-154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472</v>
      </c>
      <c r="C37" s="2">
        <v>1161</v>
      </c>
      <c r="D37" s="2">
        <v>0.28903857930189841</v>
      </c>
      <c r="E37" s="2">
        <v>1</v>
      </c>
      <c r="F37" s="2">
        <v>2.6140504054922549E-67</v>
      </c>
      <c r="G37" s="2">
        <v>5.2281008109845097E-67</v>
      </c>
      <c r="H37" s="2">
        <v>1</v>
      </c>
      <c r="I37" s="2">
        <v>1.745617922261435E-65</v>
      </c>
      <c r="J37" s="2">
        <v>0</v>
      </c>
      <c r="K37" s="2" t="s">
        <v>2</v>
      </c>
    </row>
    <row r="38" spans="1:11" x14ac:dyDescent="0.35">
      <c r="A38" s="2" t="s">
        <v>48</v>
      </c>
      <c r="B38" s="2">
        <v>391</v>
      </c>
      <c r="C38" s="2">
        <v>1242</v>
      </c>
      <c r="D38" s="2">
        <v>0.23943661971830979</v>
      </c>
      <c r="E38" s="2">
        <v>1</v>
      </c>
      <c r="F38" s="2">
        <v>2.0521211298825431E-103</v>
      </c>
      <c r="G38" s="2">
        <v>4.1042422597650862E-103</v>
      </c>
      <c r="H38" s="2">
        <v>1</v>
      </c>
      <c r="I38" s="2">
        <v>9.4686055278211524E-99</v>
      </c>
      <c r="J38" s="2">
        <v>0</v>
      </c>
      <c r="K38" s="2" t="s">
        <v>2</v>
      </c>
    </row>
    <row r="39" spans="1:11" x14ac:dyDescent="0.35">
      <c r="A39" s="2" t="s">
        <v>49</v>
      </c>
      <c r="B39" s="2">
        <v>434</v>
      </c>
      <c r="C39" s="2">
        <v>1199</v>
      </c>
      <c r="D39" s="2">
        <v>0.26576852418860991</v>
      </c>
      <c r="E39" s="2">
        <v>1</v>
      </c>
      <c r="F39" s="2">
        <v>3.9209324336910829E-83</v>
      </c>
      <c r="G39" s="2">
        <v>7.8418648673821659E-83</v>
      </c>
      <c r="H39" s="2">
        <v>1</v>
      </c>
      <c r="I39" s="2">
        <v>3.1811092168429659E-80</v>
      </c>
      <c r="J39" s="2">
        <v>0</v>
      </c>
      <c r="K39" s="2" t="s">
        <v>2</v>
      </c>
    </row>
    <row r="40" spans="1:11" x14ac:dyDescent="0.35">
      <c r="A40" s="2" t="s">
        <v>50</v>
      </c>
      <c r="B40" s="2">
        <v>559</v>
      </c>
      <c r="C40" s="2">
        <v>1074</v>
      </c>
      <c r="D40" s="2">
        <v>0.34231475811390077</v>
      </c>
      <c r="E40" s="2">
        <v>1</v>
      </c>
      <c r="F40" s="2">
        <v>5.7302328655877234E-38</v>
      </c>
      <c r="G40" s="2">
        <v>1.1460465731175451E-37</v>
      </c>
      <c r="H40" s="2">
        <v>1</v>
      </c>
      <c r="I40" s="2">
        <v>1.67810546838029E-37</v>
      </c>
      <c r="J40" s="2">
        <v>0</v>
      </c>
      <c r="K40" s="2" t="s">
        <v>2</v>
      </c>
    </row>
    <row r="41" spans="1:11" x14ac:dyDescent="0.35">
      <c r="A41" s="2" t="s">
        <v>51</v>
      </c>
      <c r="B41" s="2">
        <v>375</v>
      </c>
      <c r="C41" s="2">
        <v>1258</v>
      </c>
      <c r="D41" s="2">
        <v>0.22963870177587259</v>
      </c>
      <c r="E41" s="2">
        <v>1</v>
      </c>
      <c r="F41" s="2">
        <v>1.225274824472019E-111</v>
      </c>
      <c r="G41" s="2">
        <v>2.4505496489440381E-111</v>
      </c>
      <c r="H41" s="2">
        <v>1</v>
      </c>
      <c r="I41" s="2">
        <v>3.8180249808807371E-106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342</v>
      </c>
      <c r="C42" s="2">
        <v>1291</v>
      </c>
      <c r="D42" s="2">
        <v>0.20943049601959579</v>
      </c>
      <c r="E42" s="2">
        <v>1</v>
      </c>
      <c r="F42" s="2">
        <v>7.9413959587900635E-130</v>
      </c>
      <c r="G42" s="2">
        <v>1.588279191758013E-129</v>
      </c>
      <c r="H42" s="2">
        <v>1</v>
      </c>
      <c r="I42" s="2">
        <v>2.9679061253679198E-122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345</v>
      </c>
      <c r="C43" s="2">
        <v>1288</v>
      </c>
      <c r="D43" s="2">
        <v>0.21126760563380281</v>
      </c>
      <c r="E43" s="2">
        <v>1</v>
      </c>
      <c r="F43" s="2">
        <v>4.204662274469072E-128</v>
      </c>
      <c r="G43" s="2">
        <v>8.4093245489381449E-128</v>
      </c>
      <c r="H43" s="2">
        <v>1</v>
      </c>
      <c r="I43" s="2">
        <v>9.6542918706594736E-121</v>
      </c>
      <c r="J43" s="2">
        <v>0</v>
      </c>
      <c r="K43" s="2" t="s">
        <v>2</v>
      </c>
    </row>
    <row r="44" spans="1:11" x14ac:dyDescent="0.35">
      <c r="A44" s="2" t="s">
        <v>54</v>
      </c>
      <c r="B44" s="2">
        <v>399</v>
      </c>
      <c r="C44" s="2">
        <v>1234</v>
      </c>
      <c r="D44" s="2">
        <v>0.24433557868952849</v>
      </c>
      <c r="E44" s="2">
        <v>1</v>
      </c>
      <c r="F44" s="2">
        <v>1.921588367735483E-99</v>
      </c>
      <c r="G44" s="2">
        <v>3.8431767354709661E-99</v>
      </c>
      <c r="H44" s="2">
        <v>1</v>
      </c>
      <c r="I44" s="2">
        <v>3.7291496983902731E-95</v>
      </c>
      <c r="J44" s="2">
        <v>0</v>
      </c>
      <c r="K44" s="2" t="s">
        <v>2</v>
      </c>
    </row>
    <row r="45" spans="1:11" x14ac:dyDescent="0.35">
      <c r="A45" s="2" t="s">
        <v>55</v>
      </c>
      <c r="B45" s="2">
        <v>510</v>
      </c>
      <c r="C45" s="2">
        <v>1123</v>
      </c>
      <c r="D45" s="2">
        <v>0.31230863441518669</v>
      </c>
      <c r="E45" s="2">
        <v>1</v>
      </c>
      <c r="F45" s="2">
        <v>1.079163552591287E-53</v>
      </c>
      <c r="G45" s="2">
        <v>2.158327105182574E-53</v>
      </c>
      <c r="H45" s="2">
        <v>1</v>
      </c>
      <c r="I45" s="2">
        <v>2.821029210377705E-52</v>
      </c>
      <c r="J45" s="2">
        <v>0</v>
      </c>
      <c r="K45" s="2" t="s">
        <v>2</v>
      </c>
    </row>
    <row r="46" spans="1:11" x14ac:dyDescent="0.35">
      <c r="A46" s="2" t="s">
        <v>56</v>
      </c>
      <c r="B46" s="2">
        <v>504</v>
      </c>
      <c r="C46" s="2">
        <v>1129</v>
      </c>
      <c r="D46" s="2">
        <v>0.30863441518677281</v>
      </c>
      <c r="E46" s="2">
        <v>1</v>
      </c>
      <c r="F46" s="2">
        <v>1.9654896879821679E-55</v>
      </c>
      <c r="G46" s="2">
        <v>3.9309793759643351E-55</v>
      </c>
      <c r="H46" s="2">
        <v>1</v>
      </c>
      <c r="I46" s="2">
        <v>2.928129176771024E-54</v>
      </c>
      <c r="J46" s="2">
        <v>0</v>
      </c>
      <c r="K46" s="2" t="s">
        <v>2</v>
      </c>
    </row>
    <row r="47" spans="1:11" x14ac:dyDescent="0.35">
      <c r="A47" s="2" t="s">
        <v>57</v>
      </c>
      <c r="B47" s="2">
        <v>1191</v>
      </c>
      <c r="C47" s="2">
        <v>442</v>
      </c>
      <c r="D47" s="2">
        <v>0.72933251684017142</v>
      </c>
      <c r="E47" s="2">
        <v>1.214235090957781E-79</v>
      </c>
      <c r="F47" s="2">
        <v>1</v>
      </c>
      <c r="G47" s="2">
        <v>2.4284701819155619E-79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875</v>
      </c>
      <c r="C48" s="2">
        <v>758</v>
      </c>
      <c r="D48" s="2">
        <v>0.5358236374770361</v>
      </c>
      <c r="E48" s="2">
        <v>2.041926604386071E-3</v>
      </c>
      <c r="F48" s="2">
        <v>0.99825637121343069</v>
      </c>
      <c r="G48" s="2">
        <v>4.0838532087721421E-3</v>
      </c>
      <c r="H48" s="2">
        <v>1.8940138516619911E-3</v>
      </c>
      <c r="I48" s="2">
        <v>0.99810598614833801</v>
      </c>
      <c r="J48" s="2">
        <v>3.7880277033239822E-3</v>
      </c>
      <c r="K48" s="2" t="s">
        <v>1</v>
      </c>
    </row>
    <row r="49" spans="1:11" x14ac:dyDescent="0.35">
      <c r="A49" s="2" t="s">
        <v>59</v>
      </c>
      <c r="B49" s="2">
        <v>699</v>
      </c>
      <c r="C49" s="2">
        <v>934</v>
      </c>
      <c r="D49" s="2">
        <v>0.42804654011022658</v>
      </c>
      <c r="E49" s="2">
        <v>0.99999999754247859</v>
      </c>
      <c r="F49" s="2">
        <v>3.310329435710954E-9</v>
      </c>
      <c r="G49" s="2">
        <v>6.6206588714219089E-9</v>
      </c>
      <c r="H49" s="2">
        <v>0.99999999697437891</v>
      </c>
      <c r="I49" s="2">
        <v>3.0256210544682279E-9</v>
      </c>
      <c r="J49" s="2">
        <v>6.0512421740099853E-9</v>
      </c>
      <c r="K49" s="2" t="s">
        <v>2</v>
      </c>
    </row>
    <row r="50" spans="1:11" x14ac:dyDescent="0.35">
      <c r="A50" s="2" t="s">
        <v>60</v>
      </c>
      <c r="B50" s="2">
        <v>1125</v>
      </c>
      <c r="C50" s="2">
        <v>508</v>
      </c>
      <c r="D50" s="2">
        <v>0.68891610532761793</v>
      </c>
      <c r="E50" s="2">
        <v>4.8712267595200452E-54</v>
      </c>
      <c r="F50" s="2">
        <v>1</v>
      </c>
      <c r="G50" s="2">
        <v>9.7424535190400904E-54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713</v>
      </c>
      <c r="C51" s="2">
        <v>920</v>
      </c>
      <c r="D51" s="2">
        <v>0.43661971830985907</v>
      </c>
      <c r="E51" s="2">
        <v>0.99999987245591715</v>
      </c>
      <c r="F51" s="2">
        <v>1.6606683961664049E-7</v>
      </c>
      <c r="G51" s="2">
        <v>3.3213367923328098E-7</v>
      </c>
      <c r="H51" s="2">
        <v>0.99999984919997753</v>
      </c>
      <c r="I51" s="2">
        <v>1.5080002245080279E-7</v>
      </c>
      <c r="J51" s="2">
        <v>3.0160004493851028E-7</v>
      </c>
      <c r="K51" s="2" t="s">
        <v>2</v>
      </c>
    </row>
    <row r="52" spans="1:11" x14ac:dyDescent="0.35">
      <c r="A52" s="2" t="s">
        <v>62</v>
      </c>
      <c r="B52" s="2">
        <v>1549</v>
      </c>
      <c r="C52" s="2">
        <v>84</v>
      </c>
      <c r="D52" s="2">
        <v>0.94856093080220449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1322</v>
      </c>
      <c r="C53" s="2">
        <v>311</v>
      </c>
      <c r="D53" s="2">
        <v>0.80955296999387627</v>
      </c>
      <c r="E53" s="2">
        <v>1.6768526622663208E-148</v>
      </c>
      <c r="F53" s="2">
        <v>1</v>
      </c>
      <c r="G53" s="2">
        <v>3.3537053245326417E-148</v>
      </c>
      <c r="H53" s="2">
        <v>0</v>
      </c>
      <c r="I53" s="2">
        <v>1</v>
      </c>
      <c r="J53" s="2">
        <v>0</v>
      </c>
      <c r="K53" s="2" t="s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381</v>
      </c>
      <c r="C2" s="2">
        <v>323</v>
      </c>
      <c r="D2" s="2">
        <v>0.54119318181818177</v>
      </c>
      <c r="E2" s="2">
        <v>1.9053548193704001E-2</v>
      </c>
      <c r="F2" s="2">
        <v>0.98419030824746367</v>
      </c>
      <c r="G2" s="2">
        <v>3.8107096387408002E-2</v>
      </c>
      <c r="H2" s="2">
        <v>1.440936662513792E-2</v>
      </c>
      <c r="I2" s="2">
        <v>0.98559063337486208</v>
      </c>
      <c r="J2" s="2">
        <v>2.8818733250275841E-2</v>
      </c>
      <c r="K2" s="2" t="s">
        <v>1</v>
      </c>
    </row>
    <row r="3" spans="1:11" x14ac:dyDescent="0.35">
      <c r="A3" s="2" t="s">
        <v>13</v>
      </c>
      <c r="B3" s="2">
        <v>426</v>
      </c>
      <c r="C3" s="2">
        <v>278</v>
      </c>
      <c r="D3" s="2">
        <v>0.60511363636363635</v>
      </c>
      <c r="E3" s="2">
        <v>1.348421393509673E-8</v>
      </c>
      <c r="F3" s="2">
        <v>0.9999999913119948</v>
      </c>
      <c r="G3" s="2">
        <v>2.6968427870193469E-8</v>
      </c>
      <c r="H3" s="2">
        <v>1.216778844348454E-8</v>
      </c>
      <c r="I3" s="2">
        <v>0.99999998783221156</v>
      </c>
      <c r="J3" s="2">
        <v>2.4335576886969079E-8</v>
      </c>
      <c r="K3" s="2" t="s">
        <v>1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305</v>
      </c>
      <c r="C5" s="2">
        <v>399</v>
      </c>
      <c r="D5" s="2">
        <v>0.43323863636363641</v>
      </c>
      <c r="E5" s="2">
        <v>0.99983177687150404</v>
      </c>
      <c r="F5" s="2">
        <v>2.2423766932352069E-4</v>
      </c>
      <c r="G5" s="2">
        <v>4.4847533864704139E-4</v>
      </c>
      <c r="H5" s="2">
        <v>0.99980201728178342</v>
      </c>
      <c r="I5" s="2">
        <v>1.979827182166197E-4</v>
      </c>
      <c r="J5" s="2">
        <v>3.9596543643316551E-4</v>
      </c>
      <c r="K5" s="2" t="s">
        <v>2</v>
      </c>
    </row>
    <row r="6" spans="1:11" x14ac:dyDescent="0.35">
      <c r="A6" s="2" t="s">
        <v>16</v>
      </c>
      <c r="B6" s="2">
        <v>448</v>
      </c>
      <c r="C6" s="2">
        <v>256</v>
      </c>
      <c r="D6" s="2">
        <v>0.63636363636363635</v>
      </c>
      <c r="E6" s="2">
        <v>2.1930268365218381E-13</v>
      </c>
      <c r="F6" s="2">
        <v>0.99999999999987599</v>
      </c>
      <c r="G6" s="2">
        <v>4.3860536730436762E-13</v>
      </c>
      <c r="H6" s="2">
        <v>2.3059332221464501E-13</v>
      </c>
      <c r="I6" s="2">
        <v>0.99999999999976941</v>
      </c>
      <c r="J6" s="2">
        <v>4.6118664442929003E-13</v>
      </c>
      <c r="K6" s="2" t="s">
        <v>1</v>
      </c>
    </row>
    <row r="7" spans="1:11" x14ac:dyDescent="0.35">
      <c r="A7" s="2" t="s">
        <v>17</v>
      </c>
      <c r="B7" s="2">
        <v>430</v>
      </c>
      <c r="C7" s="2">
        <v>274</v>
      </c>
      <c r="D7" s="2">
        <v>0.61079545454545459</v>
      </c>
      <c r="E7" s="2">
        <v>2.2443084356065412E-9</v>
      </c>
      <c r="F7" s="2">
        <v>0.99999999858720068</v>
      </c>
      <c r="G7" s="2">
        <v>4.4886168712130824E-9</v>
      </c>
      <c r="H7" s="2">
        <v>2.0578957427019869E-9</v>
      </c>
      <c r="I7" s="2">
        <v>0.99999999794210426</v>
      </c>
      <c r="J7" s="2">
        <v>4.1157914854039754E-9</v>
      </c>
      <c r="K7" s="2" t="s">
        <v>1</v>
      </c>
    </row>
    <row r="8" spans="1:11" x14ac:dyDescent="0.35">
      <c r="A8" s="2" t="s">
        <v>18</v>
      </c>
      <c r="B8" s="2">
        <v>377</v>
      </c>
      <c r="C8" s="2">
        <v>327</v>
      </c>
      <c r="D8" s="2">
        <v>0.53551136363636365</v>
      </c>
      <c r="E8" s="2">
        <v>3.2352956527301337E-2</v>
      </c>
      <c r="F8" s="2">
        <v>0.9727441946983314</v>
      </c>
      <c r="G8" s="2">
        <v>6.4705913054602687E-2</v>
      </c>
      <c r="H8" s="2">
        <v>2.975234282021488E-2</v>
      </c>
      <c r="I8" s="2">
        <v>0.97024765717978512</v>
      </c>
      <c r="J8" s="2">
        <v>5.9504685640429773E-2</v>
      </c>
      <c r="K8" s="2" t="s">
        <v>1</v>
      </c>
    </row>
    <row r="9" spans="1:11" x14ac:dyDescent="0.35">
      <c r="A9" s="2" t="s">
        <v>19</v>
      </c>
      <c r="B9" s="2">
        <v>353</v>
      </c>
      <c r="C9" s="2">
        <v>351</v>
      </c>
      <c r="D9" s="2">
        <v>0.50142045454545459</v>
      </c>
      <c r="E9" s="2">
        <v>0.4849696355118181</v>
      </c>
      <c r="F9" s="2">
        <v>0.54500593559208865</v>
      </c>
      <c r="G9" s="2">
        <v>0.9699392710236362</v>
      </c>
      <c r="H9" s="2">
        <v>0.46995704661337301</v>
      </c>
      <c r="I9" s="2">
        <v>0.53004295338662699</v>
      </c>
      <c r="J9" s="2">
        <v>0.93991409322674602</v>
      </c>
      <c r="K9" s="2" t="s">
        <v>12</v>
      </c>
    </row>
    <row r="10" spans="1:11" x14ac:dyDescent="0.35">
      <c r="A10" s="2" t="s">
        <v>20</v>
      </c>
      <c r="B10" s="2">
        <v>366</v>
      </c>
      <c r="C10" s="2">
        <v>338</v>
      </c>
      <c r="D10" s="2">
        <v>0.51988636363636365</v>
      </c>
      <c r="E10" s="2">
        <v>0.15443289176760841</v>
      </c>
      <c r="F10" s="2">
        <v>0.86280388643582817</v>
      </c>
      <c r="G10" s="2">
        <v>0.30886578353521688</v>
      </c>
      <c r="H10" s="2">
        <v>0.14564642380890641</v>
      </c>
      <c r="I10" s="2">
        <v>0.85435357619109364</v>
      </c>
      <c r="J10" s="2">
        <v>0.29129284761781271</v>
      </c>
      <c r="K10" s="2" t="s">
        <v>12</v>
      </c>
    </row>
    <row r="11" spans="1:11" x14ac:dyDescent="0.35">
      <c r="A11" s="2" t="s">
        <v>21</v>
      </c>
      <c r="B11" s="2">
        <v>377</v>
      </c>
      <c r="C11" s="2">
        <v>327</v>
      </c>
      <c r="D11" s="2">
        <v>0.53551136363636365</v>
      </c>
      <c r="E11" s="2">
        <v>3.2352956527301337E-2</v>
      </c>
      <c r="F11" s="2">
        <v>0.9727441946983314</v>
      </c>
      <c r="G11" s="2">
        <v>6.4705913054602687E-2</v>
      </c>
      <c r="H11" s="2">
        <v>2.975234282021488E-2</v>
      </c>
      <c r="I11" s="2">
        <v>0.97024765717978512</v>
      </c>
      <c r="J11" s="2">
        <v>5.9504685640429773E-2</v>
      </c>
      <c r="K11" s="2" t="s">
        <v>1</v>
      </c>
    </row>
    <row r="12" spans="1:11" x14ac:dyDescent="0.35">
      <c r="A12" s="2" t="s">
        <v>22</v>
      </c>
      <c r="B12" s="2">
        <v>449</v>
      </c>
      <c r="C12" s="2">
        <v>255</v>
      </c>
      <c r="D12" s="2">
        <v>0.63778409090909094</v>
      </c>
      <c r="E12" s="2">
        <v>1.240624711943028E-13</v>
      </c>
      <c r="F12" s="2">
        <v>0.99999999999993028</v>
      </c>
      <c r="G12" s="2">
        <v>2.4812494238860569E-13</v>
      </c>
      <c r="H12" s="2">
        <v>1.318944953254686E-13</v>
      </c>
      <c r="I12" s="2">
        <v>0.99999999999986811</v>
      </c>
      <c r="J12" s="2">
        <v>2.6378899065093719E-13</v>
      </c>
      <c r="K12" s="2" t="s">
        <v>1</v>
      </c>
    </row>
    <row r="13" spans="1:11" x14ac:dyDescent="0.35">
      <c r="A13" s="2" t="s">
        <v>23</v>
      </c>
      <c r="B13" s="2">
        <v>366</v>
      </c>
      <c r="C13" s="2">
        <v>338</v>
      </c>
      <c r="D13" s="2">
        <v>0.51988636363636365</v>
      </c>
      <c r="E13" s="2">
        <v>0.15443289176760841</v>
      </c>
      <c r="F13" s="2">
        <v>0.86280388643582817</v>
      </c>
      <c r="G13" s="2">
        <v>0.30886578353521688</v>
      </c>
      <c r="H13" s="2">
        <v>0.14564642380890641</v>
      </c>
      <c r="I13" s="2">
        <v>0.85435357619109364</v>
      </c>
      <c r="J13" s="2">
        <v>0.29129284761781271</v>
      </c>
      <c r="K13" s="2" t="s">
        <v>12</v>
      </c>
    </row>
    <row r="14" spans="1:11" x14ac:dyDescent="0.35">
      <c r="A14" s="2" t="s">
        <v>24</v>
      </c>
      <c r="B14" s="2">
        <v>468</v>
      </c>
      <c r="C14" s="2">
        <v>236</v>
      </c>
      <c r="D14" s="2">
        <v>0.66477272727272729</v>
      </c>
      <c r="E14" s="2">
        <v>7.7224614927399764E-19</v>
      </c>
      <c r="F14" s="2">
        <v>1</v>
      </c>
      <c r="G14" s="2">
        <v>1.5444922985479951E-18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25</v>
      </c>
      <c r="B15" s="2">
        <v>55</v>
      </c>
      <c r="C15" s="2">
        <v>56</v>
      </c>
      <c r="D15" s="2">
        <v>0.49549549549549549</v>
      </c>
      <c r="E15" s="2">
        <v>0.57522490634277323</v>
      </c>
      <c r="F15" s="2">
        <v>0.50000000000000067</v>
      </c>
      <c r="G15" s="2">
        <v>1</v>
      </c>
      <c r="H15" s="2">
        <v>0.53780914653439471</v>
      </c>
      <c r="I15" s="2">
        <v>0.46219085346560529</v>
      </c>
      <c r="J15" s="2">
        <v>0.92438170693121058</v>
      </c>
      <c r="K15" s="2" t="s">
        <v>12</v>
      </c>
    </row>
    <row r="16" spans="1:11" x14ac:dyDescent="0.35">
      <c r="A16" s="2" t="s">
        <v>26</v>
      </c>
      <c r="B16" s="2">
        <v>372</v>
      </c>
      <c r="C16" s="2">
        <v>332</v>
      </c>
      <c r="D16" s="2">
        <v>0.52840909090909094</v>
      </c>
      <c r="E16" s="2">
        <v>7.0771444478710852E-2</v>
      </c>
      <c r="F16" s="2">
        <v>0.93888725506558557</v>
      </c>
      <c r="G16" s="2">
        <v>0.1415428889574217</v>
      </c>
      <c r="H16" s="2">
        <v>6.583400801140693E-2</v>
      </c>
      <c r="I16" s="2">
        <v>0.93416599198859307</v>
      </c>
      <c r="J16" s="2">
        <v>0.13166801602281389</v>
      </c>
      <c r="K16" s="2" t="s">
        <v>12</v>
      </c>
    </row>
    <row r="17" spans="1:11" x14ac:dyDescent="0.35">
      <c r="A17" s="2" t="s">
        <v>27</v>
      </c>
      <c r="B17" s="2">
        <v>445</v>
      </c>
      <c r="C17" s="2">
        <v>259</v>
      </c>
      <c r="D17" s="2">
        <v>0.63210227272727271</v>
      </c>
      <c r="E17" s="2">
        <v>1.168289654423001E-12</v>
      </c>
      <c r="F17" s="2">
        <v>0.99999999999932698</v>
      </c>
      <c r="G17" s="2">
        <v>2.3365793088460009E-12</v>
      </c>
      <c r="H17" s="2">
        <v>1.190381127003093E-12</v>
      </c>
      <c r="I17" s="2">
        <v>0.99999999999880962</v>
      </c>
      <c r="J17" s="2">
        <v>2.3807622540061861E-12</v>
      </c>
      <c r="K17" s="2" t="s">
        <v>1</v>
      </c>
    </row>
    <row r="18" spans="1:11" x14ac:dyDescent="0.35">
      <c r="A18" s="2" t="s">
        <v>28</v>
      </c>
      <c r="B18" s="2">
        <v>468</v>
      </c>
      <c r="C18" s="2">
        <v>236</v>
      </c>
      <c r="D18" s="2">
        <v>0.66477272727272729</v>
      </c>
      <c r="E18" s="2">
        <v>7.7224614927399764E-19</v>
      </c>
      <c r="F18" s="2">
        <v>1</v>
      </c>
      <c r="G18" s="2">
        <v>1.5444922985479951E-18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29</v>
      </c>
      <c r="B19" s="2">
        <v>428</v>
      </c>
      <c r="C19" s="2">
        <v>276</v>
      </c>
      <c r="D19" s="2">
        <v>0.60795454545454541</v>
      </c>
      <c r="E19" s="2">
        <v>5.5654150471749074E-9</v>
      </c>
      <c r="F19" s="2">
        <v>0.99999999645551363</v>
      </c>
      <c r="G19" s="2">
        <v>1.113083009434981E-8</v>
      </c>
      <c r="H19" s="2">
        <v>5.0596956624460176E-9</v>
      </c>
      <c r="I19" s="2">
        <v>0.99999999494030434</v>
      </c>
      <c r="J19" s="2">
        <v>1.011939132489204E-8</v>
      </c>
      <c r="K19" s="2" t="s">
        <v>1</v>
      </c>
    </row>
    <row r="20" spans="1:11" x14ac:dyDescent="0.35">
      <c r="A20" s="2" t="s">
        <v>30</v>
      </c>
      <c r="B20" s="2">
        <v>343</v>
      </c>
      <c r="C20" s="2">
        <v>361</v>
      </c>
      <c r="D20" s="2">
        <v>0.48721590909090912</v>
      </c>
      <c r="E20" s="2">
        <v>0.76301913543624389</v>
      </c>
      <c r="F20" s="2">
        <v>0.26086961327395092</v>
      </c>
      <c r="G20" s="2">
        <v>0.52173922654790184</v>
      </c>
      <c r="H20" s="2">
        <v>0.7512411119350052</v>
      </c>
      <c r="I20" s="2">
        <v>0.2487588880649948</v>
      </c>
      <c r="J20" s="2">
        <v>0.4975177761299896</v>
      </c>
      <c r="K20" s="2" t="s">
        <v>12</v>
      </c>
    </row>
    <row r="21" spans="1:11" x14ac:dyDescent="0.35">
      <c r="A21" s="2" t="s">
        <v>31</v>
      </c>
      <c r="B21" s="2">
        <v>257</v>
      </c>
      <c r="C21" s="2">
        <v>447</v>
      </c>
      <c r="D21" s="2">
        <v>0.36505681818181818</v>
      </c>
      <c r="E21" s="2">
        <v>0.99999999999978073</v>
      </c>
      <c r="F21" s="2">
        <v>3.853245326059999E-13</v>
      </c>
      <c r="G21" s="2">
        <v>7.706490652119997E-13</v>
      </c>
      <c r="H21" s="2">
        <v>0.99999999999959921</v>
      </c>
      <c r="I21" s="2">
        <v>4.0076178309946868E-13</v>
      </c>
      <c r="J21" s="2">
        <v>8.0158102377936302E-13</v>
      </c>
      <c r="K21" s="2" t="s">
        <v>2</v>
      </c>
    </row>
    <row r="22" spans="1:11" x14ac:dyDescent="0.35">
      <c r="A22" s="2" t="s">
        <v>32</v>
      </c>
      <c r="B22" s="2">
        <v>441</v>
      </c>
      <c r="C22" s="2">
        <v>263</v>
      </c>
      <c r="D22" s="2">
        <v>0.62642045454545459</v>
      </c>
      <c r="E22" s="2">
        <v>9.9948438318163314E-12</v>
      </c>
      <c r="F22" s="2">
        <v>0.99999999999410327</v>
      </c>
      <c r="G22" s="2">
        <v>1.998968766363266E-11</v>
      </c>
      <c r="H22" s="2">
        <v>9.8231422995809226E-12</v>
      </c>
      <c r="I22" s="2">
        <v>0.99999999999017686</v>
      </c>
      <c r="J22" s="2">
        <v>1.9646284599161852E-11</v>
      </c>
      <c r="K22" s="2" t="s">
        <v>1</v>
      </c>
    </row>
    <row r="23" spans="1:11" x14ac:dyDescent="0.35">
      <c r="A23" s="2" t="s">
        <v>33</v>
      </c>
      <c r="B23" s="2">
        <v>315</v>
      </c>
      <c r="C23" s="2">
        <v>389</v>
      </c>
      <c r="D23" s="2">
        <v>0.44744318181818182</v>
      </c>
      <c r="E23" s="2">
        <v>0.99766543951883324</v>
      </c>
      <c r="F23" s="2">
        <v>2.9486412910011898E-3</v>
      </c>
      <c r="G23" s="2">
        <v>5.8972825820023797E-3</v>
      </c>
      <c r="H23" s="2">
        <v>0.99735628298165491</v>
      </c>
      <c r="I23" s="2">
        <v>2.6437170183450541E-3</v>
      </c>
      <c r="J23" s="2">
        <v>5.2874340366901862E-3</v>
      </c>
      <c r="K23" s="2" t="s">
        <v>2</v>
      </c>
    </row>
    <row r="24" spans="1:11" x14ac:dyDescent="0.35">
      <c r="A24" s="2" t="s">
        <v>34</v>
      </c>
      <c r="B24" s="2">
        <v>258</v>
      </c>
      <c r="C24" s="2">
        <v>446</v>
      </c>
      <c r="D24" s="2">
        <v>0.36647727272727271</v>
      </c>
      <c r="E24" s="2">
        <v>0.99999999999961464</v>
      </c>
      <c r="F24" s="2">
        <v>6.7296703835153783E-13</v>
      </c>
      <c r="G24" s="2">
        <v>1.3459340767030761E-12</v>
      </c>
      <c r="H24" s="2">
        <v>0.99999999999930733</v>
      </c>
      <c r="I24" s="2">
        <v>6.9263282631854555E-13</v>
      </c>
      <c r="J24" s="2">
        <v>1.3853362901272699E-12</v>
      </c>
      <c r="K24" s="2" t="s">
        <v>2</v>
      </c>
    </row>
    <row r="25" spans="1:11" x14ac:dyDescent="0.35">
      <c r="A25" s="2" t="s">
        <v>35</v>
      </c>
      <c r="B25" s="2">
        <v>183</v>
      </c>
      <c r="C25" s="2">
        <v>521</v>
      </c>
      <c r="D25" s="2">
        <v>0.25994318181818182</v>
      </c>
      <c r="E25" s="2">
        <v>1</v>
      </c>
      <c r="F25" s="2">
        <v>9.692158585558598E-39</v>
      </c>
      <c r="G25" s="2">
        <v>1.9384317171117201E-38</v>
      </c>
      <c r="H25" s="2">
        <v>1</v>
      </c>
      <c r="I25" s="2">
        <v>1.798186331341236E-37</v>
      </c>
      <c r="J25" s="2">
        <v>0</v>
      </c>
      <c r="K25" s="2" t="s">
        <v>2</v>
      </c>
    </row>
    <row r="26" spans="1:11" x14ac:dyDescent="0.35">
      <c r="A26" s="2" t="s">
        <v>36</v>
      </c>
      <c r="B26" s="2">
        <v>220</v>
      </c>
      <c r="C26" s="2">
        <v>484</v>
      </c>
      <c r="D26" s="2">
        <v>0.3125</v>
      </c>
      <c r="E26" s="2">
        <v>1</v>
      </c>
      <c r="F26" s="2">
        <v>5.4870066049419023E-24</v>
      </c>
      <c r="G26" s="2">
        <v>1.09740132098838E-23</v>
      </c>
      <c r="H26" s="2">
        <v>1</v>
      </c>
      <c r="I26" s="2">
        <v>1.262508831201369E-23</v>
      </c>
      <c r="J26" s="2">
        <v>0</v>
      </c>
      <c r="K26" s="2" t="s">
        <v>2</v>
      </c>
    </row>
    <row r="27" spans="1:11" x14ac:dyDescent="0.35">
      <c r="A27" s="2" t="s">
        <v>37</v>
      </c>
      <c r="B27" s="2">
        <v>466</v>
      </c>
      <c r="C27" s="2">
        <v>238</v>
      </c>
      <c r="D27" s="2">
        <v>0.66193181818181823</v>
      </c>
      <c r="E27" s="2">
        <v>3.0305948869746912E-18</v>
      </c>
      <c r="F27" s="2">
        <v>1</v>
      </c>
      <c r="G27" s="2">
        <v>6.0611897739493824E-18</v>
      </c>
      <c r="H27" s="2">
        <v>0</v>
      </c>
      <c r="I27" s="2">
        <v>1</v>
      </c>
      <c r="J27" s="2">
        <v>0</v>
      </c>
      <c r="K27" s="2" t="s">
        <v>1</v>
      </c>
    </row>
    <row r="28" spans="1:11" x14ac:dyDescent="0.35">
      <c r="A28" s="2" t="s">
        <v>38</v>
      </c>
      <c r="B28" s="2">
        <v>545</v>
      </c>
      <c r="C28" s="2">
        <v>159</v>
      </c>
      <c r="D28" s="2">
        <v>0.77414772727272729</v>
      </c>
      <c r="E28" s="2">
        <v>1.2949402305475899E-50</v>
      </c>
      <c r="F28" s="2">
        <v>1</v>
      </c>
      <c r="G28" s="2">
        <v>2.5898804610951798E-50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440</v>
      </c>
      <c r="C29" s="2">
        <v>264</v>
      </c>
      <c r="D29" s="2">
        <v>0.625</v>
      </c>
      <c r="E29" s="2">
        <v>1.6840591736383231E-11</v>
      </c>
      <c r="F29" s="2">
        <v>0.99999999999000511</v>
      </c>
      <c r="G29" s="2">
        <v>3.3681183472766463E-11</v>
      </c>
      <c r="H29" s="2">
        <v>1.6418755244274049E-11</v>
      </c>
      <c r="I29" s="2">
        <v>0.99999999998358124</v>
      </c>
      <c r="J29" s="2">
        <v>3.2837510488548112E-11</v>
      </c>
      <c r="K29" s="2" t="s">
        <v>1</v>
      </c>
    </row>
    <row r="30" spans="1:11" x14ac:dyDescent="0.35">
      <c r="A30" s="2" t="s">
        <v>40</v>
      </c>
      <c r="B30" s="2">
        <v>444</v>
      </c>
      <c r="C30" s="2">
        <v>260</v>
      </c>
      <c r="D30" s="2">
        <v>0.63068181818181823</v>
      </c>
      <c r="E30" s="2">
        <v>2.0160533626992649E-12</v>
      </c>
      <c r="F30" s="2">
        <v>0.99999999999883171</v>
      </c>
      <c r="G30" s="2">
        <v>4.0321067253985298E-12</v>
      </c>
      <c r="H30" s="2">
        <v>2.0345947149280619E-12</v>
      </c>
      <c r="I30" s="2">
        <v>0.99999999999796541</v>
      </c>
      <c r="J30" s="2">
        <v>4.0691894298561238E-12</v>
      </c>
      <c r="K30" s="2" t="s">
        <v>1</v>
      </c>
    </row>
    <row r="31" spans="1:11" x14ac:dyDescent="0.35">
      <c r="A31" s="2" t="s">
        <v>41</v>
      </c>
      <c r="B31" s="2">
        <v>398</v>
      </c>
      <c r="C31" s="2">
        <v>306</v>
      </c>
      <c r="D31" s="2">
        <v>0.56534090909090906</v>
      </c>
      <c r="E31" s="2">
        <v>2.9727623726529142E-4</v>
      </c>
      <c r="F31" s="2">
        <v>0.99977576233067644</v>
      </c>
      <c r="G31" s="2">
        <v>5.9455247453058272E-4</v>
      </c>
      <c r="H31" s="2">
        <v>2.6277871913638062E-4</v>
      </c>
      <c r="I31" s="2">
        <v>0.99973722128086362</v>
      </c>
      <c r="J31" s="2">
        <v>5.2555743827276125E-4</v>
      </c>
      <c r="K31" s="2" t="s">
        <v>1</v>
      </c>
    </row>
    <row r="32" spans="1:11" x14ac:dyDescent="0.35">
      <c r="A32" s="2" t="s">
        <v>42</v>
      </c>
      <c r="B32" s="2">
        <v>539</v>
      </c>
      <c r="C32" s="2">
        <v>165</v>
      </c>
      <c r="D32" s="2">
        <v>0.765625</v>
      </c>
      <c r="E32" s="2">
        <v>1.83008522618505E-47</v>
      </c>
      <c r="F32" s="2">
        <v>1</v>
      </c>
      <c r="G32" s="2">
        <v>3.6601704523700991E-47</v>
      </c>
      <c r="H32" s="2">
        <v>0</v>
      </c>
      <c r="I32" s="2">
        <v>1</v>
      </c>
      <c r="J32" s="2">
        <v>0</v>
      </c>
      <c r="K32" s="2" t="s">
        <v>1</v>
      </c>
    </row>
    <row r="33" spans="1:11" x14ac:dyDescent="0.35">
      <c r="A33" s="2" t="s">
        <v>43</v>
      </c>
      <c r="B33" s="2">
        <v>440</v>
      </c>
      <c r="C33" s="2">
        <v>264</v>
      </c>
      <c r="D33" s="2">
        <v>0.625</v>
      </c>
      <c r="E33" s="2">
        <v>1.6840591736383231E-11</v>
      </c>
      <c r="F33" s="2">
        <v>0.99999999999000511</v>
      </c>
      <c r="G33" s="2">
        <v>3.3681183472766463E-11</v>
      </c>
      <c r="H33" s="2">
        <v>1.6418755244274049E-11</v>
      </c>
      <c r="I33" s="2">
        <v>0.99999999998358124</v>
      </c>
      <c r="J33" s="2">
        <v>3.2837510488548112E-11</v>
      </c>
      <c r="K33" s="2" t="s">
        <v>1</v>
      </c>
    </row>
    <row r="34" spans="1:11" x14ac:dyDescent="0.35">
      <c r="A34" s="2" t="s">
        <v>44</v>
      </c>
      <c r="B34" s="2">
        <v>387</v>
      </c>
      <c r="C34" s="2">
        <v>317</v>
      </c>
      <c r="D34" s="2">
        <v>0.54971590909090906</v>
      </c>
      <c r="E34" s="2">
        <v>4.6298355537997774E-3</v>
      </c>
      <c r="F34" s="2">
        <v>0.99629541745891781</v>
      </c>
      <c r="G34" s="2">
        <v>9.2596711075995548E-3</v>
      </c>
      <c r="H34" s="2">
        <v>4.1670722889086687E-3</v>
      </c>
      <c r="I34" s="2">
        <v>0.99583292771109133</v>
      </c>
      <c r="J34" s="2">
        <v>8.3341445778173373E-3</v>
      </c>
      <c r="K34" s="2" t="s">
        <v>1</v>
      </c>
    </row>
    <row r="35" spans="1:11" x14ac:dyDescent="0.35">
      <c r="A35" s="2" t="s">
        <v>45</v>
      </c>
      <c r="B35" s="2">
        <v>411</v>
      </c>
      <c r="C35" s="2">
        <v>293</v>
      </c>
      <c r="D35" s="2">
        <v>0.58380681818181823</v>
      </c>
      <c r="E35" s="2">
        <v>4.9504061134201882E-6</v>
      </c>
      <c r="F35" s="2">
        <v>0.99999652535152628</v>
      </c>
      <c r="G35" s="2">
        <v>9.9008122268403763E-6</v>
      </c>
      <c r="H35" s="2">
        <v>4.3479729709972048E-6</v>
      </c>
      <c r="I35" s="2">
        <v>0.999995652027029</v>
      </c>
      <c r="J35" s="2">
        <v>8.6959459419944096E-6</v>
      </c>
      <c r="K35" s="2" t="s">
        <v>1</v>
      </c>
    </row>
    <row r="36" spans="1:11" x14ac:dyDescent="0.35">
      <c r="A36" s="2" t="s">
        <v>46</v>
      </c>
      <c r="B36" s="2">
        <v>422</v>
      </c>
      <c r="C36" s="2">
        <v>282</v>
      </c>
      <c r="D36" s="2">
        <v>0.59943181818181823</v>
      </c>
      <c r="E36" s="2">
        <v>7.3853968232725039E-8</v>
      </c>
      <c r="F36" s="2">
        <v>0.99999995130455599</v>
      </c>
      <c r="G36" s="2">
        <v>1.477079364654501E-7</v>
      </c>
      <c r="H36" s="2">
        <v>6.5855741970821668E-8</v>
      </c>
      <c r="I36" s="2">
        <v>0.99999993414425803</v>
      </c>
      <c r="J36" s="2">
        <v>1.3171148394164331E-7</v>
      </c>
      <c r="K36" s="2" t="s">
        <v>1</v>
      </c>
    </row>
    <row r="37" spans="1:11" x14ac:dyDescent="0.35">
      <c r="A37" s="2" t="s">
        <v>47</v>
      </c>
      <c r="B37" s="2">
        <v>437</v>
      </c>
      <c r="C37" s="2">
        <v>267</v>
      </c>
      <c r="D37" s="2">
        <v>0.62073863636363635</v>
      </c>
      <c r="E37" s="2">
        <v>7.773941077768152E-11</v>
      </c>
      <c r="F37" s="2">
        <v>0.99999999995303379</v>
      </c>
      <c r="G37" s="2">
        <v>1.5547882155536299E-10</v>
      </c>
      <c r="H37" s="2">
        <v>7.414890923485018E-11</v>
      </c>
      <c r="I37" s="2">
        <v>0.99999999992585109</v>
      </c>
      <c r="J37" s="2">
        <v>1.4829781846970041E-10</v>
      </c>
      <c r="K37" s="2" t="s">
        <v>1</v>
      </c>
    </row>
    <row r="38" spans="1:11" x14ac:dyDescent="0.35">
      <c r="A38" s="2" t="s">
        <v>48</v>
      </c>
      <c r="B38" s="2">
        <v>427</v>
      </c>
      <c r="C38" s="2">
        <v>277</v>
      </c>
      <c r="D38" s="2">
        <v>0.60653409090909094</v>
      </c>
      <c r="E38" s="2">
        <v>8.6880052469512098E-9</v>
      </c>
      <c r="F38" s="2">
        <v>0.99999999443458498</v>
      </c>
      <c r="G38" s="2">
        <v>1.737601049390242E-8</v>
      </c>
      <c r="H38" s="2">
        <v>7.8680845172485192E-9</v>
      </c>
      <c r="I38" s="2">
        <v>0.99999999213191548</v>
      </c>
      <c r="J38" s="2">
        <v>1.5736169034497038E-8</v>
      </c>
      <c r="K38" s="2" t="s">
        <v>1</v>
      </c>
    </row>
    <row r="39" spans="1:11" x14ac:dyDescent="0.35">
      <c r="A39" s="2" t="s">
        <v>49</v>
      </c>
      <c r="B39" s="2">
        <v>511</v>
      </c>
      <c r="C39" s="2">
        <v>193</v>
      </c>
      <c r="D39" s="2">
        <v>0.72585227272727271</v>
      </c>
      <c r="E39" s="2">
        <v>2.4113559914503591E-34</v>
      </c>
      <c r="F39" s="2">
        <v>1</v>
      </c>
      <c r="G39" s="2">
        <v>4.8227119829007181E-34</v>
      </c>
      <c r="H39" s="2">
        <v>0</v>
      </c>
      <c r="I39" s="2">
        <v>1</v>
      </c>
      <c r="J39" s="2">
        <v>0</v>
      </c>
      <c r="K39" s="2" t="s">
        <v>1</v>
      </c>
    </row>
    <row r="40" spans="1:11" x14ac:dyDescent="0.35">
      <c r="A40" s="2" t="s">
        <v>50</v>
      </c>
      <c r="B40" s="2">
        <v>203</v>
      </c>
      <c r="C40" s="2">
        <v>501</v>
      </c>
      <c r="D40" s="2">
        <v>0.28835227272727271</v>
      </c>
      <c r="E40" s="2">
        <v>1</v>
      </c>
      <c r="F40" s="2">
        <v>2.9522028872401471E-30</v>
      </c>
      <c r="G40" s="2">
        <v>5.9044057744802949E-30</v>
      </c>
      <c r="H40" s="2">
        <v>1</v>
      </c>
      <c r="I40" s="2">
        <v>1.4312180335167479E-29</v>
      </c>
      <c r="J40" s="2">
        <v>0</v>
      </c>
      <c r="K40" s="2" t="s">
        <v>2</v>
      </c>
    </row>
    <row r="41" spans="1:11" x14ac:dyDescent="0.35">
      <c r="A41" s="2" t="s">
        <v>51</v>
      </c>
      <c r="B41" s="2">
        <v>176</v>
      </c>
      <c r="C41" s="2">
        <v>528</v>
      </c>
      <c r="D41" s="2">
        <v>0.25</v>
      </c>
      <c r="E41" s="2">
        <v>1</v>
      </c>
      <c r="F41" s="2">
        <v>5.2525601200730668E-42</v>
      </c>
      <c r="G41" s="2">
        <v>1.050512024014613E-41</v>
      </c>
      <c r="H41" s="2">
        <v>1</v>
      </c>
      <c r="I41" s="2">
        <v>1.810530513421601E-40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557</v>
      </c>
      <c r="C42" s="2">
        <v>147</v>
      </c>
      <c r="D42" s="2">
        <v>0.79119318181818177</v>
      </c>
      <c r="E42" s="2">
        <v>2.6866680931156952E-57</v>
      </c>
      <c r="F42" s="2">
        <v>1</v>
      </c>
      <c r="G42" s="2">
        <v>5.3733361862313892E-57</v>
      </c>
      <c r="H42" s="2">
        <v>0</v>
      </c>
      <c r="I42" s="2">
        <v>1</v>
      </c>
      <c r="J42" s="2">
        <v>0</v>
      </c>
      <c r="K42" s="2" t="s">
        <v>1</v>
      </c>
    </row>
    <row r="43" spans="1:11" x14ac:dyDescent="0.35">
      <c r="A43" s="2" t="s">
        <v>53</v>
      </c>
      <c r="B43" s="2">
        <v>421</v>
      </c>
      <c r="C43" s="2">
        <v>283</v>
      </c>
      <c r="D43" s="2">
        <v>0.59801136363636365</v>
      </c>
      <c r="E43" s="2">
        <v>1.113695060809213E-7</v>
      </c>
      <c r="F43" s="2">
        <v>0.99999992614603173</v>
      </c>
      <c r="G43" s="2">
        <v>2.2273901216184249E-7</v>
      </c>
      <c r="H43" s="2">
        <v>9.9071855386156926E-8</v>
      </c>
      <c r="I43" s="2">
        <v>0.99999990092814461</v>
      </c>
      <c r="J43" s="2">
        <v>1.9814371077231391E-7</v>
      </c>
      <c r="K43" s="2" t="s">
        <v>1</v>
      </c>
    </row>
    <row r="44" spans="1:11" x14ac:dyDescent="0.35">
      <c r="A44" s="2" t="s">
        <v>54</v>
      </c>
      <c r="B44" s="2">
        <v>571</v>
      </c>
      <c r="C44" s="2">
        <v>133</v>
      </c>
      <c r="D44" s="2">
        <v>0.81107954545454541</v>
      </c>
      <c r="E44" s="2">
        <v>8.9801460878349132E-66</v>
      </c>
      <c r="F44" s="2">
        <v>1</v>
      </c>
      <c r="G44" s="2">
        <v>1.7960292175669831E-65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348</v>
      </c>
      <c r="C45" s="2">
        <v>356</v>
      </c>
      <c r="D45" s="2">
        <v>0.49431818181818182</v>
      </c>
      <c r="E45" s="2">
        <v>0.63275715045003333</v>
      </c>
      <c r="F45" s="2">
        <v>0.39596959597855169</v>
      </c>
      <c r="G45" s="2">
        <v>0.79193919195710338</v>
      </c>
      <c r="H45" s="2">
        <v>0.61848769972350237</v>
      </c>
      <c r="I45" s="2">
        <v>0.38151230027649757</v>
      </c>
      <c r="J45" s="2">
        <v>0.76302460055299526</v>
      </c>
      <c r="K45" s="2" t="s">
        <v>12</v>
      </c>
    </row>
    <row r="46" spans="1:11" x14ac:dyDescent="0.35">
      <c r="A46" s="2" t="s">
        <v>56</v>
      </c>
      <c r="B46" s="2">
        <v>208</v>
      </c>
      <c r="C46" s="2">
        <v>496</v>
      </c>
      <c r="D46" s="2">
        <v>0.29545454545454553</v>
      </c>
      <c r="E46" s="2">
        <v>1</v>
      </c>
      <c r="F46" s="2">
        <v>2.521374157347619E-28</v>
      </c>
      <c r="G46" s="2">
        <v>5.0427483146952389E-28</v>
      </c>
      <c r="H46" s="2">
        <v>1</v>
      </c>
      <c r="I46" s="2">
        <v>9.5016663618946908E-28</v>
      </c>
      <c r="J46" s="2">
        <v>0</v>
      </c>
      <c r="K46" s="2" t="s">
        <v>2</v>
      </c>
    </row>
    <row r="47" spans="1:11" x14ac:dyDescent="0.35">
      <c r="A47" s="2" t="s">
        <v>57</v>
      </c>
      <c r="B47" s="2">
        <v>678</v>
      </c>
      <c r="C47" s="2">
        <v>26</v>
      </c>
      <c r="D47" s="2">
        <v>0.96306818181818177</v>
      </c>
      <c r="E47" s="2">
        <v>2.089901580498296E-165</v>
      </c>
      <c r="F47" s="2">
        <v>1</v>
      </c>
      <c r="G47" s="2">
        <v>4.179803160996591E-165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504</v>
      </c>
      <c r="C48" s="2">
        <v>200</v>
      </c>
      <c r="D48" s="2">
        <v>0.71590909090909094</v>
      </c>
      <c r="E48" s="2">
        <v>1.885928027292221E-31</v>
      </c>
      <c r="F48" s="2">
        <v>1</v>
      </c>
      <c r="G48" s="2">
        <v>3.7718560545844412E-31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249</v>
      </c>
      <c r="C49" s="2">
        <v>455</v>
      </c>
      <c r="D49" s="2">
        <v>0.35369318181818182</v>
      </c>
      <c r="E49" s="2">
        <v>0.99999999999999811</v>
      </c>
      <c r="F49" s="2">
        <v>3.5800149477577373E-15</v>
      </c>
      <c r="G49" s="2">
        <v>7.160029895515473E-15</v>
      </c>
      <c r="H49" s="2">
        <v>0.99999999999999589</v>
      </c>
      <c r="I49" s="2">
        <v>4.1172859136787213E-15</v>
      </c>
      <c r="J49" s="2">
        <v>8.2156503822261584E-15</v>
      </c>
      <c r="K49" s="2" t="s">
        <v>2</v>
      </c>
    </row>
    <row r="50" spans="1:11" x14ac:dyDescent="0.35">
      <c r="A50" s="2" t="s">
        <v>60</v>
      </c>
      <c r="B50" s="2">
        <v>346</v>
      </c>
      <c r="C50" s="2">
        <v>358</v>
      </c>
      <c r="D50" s="2">
        <v>0.49147727272727271</v>
      </c>
      <c r="E50" s="2">
        <v>0.68790182259992472</v>
      </c>
      <c r="F50" s="2">
        <v>0.33924030681285811</v>
      </c>
      <c r="G50" s="2">
        <v>0.6784806136257161</v>
      </c>
      <c r="H50" s="2">
        <v>0.67446168296108322</v>
      </c>
      <c r="I50" s="2">
        <v>0.32553831703891678</v>
      </c>
      <c r="J50" s="2">
        <v>0.65107663407783356</v>
      </c>
      <c r="K50" s="2" t="s">
        <v>12</v>
      </c>
    </row>
    <row r="51" spans="1:11" x14ac:dyDescent="0.35">
      <c r="A51" s="2" t="s">
        <v>61</v>
      </c>
      <c r="B51" s="2">
        <v>495</v>
      </c>
      <c r="C51" s="2">
        <v>209</v>
      </c>
      <c r="D51" s="2">
        <v>0.703125</v>
      </c>
      <c r="E51" s="2">
        <v>6.0128866720584896E-28</v>
      </c>
      <c r="F51" s="2">
        <v>1</v>
      </c>
      <c r="G51" s="2">
        <v>1.2025773344116979E-27</v>
      </c>
      <c r="H51" s="2">
        <v>0</v>
      </c>
      <c r="I51" s="2">
        <v>1</v>
      </c>
      <c r="J51" s="2">
        <v>0</v>
      </c>
      <c r="K51" s="2" t="s">
        <v>1</v>
      </c>
    </row>
    <row r="52" spans="1:11" x14ac:dyDescent="0.35">
      <c r="A52" s="2" t="s">
        <v>62</v>
      </c>
      <c r="B52" s="2">
        <v>674</v>
      </c>
      <c r="C52" s="2">
        <v>30</v>
      </c>
      <c r="D52" s="2">
        <v>0.95738636363636365</v>
      </c>
      <c r="E52" s="2">
        <v>6.6978574091944809E-160</v>
      </c>
      <c r="F52" s="2">
        <v>1</v>
      </c>
      <c r="G52" s="2">
        <v>1.3395714818388959E-159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464</v>
      </c>
      <c r="C53" s="2">
        <v>240</v>
      </c>
      <c r="D53" s="2">
        <v>0.65909090909090906</v>
      </c>
      <c r="E53" s="2">
        <v>1.1598697554267099E-17</v>
      </c>
      <c r="F53" s="2">
        <v>1</v>
      </c>
      <c r="G53" s="2">
        <v>2.3197395108534199E-17</v>
      </c>
      <c r="H53" s="2">
        <v>0</v>
      </c>
      <c r="I53" s="2">
        <v>1</v>
      </c>
      <c r="J53" s="2">
        <v>0</v>
      </c>
      <c r="K53" s="2" t="s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493</v>
      </c>
      <c r="C2" s="2">
        <v>491</v>
      </c>
      <c r="D2" s="2">
        <v>0.50101626016260159</v>
      </c>
      <c r="E2" s="2">
        <v>0.51271458465071473</v>
      </c>
      <c r="F2" s="2">
        <v>0.51271458465071473</v>
      </c>
      <c r="G2" s="2">
        <v>1</v>
      </c>
      <c r="H2" s="2">
        <v>0.47458159152542212</v>
      </c>
      <c r="I2" s="2">
        <v>0.52541840847457788</v>
      </c>
      <c r="J2" s="2">
        <v>0.94916318305084424</v>
      </c>
      <c r="K2" s="2" t="s">
        <v>12</v>
      </c>
    </row>
    <row r="3" spans="1:11" x14ac:dyDescent="0.35">
      <c r="A3" s="2" t="s">
        <v>13</v>
      </c>
      <c r="B3" s="2">
        <v>483</v>
      </c>
      <c r="C3" s="2">
        <v>501</v>
      </c>
      <c r="D3" s="2">
        <v>0.49085365853658541</v>
      </c>
      <c r="E3" s="2">
        <v>0.72763149274820915</v>
      </c>
      <c r="F3" s="2">
        <v>0.29394103861535209</v>
      </c>
      <c r="G3" s="2">
        <v>0.58788207723070429</v>
      </c>
      <c r="H3" s="2">
        <v>0.71695486909157524</v>
      </c>
      <c r="I3" s="2">
        <v>0.28304513090842481</v>
      </c>
      <c r="J3" s="2">
        <v>0.56609026181684952</v>
      </c>
      <c r="K3" s="2" t="s">
        <v>12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445</v>
      </c>
      <c r="C5" s="2">
        <v>539</v>
      </c>
      <c r="D5" s="2">
        <v>0.45223577235772361</v>
      </c>
      <c r="E5" s="2">
        <v>0.99877962679942434</v>
      </c>
      <c r="F5" s="2">
        <v>1.5051032699417129E-3</v>
      </c>
      <c r="G5" s="2">
        <v>3.0102065398834271E-3</v>
      </c>
      <c r="H5" s="2">
        <v>0.99863500384341108</v>
      </c>
      <c r="I5" s="2">
        <v>1.364996156588868E-3</v>
      </c>
      <c r="J5" s="2">
        <v>2.729992313177831E-3</v>
      </c>
      <c r="K5" s="2" t="s">
        <v>2</v>
      </c>
    </row>
    <row r="6" spans="1:11" x14ac:dyDescent="0.35">
      <c r="A6" s="2" t="s">
        <v>16</v>
      </c>
      <c r="B6" s="2">
        <v>591</v>
      </c>
      <c r="C6" s="2">
        <v>393</v>
      </c>
      <c r="D6" s="2">
        <v>0.60060975609756095</v>
      </c>
      <c r="E6" s="2">
        <v>1.479832155624119E-10</v>
      </c>
      <c r="F6" s="2">
        <v>0.99999999990253974</v>
      </c>
      <c r="G6" s="2">
        <v>2.959664311248237E-10</v>
      </c>
      <c r="H6" s="2">
        <v>1.3771772611193001E-10</v>
      </c>
      <c r="I6" s="2">
        <v>0.99999999986228227</v>
      </c>
      <c r="J6" s="2">
        <v>2.7543545222386001E-10</v>
      </c>
      <c r="K6" s="2" t="s">
        <v>1</v>
      </c>
    </row>
    <row r="7" spans="1:11" x14ac:dyDescent="0.35">
      <c r="A7" s="2" t="s">
        <v>17</v>
      </c>
      <c r="B7" s="2">
        <v>658</v>
      </c>
      <c r="C7" s="2">
        <v>326</v>
      </c>
      <c r="D7" s="2">
        <v>0.66869918699186992</v>
      </c>
      <c r="E7" s="2">
        <v>8.2836110889446232E-27</v>
      </c>
      <c r="F7" s="2">
        <v>1</v>
      </c>
      <c r="G7" s="2">
        <v>1.6567222177889249E-26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18</v>
      </c>
      <c r="B8" s="2">
        <v>639</v>
      </c>
      <c r="C8" s="2">
        <v>345</v>
      </c>
      <c r="D8" s="2">
        <v>0.64939024390243905</v>
      </c>
      <c r="E8" s="2">
        <v>2.4571613899838639E-21</v>
      </c>
      <c r="F8" s="2">
        <v>1</v>
      </c>
      <c r="G8" s="2">
        <v>4.9143227799677271E-21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19</v>
      </c>
      <c r="B9" s="2">
        <v>509</v>
      </c>
      <c r="C9" s="2">
        <v>475</v>
      </c>
      <c r="D9" s="2">
        <v>0.51727642276422769</v>
      </c>
      <c r="E9" s="2">
        <v>0.14639725818087859</v>
      </c>
      <c r="F9" s="2">
        <v>0.86774232952232644</v>
      </c>
      <c r="G9" s="2">
        <v>0.29279451636175718</v>
      </c>
      <c r="H9" s="2">
        <v>0.13920891278779271</v>
      </c>
      <c r="I9" s="2">
        <v>0.86079108721220732</v>
      </c>
      <c r="J9" s="2">
        <v>0.27841782557558542</v>
      </c>
      <c r="K9" s="2" t="s">
        <v>12</v>
      </c>
    </row>
    <row r="10" spans="1:11" x14ac:dyDescent="0.35">
      <c r="A10" s="2" t="s">
        <v>20</v>
      </c>
      <c r="B10" s="2">
        <v>375</v>
      </c>
      <c r="C10" s="2">
        <v>609</v>
      </c>
      <c r="D10" s="2">
        <v>0.38109756097560982</v>
      </c>
      <c r="E10" s="2">
        <v>0.99999999999997413</v>
      </c>
      <c r="F10" s="2">
        <v>4.2430642213581307E-14</v>
      </c>
      <c r="G10" s="2">
        <v>8.4861284427162614E-14</v>
      </c>
      <c r="H10" s="2">
        <v>0.99999999999995659</v>
      </c>
      <c r="I10" s="2">
        <v>4.3377116745046367E-14</v>
      </c>
      <c r="J10" s="2">
        <v>8.6819440525687241E-14</v>
      </c>
      <c r="K10" s="2" t="s">
        <v>2</v>
      </c>
    </row>
    <row r="11" spans="1:11" x14ac:dyDescent="0.35">
      <c r="A11" s="2" t="s">
        <v>21</v>
      </c>
      <c r="B11" s="2">
        <v>444</v>
      </c>
      <c r="C11" s="2">
        <v>540</v>
      </c>
      <c r="D11" s="2">
        <v>0.45121951219512202</v>
      </c>
      <c r="E11" s="2">
        <v>0.99901426546769834</v>
      </c>
      <c r="F11" s="2">
        <v>1.220373200575612E-3</v>
      </c>
      <c r="G11" s="2">
        <v>2.4407464011512239E-3</v>
      </c>
      <c r="H11" s="2">
        <v>0.99889467490842754</v>
      </c>
      <c r="I11" s="2">
        <v>1.1053250915724509E-3</v>
      </c>
      <c r="J11" s="2">
        <v>2.2106501831449239E-3</v>
      </c>
      <c r="K11" s="2" t="s">
        <v>2</v>
      </c>
    </row>
    <row r="12" spans="1:11" x14ac:dyDescent="0.35">
      <c r="A12" s="2" t="s">
        <v>22</v>
      </c>
      <c r="B12" s="2">
        <v>512</v>
      </c>
      <c r="C12" s="2">
        <v>472</v>
      </c>
      <c r="D12" s="2">
        <v>0.52032520325203258</v>
      </c>
      <c r="E12" s="2">
        <v>0.1068727673786477</v>
      </c>
      <c r="F12" s="2">
        <v>0.90441242068569194</v>
      </c>
      <c r="G12" s="2">
        <v>0.21374553475729549</v>
      </c>
      <c r="H12" s="2">
        <v>0.1011274711774712</v>
      </c>
      <c r="I12" s="2">
        <v>0.89887252882252877</v>
      </c>
      <c r="J12" s="2">
        <v>0.20225494235494251</v>
      </c>
      <c r="K12" s="2" t="s">
        <v>12</v>
      </c>
    </row>
    <row r="13" spans="1:11" x14ac:dyDescent="0.35">
      <c r="A13" s="2" t="s">
        <v>23</v>
      </c>
      <c r="B13" s="2">
        <v>559</v>
      </c>
      <c r="C13" s="2">
        <v>425</v>
      </c>
      <c r="D13" s="2">
        <v>0.56808943089430897</v>
      </c>
      <c r="E13" s="2">
        <v>1.087998784664854E-5</v>
      </c>
      <c r="F13" s="2">
        <v>0.99999183995244467</v>
      </c>
      <c r="G13" s="2">
        <v>2.1759975693297091E-5</v>
      </c>
      <c r="H13" s="2">
        <v>9.6966388571928519E-6</v>
      </c>
      <c r="I13" s="2">
        <v>0.99999030336114281</v>
      </c>
      <c r="J13" s="2">
        <v>1.93932777143857E-5</v>
      </c>
      <c r="K13" s="2" t="s">
        <v>1</v>
      </c>
    </row>
    <row r="14" spans="1:11" x14ac:dyDescent="0.35">
      <c r="A14" s="2" t="s">
        <v>24</v>
      </c>
      <c r="B14" s="2">
        <v>398</v>
      </c>
      <c r="C14" s="2">
        <v>586</v>
      </c>
      <c r="D14" s="2">
        <v>0.40447154471544722</v>
      </c>
      <c r="E14" s="2">
        <v>0.99999999924530059</v>
      </c>
      <c r="F14" s="2">
        <v>1.122486815198918E-9</v>
      </c>
      <c r="G14" s="2">
        <v>2.244973630397836E-9</v>
      </c>
      <c r="H14" s="2">
        <v>0.99999999897137581</v>
      </c>
      <c r="I14" s="2">
        <v>1.028624201103832E-9</v>
      </c>
      <c r="J14" s="2">
        <v>2.0572483716563279E-9</v>
      </c>
      <c r="K14" s="2" t="s">
        <v>2</v>
      </c>
    </row>
    <row r="15" spans="1:11" x14ac:dyDescent="0.35">
      <c r="A15" s="2" t="s">
        <v>25</v>
      </c>
      <c r="B15" s="2">
        <v>25</v>
      </c>
      <c r="C15" s="2">
        <v>48</v>
      </c>
      <c r="D15" s="2">
        <v>0.34246575342465752</v>
      </c>
      <c r="E15" s="2">
        <v>0.99768685303905225</v>
      </c>
      <c r="F15" s="2">
        <v>4.7711057129327383E-3</v>
      </c>
      <c r="G15" s="2">
        <v>9.5422114258654767E-3</v>
      </c>
      <c r="H15" s="2">
        <v>0.99644818180012895</v>
      </c>
      <c r="I15" s="2">
        <v>3.5518181998710611E-3</v>
      </c>
      <c r="J15" s="2">
        <v>7.103636399742097E-3</v>
      </c>
      <c r="K15" s="2" t="s">
        <v>2</v>
      </c>
    </row>
    <row r="16" spans="1:11" x14ac:dyDescent="0.35">
      <c r="A16" s="2" t="s">
        <v>26</v>
      </c>
      <c r="B16" s="2">
        <v>494</v>
      </c>
      <c r="C16" s="2">
        <v>490</v>
      </c>
      <c r="D16" s="2">
        <v>0.50203252032520329</v>
      </c>
      <c r="E16" s="2">
        <v>0.46190782651296952</v>
      </c>
      <c r="F16" s="2">
        <v>0.56331564741138507</v>
      </c>
      <c r="G16" s="2">
        <v>0.92381565302593904</v>
      </c>
      <c r="H16" s="2">
        <v>0.44926626532927483</v>
      </c>
      <c r="I16" s="2">
        <v>0.55073373467072517</v>
      </c>
      <c r="J16" s="2">
        <v>0.89853253065854966</v>
      </c>
      <c r="K16" s="2" t="s">
        <v>12</v>
      </c>
    </row>
    <row r="17" spans="1:11" x14ac:dyDescent="0.35">
      <c r="A17" s="2" t="s">
        <v>27</v>
      </c>
      <c r="B17" s="2">
        <v>432</v>
      </c>
      <c r="C17" s="2">
        <v>552</v>
      </c>
      <c r="D17" s="2">
        <v>0.43902439024390238</v>
      </c>
      <c r="E17" s="2">
        <v>0.999943745209251</v>
      </c>
      <c r="F17" s="2">
        <v>7.2961666211235574E-5</v>
      </c>
      <c r="G17" s="2">
        <v>1.4592333242247109E-4</v>
      </c>
      <c r="H17" s="2">
        <v>0.99993473600977689</v>
      </c>
      <c r="I17" s="2">
        <v>6.5263990223053878E-5</v>
      </c>
      <c r="J17" s="2">
        <v>1.3052798044621561E-4</v>
      </c>
      <c r="K17" s="2" t="s">
        <v>2</v>
      </c>
    </row>
    <row r="18" spans="1:11" x14ac:dyDescent="0.35">
      <c r="A18" s="2" t="s">
        <v>28</v>
      </c>
      <c r="B18" s="2">
        <v>418</v>
      </c>
      <c r="C18" s="2">
        <v>566</v>
      </c>
      <c r="D18" s="2">
        <v>0.42479674796747968</v>
      </c>
      <c r="E18" s="2">
        <v>0.99999902574657795</v>
      </c>
      <c r="F18" s="2">
        <v>1.335807115945141E-6</v>
      </c>
      <c r="G18" s="2">
        <v>2.6716142318902821E-6</v>
      </c>
      <c r="H18" s="2">
        <v>0.99999880952351938</v>
      </c>
      <c r="I18" s="2">
        <v>1.1904764806035691E-6</v>
      </c>
      <c r="J18" s="2">
        <v>2.380952961233973E-6</v>
      </c>
      <c r="K18" s="2" t="s">
        <v>2</v>
      </c>
    </row>
    <row r="19" spans="1:11" x14ac:dyDescent="0.35">
      <c r="A19" s="2" t="s">
        <v>29</v>
      </c>
      <c r="B19" s="2">
        <v>281</v>
      </c>
      <c r="C19" s="2">
        <v>703</v>
      </c>
      <c r="D19" s="2">
        <v>0.28556910569105692</v>
      </c>
      <c r="E19" s="2">
        <v>1</v>
      </c>
      <c r="F19" s="2">
        <v>1.167662653626995E-42</v>
      </c>
      <c r="G19" s="2">
        <v>2.33532530725399E-42</v>
      </c>
      <c r="H19" s="2">
        <v>1</v>
      </c>
      <c r="I19" s="2">
        <v>1.4807805662734379E-41</v>
      </c>
      <c r="J19" s="2">
        <v>0</v>
      </c>
      <c r="K19" s="2" t="s">
        <v>2</v>
      </c>
    </row>
    <row r="20" spans="1:11" x14ac:dyDescent="0.35">
      <c r="A20" s="2" t="s">
        <v>30</v>
      </c>
      <c r="B20" s="2">
        <v>119</v>
      </c>
      <c r="C20" s="2">
        <v>865</v>
      </c>
      <c r="D20" s="2">
        <v>0.1209349593495935</v>
      </c>
      <c r="E20" s="2">
        <v>1</v>
      </c>
      <c r="F20" s="2">
        <v>1.095340488195752E-140</v>
      </c>
      <c r="G20" s="2">
        <v>2.1906809763915032E-140</v>
      </c>
      <c r="H20" s="2">
        <v>1</v>
      </c>
      <c r="I20" s="2">
        <v>2.5883088775877841E-125</v>
      </c>
      <c r="J20" s="2">
        <v>0</v>
      </c>
      <c r="K20" s="2" t="s">
        <v>2</v>
      </c>
    </row>
    <row r="21" spans="1:11" x14ac:dyDescent="0.35">
      <c r="A21" s="2" t="s">
        <v>31</v>
      </c>
      <c r="B21" s="2">
        <v>174</v>
      </c>
      <c r="C21" s="2">
        <v>810</v>
      </c>
      <c r="D21" s="2">
        <v>0.17682926829268289</v>
      </c>
      <c r="E21" s="2">
        <v>1</v>
      </c>
      <c r="F21" s="2">
        <v>6.2023749905363909E-99</v>
      </c>
      <c r="G21" s="2">
        <v>1.240474998107278E-98</v>
      </c>
      <c r="H21" s="2">
        <v>1</v>
      </c>
      <c r="I21" s="2">
        <v>1.07027530703275E-91</v>
      </c>
      <c r="J21" s="2">
        <v>0</v>
      </c>
      <c r="K21" s="2" t="s">
        <v>2</v>
      </c>
    </row>
    <row r="22" spans="1:11" x14ac:dyDescent="0.35">
      <c r="A22" s="2" t="s">
        <v>32</v>
      </c>
      <c r="B22" s="2">
        <v>577</v>
      </c>
      <c r="C22" s="2">
        <v>407</v>
      </c>
      <c r="D22" s="2">
        <v>0.58638211382113825</v>
      </c>
      <c r="E22" s="2">
        <v>3.3237267859549253E-8</v>
      </c>
      <c r="F22" s="2">
        <v>0.99999997681351793</v>
      </c>
      <c r="G22" s="2">
        <v>6.6474535719098492E-8</v>
      </c>
      <c r="H22" s="2">
        <v>2.9899348996664799E-8</v>
      </c>
      <c r="I22" s="2">
        <v>0.999999970100651</v>
      </c>
      <c r="J22" s="2">
        <v>5.9798697993329597E-8</v>
      </c>
      <c r="K22" s="2" t="s">
        <v>1</v>
      </c>
    </row>
    <row r="23" spans="1:11" x14ac:dyDescent="0.35">
      <c r="A23" s="2" t="s">
        <v>33</v>
      </c>
      <c r="B23" s="2">
        <v>325</v>
      </c>
      <c r="C23" s="2">
        <v>659</v>
      </c>
      <c r="D23" s="2">
        <v>0.33028455284552838</v>
      </c>
      <c r="E23" s="2">
        <v>1</v>
      </c>
      <c r="F23" s="2">
        <v>4.0798102447988199E-27</v>
      </c>
      <c r="G23" s="2">
        <v>8.1596204895976397E-27</v>
      </c>
      <c r="H23" s="2">
        <v>1</v>
      </c>
      <c r="I23" s="2">
        <v>8.9525413614958281E-27</v>
      </c>
      <c r="J23" s="2">
        <v>0</v>
      </c>
      <c r="K23" s="2" t="s">
        <v>2</v>
      </c>
    </row>
    <row r="24" spans="1:11" x14ac:dyDescent="0.35">
      <c r="A24" s="2" t="s">
        <v>34</v>
      </c>
      <c r="B24" s="2">
        <v>398</v>
      </c>
      <c r="C24" s="2">
        <v>586</v>
      </c>
      <c r="D24" s="2">
        <v>0.40447154471544722</v>
      </c>
      <c r="E24" s="2">
        <v>0.99999999924530059</v>
      </c>
      <c r="F24" s="2">
        <v>1.122486815198918E-9</v>
      </c>
      <c r="G24" s="2">
        <v>2.244973630397836E-9</v>
      </c>
      <c r="H24" s="2">
        <v>0.99999999897137581</v>
      </c>
      <c r="I24" s="2">
        <v>1.028624201103832E-9</v>
      </c>
      <c r="J24" s="2">
        <v>2.0572483716563279E-9</v>
      </c>
      <c r="K24" s="2" t="s">
        <v>2</v>
      </c>
    </row>
    <row r="25" spans="1:11" x14ac:dyDescent="0.35">
      <c r="A25" s="2" t="s">
        <v>35</v>
      </c>
      <c r="B25" s="2">
        <v>442</v>
      </c>
      <c r="C25" s="2">
        <v>542</v>
      </c>
      <c r="D25" s="2">
        <v>0.44918699186991867</v>
      </c>
      <c r="E25" s="2">
        <v>0.99936422855090112</v>
      </c>
      <c r="F25" s="2">
        <v>7.9316601342255938E-4</v>
      </c>
      <c r="G25" s="2">
        <v>1.586332026845119E-3</v>
      </c>
      <c r="H25" s="2">
        <v>0.99928340882733779</v>
      </c>
      <c r="I25" s="2">
        <v>7.1659117266223329E-4</v>
      </c>
      <c r="J25" s="2">
        <v>1.433182345324413E-3</v>
      </c>
      <c r="K25" s="2" t="s">
        <v>2</v>
      </c>
    </row>
    <row r="26" spans="1:11" x14ac:dyDescent="0.35">
      <c r="A26" s="2" t="s">
        <v>36</v>
      </c>
      <c r="B26" s="2">
        <v>346</v>
      </c>
      <c r="C26" s="2">
        <v>638</v>
      </c>
      <c r="D26" s="2">
        <v>0.3516260162601626</v>
      </c>
      <c r="E26" s="2">
        <v>1</v>
      </c>
      <c r="F26" s="2">
        <v>4.5612915321525122E-21</v>
      </c>
      <c r="G26" s="2">
        <v>9.1225830643050245E-21</v>
      </c>
      <c r="H26" s="2">
        <v>1</v>
      </c>
      <c r="I26" s="2">
        <v>6.4751975228547708E-21</v>
      </c>
      <c r="J26" s="2">
        <v>0</v>
      </c>
      <c r="K26" s="2" t="s">
        <v>2</v>
      </c>
    </row>
    <row r="27" spans="1:11" x14ac:dyDescent="0.35">
      <c r="A27" s="2" t="s">
        <v>37</v>
      </c>
      <c r="B27" s="2">
        <v>455</v>
      </c>
      <c r="C27" s="2">
        <v>529</v>
      </c>
      <c r="D27" s="2">
        <v>0.46239837398373979</v>
      </c>
      <c r="E27" s="2">
        <v>0.99161859979378952</v>
      </c>
      <c r="F27" s="2">
        <v>9.9553397341197985E-3</v>
      </c>
      <c r="G27" s="2">
        <v>1.99106794682396E-2</v>
      </c>
      <c r="H27" s="2">
        <v>0.99083870753316072</v>
      </c>
      <c r="I27" s="2">
        <v>9.1612924668393256E-3</v>
      </c>
      <c r="J27" s="2">
        <v>1.8322584933678551E-2</v>
      </c>
      <c r="K27" s="2" t="s">
        <v>2</v>
      </c>
    </row>
    <row r="28" spans="1:11" x14ac:dyDescent="0.35">
      <c r="A28" s="2" t="s">
        <v>38</v>
      </c>
      <c r="B28" s="2">
        <v>880</v>
      </c>
      <c r="C28" s="2">
        <v>104</v>
      </c>
      <c r="D28" s="2">
        <v>0.89430894308943087</v>
      </c>
      <c r="E28" s="2">
        <v>4.4484760729544887E-154</v>
      </c>
      <c r="F28" s="2">
        <v>1</v>
      </c>
      <c r="G28" s="2">
        <v>8.8969521459089787E-154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779</v>
      </c>
      <c r="C29" s="2">
        <v>205</v>
      </c>
      <c r="D29" s="2">
        <v>0.79166666666666663</v>
      </c>
      <c r="E29" s="2">
        <v>1.270882463829253E-79</v>
      </c>
      <c r="F29" s="2">
        <v>1</v>
      </c>
      <c r="G29" s="2">
        <v>2.5417649276585049E-79</v>
      </c>
      <c r="H29" s="2">
        <v>0</v>
      </c>
      <c r="I29" s="2">
        <v>1</v>
      </c>
      <c r="J29" s="2">
        <v>0</v>
      </c>
      <c r="K29" s="2" t="s">
        <v>1</v>
      </c>
    </row>
    <row r="30" spans="1:11" x14ac:dyDescent="0.35">
      <c r="A30" s="2" t="s">
        <v>40</v>
      </c>
      <c r="B30" s="2">
        <v>357</v>
      </c>
      <c r="C30" s="2">
        <v>627</v>
      </c>
      <c r="D30" s="2">
        <v>0.36280487804878048</v>
      </c>
      <c r="E30" s="2">
        <v>1</v>
      </c>
      <c r="F30" s="2">
        <v>3.0794260643292591E-18</v>
      </c>
      <c r="G30" s="2">
        <v>6.1588521286585166E-18</v>
      </c>
      <c r="H30" s="2">
        <v>1</v>
      </c>
      <c r="I30" s="2">
        <v>3.7405438955005461E-18</v>
      </c>
      <c r="J30" s="2">
        <v>0</v>
      </c>
      <c r="K30" s="2" t="s">
        <v>2</v>
      </c>
    </row>
    <row r="31" spans="1:11" x14ac:dyDescent="0.35">
      <c r="A31" s="2" t="s">
        <v>41</v>
      </c>
      <c r="B31" s="2">
        <v>542</v>
      </c>
      <c r="C31" s="2">
        <v>442</v>
      </c>
      <c r="D31" s="2">
        <v>0.55081300813008127</v>
      </c>
      <c r="E31" s="2">
        <v>7.9316601342255938E-4</v>
      </c>
      <c r="F31" s="2">
        <v>0.99936422855090112</v>
      </c>
      <c r="G31" s="2">
        <v>1.586332026845119E-3</v>
      </c>
      <c r="H31" s="2">
        <v>7.1659117266220651E-4</v>
      </c>
      <c r="I31" s="2">
        <v>0.99928340882733779</v>
      </c>
      <c r="J31" s="2">
        <v>1.433182345324413E-3</v>
      </c>
      <c r="K31" s="2" t="s">
        <v>1</v>
      </c>
    </row>
    <row r="32" spans="1:11" x14ac:dyDescent="0.35">
      <c r="A32" s="2" t="s">
        <v>42</v>
      </c>
      <c r="B32" s="2">
        <v>815</v>
      </c>
      <c r="C32" s="2">
        <v>169</v>
      </c>
      <c r="D32" s="2">
        <v>0.8282520325203252</v>
      </c>
      <c r="E32" s="2">
        <v>2.603731892635298E-102</v>
      </c>
      <c r="F32" s="2">
        <v>1</v>
      </c>
      <c r="G32" s="2">
        <v>5.2074637852705968E-102</v>
      </c>
      <c r="H32" s="2">
        <v>0</v>
      </c>
      <c r="I32" s="2">
        <v>1</v>
      </c>
      <c r="J32" s="2">
        <v>0</v>
      </c>
      <c r="K32" s="2" t="s">
        <v>1</v>
      </c>
    </row>
    <row r="33" spans="1:11" x14ac:dyDescent="0.35">
      <c r="A33" s="2" t="s">
        <v>43</v>
      </c>
      <c r="B33" s="2">
        <v>481</v>
      </c>
      <c r="C33" s="2">
        <v>503</v>
      </c>
      <c r="D33" s="2">
        <v>0.48882113821138212</v>
      </c>
      <c r="E33" s="2">
        <v>0.76827702061238412</v>
      </c>
      <c r="F33" s="2">
        <v>0.2516124661191218</v>
      </c>
      <c r="G33" s="2">
        <v>0.50322493223824361</v>
      </c>
      <c r="H33" s="2">
        <v>0.75845281988422231</v>
      </c>
      <c r="I33" s="2">
        <v>0.24154718011577769</v>
      </c>
      <c r="J33" s="2">
        <v>0.48309436023155539</v>
      </c>
      <c r="K33" s="2" t="s">
        <v>12</v>
      </c>
    </row>
    <row r="34" spans="1:11" x14ac:dyDescent="0.35">
      <c r="A34" s="2" t="s">
        <v>44</v>
      </c>
      <c r="B34" s="2">
        <v>621</v>
      </c>
      <c r="C34" s="2">
        <v>363</v>
      </c>
      <c r="D34" s="2">
        <v>0.63109756097560976</v>
      </c>
      <c r="E34" s="2">
        <v>8.6172191085540611E-17</v>
      </c>
      <c r="F34" s="2">
        <v>1</v>
      </c>
      <c r="G34" s="2">
        <v>1.723443821710812E-16</v>
      </c>
      <c r="H34" s="2">
        <v>1.110223024625157E-16</v>
      </c>
      <c r="I34" s="2">
        <v>0.99999999999999989</v>
      </c>
      <c r="J34" s="2">
        <v>2.2204460492503131E-16</v>
      </c>
      <c r="K34" s="2" t="s">
        <v>1</v>
      </c>
    </row>
    <row r="35" spans="1:11" x14ac:dyDescent="0.35">
      <c r="A35" s="2" t="s">
        <v>45</v>
      </c>
      <c r="B35" s="2">
        <v>654</v>
      </c>
      <c r="C35" s="2">
        <v>330</v>
      </c>
      <c r="D35" s="2">
        <v>0.66463414634146345</v>
      </c>
      <c r="E35" s="2">
        <v>1.3452860879497699E-25</v>
      </c>
      <c r="F35" s="2">
        <v>1</v>
      </c>
      <c r="G35" s="2">
        <v>2.6905721758995389E-25</v>
      </c>
      <c r="H35" s="2">
        <v>0</v>
      </c>
      <c r="I35" s="2">
        <v>1</v>
      </c>
      <c r="J35" s="2">
        <v>0</v>
      </c>
      <c r="K35" s="2" t="s">
        <v>1</v>
      </c>
    </row>
    <row r="36" spans="1:11" x14ac:dyDescent="0.35">
      <c r="A36" s="2" t="s">
        <v>46</v>
      </c>
      <c r="B36" s="2">
        <v>552</v>
      </c>
      <c r="C36" s="2">
        <v>432</v>
      </c>
      <c r="D36" s="2">
        <v>0.56097560975609762</v>
      </c>
      <c r="E36" s="2">
        <v>7.2961666211235574E-5</v>
      </c>
      <c r="F36" s="2">
        <v>0.999943745209251</v>
      </c>
      <c r="G36" s="2">
        <v>1.4592333242247109E-4</v>
      </c>
      <c r="H36" s="2">
        <v>6.5263990223107804E-5</v>
      </c>
      <c r="I36" s="2">
        <v>0.99993473600977689</v>
      </c>
      <c r="J36" s="2">
        <v>1.3052798044621561E-4</v>
      </c>
      <c r="K36" s="2" t="s">
        <v>1</v>
      </c>
    </row>
    <row r="37" spans="1:11" x14ac:dyDescent="0.35">
      <c r="A37" s="2" t="s">
        <v>47</v>
      </c>
      <c r="B37" s="2">
        <v>206</v>
      </c>
      <c r="C37" s="2">
        <v>778</v>
      </c>
      <c r="D37" s="2">
        <v>0.20934959349593499</v>
      </c>
      <c r="E37" s="2">
        <v>1</v>
      </c>
      <c r="F37" s="2">
        <v>4.8164523614397783E-79</v>
      </c>
      <c r="G37" s="2">
        <v>9.6329047228795553E-79</v>
      </c>
      <c r="H37" s="2">
        <v>1</v>
      </c>
      <c r="I37" s="2">
        <v>1.3689097047500251E-74</v>
      </c>
      <c r="J37" s="2">
        <v>0</v>
      </c>
      <c r="K37" s="2" t="s">
        <v>2</v>
      </c>
    </row>
    <row r="38" spans="1:11" x14ac:dyDescent="0.35">
      <c r="A38" s="2" t="s">
        <v>48</v>
      </c>
      <c r="B38" s="2">
        <v>734</v>
      </c>
      <c r="C38" s="2">
        <v>250</v>
      </c>
      <c r="D38" s="2">
        <v>0.74593495934959353</v>
      </c>
      <c r="E38" s="2">
        <v>4.2965263759612453E-56</v>
      </c>
      <c r="F38" s="2">
        <v>1</v>
      </c>
      <c r="G38" s="2">
        <v>8.5930527519224906E-56</v>
      </c>
      <c r="H38" s="2">
        <v>0</v>
      </c>
      <c r="I38" s="2">
        <v>1</v>
      </c>
      <c r="J38" s="2">
        <v>0</v>
      </c>
      <c r="K38" s="2" t="s">
        <v>1</v>
      </c>
    </row>
    <row r="39" spans="1:11" x14ac:dyDescent="0.35">
      <c r="A39" s="2" t="s">
        <v>49</v>
      </c>
      <c r="B39" s="2">
        <v>799</v>
      </c>
      <c r="C39" s="2">
        <v>185</v>
      </c>
      <c r="D39" s="2">
        <v>0.81199186991869921</v>
      </c>
      <c r="E39" s="2">
        <v>9.0847750432330793E-92</v>
      </c>
      <c r="F39" s="2">
        <v>1</v>
      </c>
      <c r="G39" s="2">
        <v>1.8169550086466161E-91</v>
      </c>
      <c r="H39" s="2">
        <v>0</v>
      </c>
      <c r="I39" s="2">
        <v>1</v>
      </c>
      <c r="J39" s="2">
        <v>0</v>
      </c>
      <c r="K39" s="2" t="s">
        <v>1</v>
      </c>
    </row>
    <row r="40" spans="1:11" x14ac:dyDescent="0.35">
      <c r="A40" s="2" t="s">
        <v>50</v>
      </c>
      <c r="B40" s="2">
        <v>444</v>
      </c>
      <c r="C40" s="2">
        <v>540</v>
      </c>
      <c r="D40" s="2">
        <v>0.45121951219512202</v>
      </c>
      <c r="E40" s="2">
        <v>0.99901426546769834</v>
      </c>
      <c r="F40" s="2">
        <v>1.220373200575612E-3</v>
      </c>
      <c r="G40" s="2">
        <v>2.4407464011512239E-3</v>
      </c>
      <c r="H40" s="2">
        <v>0.99889467490842754</v>
      </c>
      <c r="I40" s="2">
        <v>1.1053250915724509E-3</v>
      </c>
      <c r="J40" s="2">
        <v>2.2106501831449239E-3</v>
      </c>
      <c r="K40" s="2" t="s">
        <v>2</v>
      </c>
    </row>
    <row r="41" spans="1:11" x14ac:dyDescent="0.35">
      <c r="A41" s="2" t="s">
        <v>51</v>
      </c>
      <c r="B41" s="2">
        <v>375</v>
      </c>
      <c r="C41" s="2">
        <v>609</v>
      </c>
      <c r="D41" s="2">
        <v>0.38109756097560982</v>
      </c>
      <c r="E41" s="2">
        <v>0.99999999999997413</v>
      </c>
      <c r="F41" s="2">
        <v>4.2430642213581307E-14</v>
      </c>
      <c r="G41" s="2">
        <v>8.4861284427162614E-14</v>
      </c>
      <c r="H41" s="2">
        <v>0.99999999999995659</v>
      </c>
      <c r="I41" s="2">
        <v>4.3377116745046367E-14</v>
      </c>
      <c r="J41" s="2">
        <v>8.6819440525687241E-14</v>
      </c>
      <c r="K41" s="2" t="s">
        <v>2</v>
      </c>
    </row>
    <row r="42" spans="1:11" x14ac:dyDescent="0.35">
      <c r="A42" s="2" t="s">
        <v>52</v>
      </c>
      <c r="B42" s="2">
        <v>830</v>
      </c>
      <c r="C42" s="2">
        <v>154</v>
      </c>
      <c r="D42" s="2">
        <v>0.8434959349593496</v>
      </c>
      <c r="E42" s="2">
        <v>6.5066924147814262E-113</v>
      </c>
      <c r="F42" s="2">
        <v>1</v>
      </c>
      <c r="G42" s="2">
        <v>1.301338482956285E-112</v>
      </c>
      <c r="H42" s="2">
        <v>0</v>
      </c>
      <c r="I42" s="2">
        <v>1</v>
      </c>
      <c r="J42" s="2">
        <v>0</v>
      </c>
      <c r="K42" s="2" t="s">
        <v>1</v>
      </c>
    </row>
    <row r="43" spans="1:11" x14ac:dyDescent="0.35">
      <c r="A43" s="2" t="s">
        <v>53</v>
      </c>
      <c r="B43" s="2">
        <v>533</v>
      </c>
      <c r="C43" s="2">
        <v>451</v>
      </c>
      <c r="D43" s="2">
        <v>0.54166666666666663</v>
      </c>
      <c r="E43" s="2">
        <v>4.8911942996628134E-3</v>
      </c>
      <c r="F43" s="2">
        <v>0.99594302973241455</v>
      </c>
      <c r="G43" s="2">
        <v>9.7823885993256268E-3</v>
      </c>
      <c r="H43" s="2">
        <v>4.4736068869172252E-3</v>
      </c>
      <c r="I43" s="2">
        <v>0.99552639311308277</v>
      </c>
      <c r="J43" s="2">
        <v>8.9472137738344504E-3</v>
      </c>
      <c r="K43" s="2" t="s">
        <v>1</v>
      </c>
    </row>
    <row r="44" spans="1:11" x14ac:dyDescent="0.35">
      <c r="A44" s="2" t="s">
        <v>54</v>
      </c>
      <c r="B44" s="2">
        <v>600</v>
      </c>
      <c r="C44" s="2">
        <v>384</v>
      </c>
      <c r="D44" s="2">
        <v>0.6097560975609756</v>
      </c>
      <c r="E44" s="2">
        <v>2.969449419363383E-12</v>
      </c>
      <c r="F44" s="2">
        <v>0.9999999999981164</v>
      </c>
      <c r="G44" s="2">
        <v>5.9388988387267652E-12</v>
      </c>
      <c r="H44" s="2">
        <v>2.87259105391513E-12</v>
      </c>
      <c r="I44" s="2">
        <v>0.99999999999712741</v>
      </c>
      <c r="J44" s="2">
        <v>5.7451821078302601E-12</v>
      </c>
      <c r="K44" s="2" t="s">
        <v>1</v>
      </c>
    </row>
    <row r="45" spans="1:11" x14ac:dyDescent="0.35">
      <c r="A45" s="2" t="s">
        <v>55</v>
      </c>
      <c r="B45" s="2">
        <v>250</v>
      </c>
      <c r="C45" s="2">
        <v>734</v>
      </c>
      <c r="D45" s="2">
        <v>0.25406504065040653</v>
      </c>
      <c r="E45" s="2">
        <v>1</v>
      </c>
      <c r="F45" s="2">
        <v>4.2965263759612453E-56</v>
      </c>
      <c r="G45" s="2">
        <v>8.5930527519224906E-56</v>
      </c>
      <c r="H45" s="2">
        <v>1</v>
      </c>
      <c r="I45" s="2">
        <v>5.1950533597932512E-54</v>
      </c>
      <c r="J45" s="2">
        <v>0</v>
      </c>
      <c r="K45" s="2" t="s">
        <v>2</v>
      </c>
    </row>
    <row r="46" spans="1:11" x14ac:dyDescent="0.35">
      <c r="A46" s="2" t="s">
        <v>56</v>
      </c>
      <c r="B46" s="2">
        <v>191</v>
      </c>
      <c r="C46" s="2">
        <v>793</v>
      </c>
      <c r="D46" s="2">
        <v>0.19410569105691061</v>
      </c>
      <c r="E46" s="2">
        <v>1</v>
      </c>
      <c r="F46" s="2">
        <v>5.2351459613256976E-88</v>
      </c>
      <c r="G46" s="2">
        <v>1.04702919226514E-87</v>
      </c>
      <c r="H46" s="2">
        <v>1</v>
      </c>
      <c r="I46" s="2">
        <v>2.1979466828496919E-82</v>
      </c>
      <c r="J46" s="2">
        <v>0</v>
      </c>
      <c r="K46" s="2" t="s">
        <v>2</v>
      </c>
    </row>
    <row r="47" spans="1:11" x14ac:dyDescent="0.35">
      <c r="A47" s="2" t="s">
        <v>57</v>
      </c>
      <c r="B47" s="2">
        <v>752</v>
      </c>
      <c r="C47" s="2">
        <v>232</v>
      </c>
      <c r="D47" s="2">
        <v>0.76422764227642281</v>
      </c>
      <c r="E47" s="2">
        <v>6.6144919240883313E-65</v>
      </c>
      <c r="F47" s="2">
        <v>1</v>
      </c>
      <c r="G47" s="2">
        <v>1.3228983848176659E-64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615</v>
      </c>
      <c r="C48" s="2">
        <v>369</v>
      </c>
      <c r="D48" s="2">
        <v>0.625</v>
      </c>
      <c r="E48" s="2">
        <v>2.0650291391172052E-15</v>
      </c>
      <c r="F48" s="2">
        <v>0.99999999999999878</v>
      </c>
      <c r="G48" s="2">
        <v>4.1300582782344104E-15</v>
      </c>
      <c r="H48" s="2">
        <v>2.2204460492503131E-15</v>
      </c>
      <c r="I48" s="2">
        <v>0.99999999999999778</v>
      </c>
      <c r="J48" s="2">
        <v>4.4408920985006262E-15</v>
      </c>
      <c r="K48" s="2" t="s">
        <v>1</v>
      </c>
    </row>
    <row r="49" spans="1:11" x14ac:dyDescent="0.35">
      <c r="A49" s="2" t="s">
        <v>59</v>
      </c>
      <c r="B49" s="2">
        <v>584</v>
      </c>
      <c r="C49" s="2">
        <v>400</v>
      </c>
      <c r="D49" s="2">
        <v>0.5934959349593496</v>
      </c>
      <c r="E49" s="2">
        <v>2.4526280867415511E-9</v>
      </c>
      <c r="F49" s="2">
        <v>0.99999999833735431</v>
      </c>
      <c r="G49" s="2">
        <v>4.9052561734831022E-9</v>
      </c>
      <c r="H49" s="2">
        <v>2.2361313911645202E-9</v>
      </c>
      <c r="I49" s="2">
        <v>0.99999999776386861</v>
      </c>
      <c r="J49" s="2">
        <v>4.4722627823290403E-9</v>
      </c>
      <c r="K49" s="2" t="s">
        <v>1</v>
      </c>
    </row>
    <row r="50" spans="1:11" x14ac:dyDescent="0.35">
      <c r="A50" s="2" t="s">
        <v>60</v>
      </c>
      <c r="B50" s="2">
        <v>471</v>
      </c>
      <c r="C50" s="2">
        <v>513</v>
      </c>
      <c r="D50" s="2">
        <v>0.47865853658536578</v>
      </c>
      <c r="E50" s="2">
        <v>0.91479567364157521</v>
      </c>
      <c r="F50" s="2">
        <v>9.5587579314308072E-2</v>
      </c>
      <c r="G50" s="2">
        <v>0.19117515862861609</v>
      </c>
      <c r="H50" s="2">
        <v>0.90970019175303807</v>
      </c>
      <c r="I50" s="2">
        <v>9.0299808246961932E-2</v>
      </c>
      <c r="J50" s="2">
        <v>0.18059961649392389</v>
      </c>
      <c r="K50" s="2" t="s">
        <v>12</v>
      </c>
    </row>
    <row r="51" spans="1:11" x14ac:dyDescent="0.35">
      <c r="A51" s="2" t="s">
        <v>61</v>
      </c>
      <c r="B51" s="2">
        <v>455</v>
      </c>
      <c r="C51" s="2">
        <v>529</v>
      </c>
      <c r="D51" s="2">
        <v>0.46239837398373979</v>
      </c>
      <c r="E51" s="2">
        <v>0.99161859979378952</v>
      </c>
      <c r="F51" s="2">
        <v>9.9553397341197985E-3</v>
      </c>
      <c r="G51" s="2">
        <v>1.99106794682396E-2</v>
      </c>
      <c r="H51" s="2">
        <v>0.99083870753316072</v>
      </c>
      <c r="I51" s="2">
        <v>9.1612924668393256E-3</v>
      </c>
      <c r="J51" s="2">
        <v>1.8322584933678551E-2</v>
      </c>
      <c r="K51" s="2" t="s">
        <v>2</v>
      </c>
    </row>
    <row r="52" spans="1:11" x14ac:dyDescent="0.35">
      <c r="A52" s="2" t="s">
        <v>62</v>
      </c>
      <c r="B52" s="2">
        <v>812</v>
      </c>
      <c r="C52" s="2">
        <v>172</v>
      </c>
      <c r="D52" s="2">
        <v>0.82520325203252032</v>
      </c>
      <c r="E52" s="2">
        <v>2.8244471163600462E-100</v>
      </c>
      <c r="F52" s="2">
        <v>1</v>
      </c>
      <c r="G52" s="2">
        <v>5.6488942327200925E-100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972</v>
      </c>
      <c r="C53" s="2">
        <v>12</v>
      </c>
      <c r="D53" s="2">
        <v>0.98780487804878048</v>
      </c>
      <c r="E53" s="2">
        <v>9.9592948151581392E-270</v>
      </c>
      <c r="F53" s="2">
        <v>1</v>
      </c>
      <c r="G53" s="2">
        <v>1.9918589630316282E-269</v>
      </c>
      <c r="H53" s="2">
        <v>0</v>
      </c>
      <c r="I53" s="2">
        <v>1</v>
      </c>
      <c r="J53" s="2">
        <v>0</v>
      </c>
      <c r="K53" s="2" t="s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3"/>
  <sheetViews>
    <sheetView workbookViewId="0"/>
  </sheetViews>
  <sheetFormatPr defaultRowHeight="14.5" x14ac:dyDescent="0.35"/>
  <cols>
    <col min="1" max="1" width="25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810</v>
      </c>
      <c r="C2" s="2">
        <v>823</v>
      </c>
      <c r="D2" s="2">
        <v>0.4960195958358849</v>
      </c>
      <c r="E2" s="2">
        <v>0.6354901868468299</v>
      </c>
      <c r="F2" s="2">
        <v>0.38325636177543532</v>
      </c>
      <c r="G2" s="2">
        <v>0.76651272355087052</v>
      </c>
      <c r="H2" s="2">
        <v>0.62615978631696045</v>
      </c>
      <c r="I2" s="2">
        <v>0.37384021368303949</v>
      </c>
      <c r="J2" s="2">
        <v>0.74768042736607909</v>
      </c>
      <c r="K2" s="2" t="s">
        <v>12</v>
      </c>
    </row>
    <row r="3" spans="1:11" x14ac:dyDescent="0.35">
      <c r="A3" s="2" t="s">
        <v>13</v>
      </c>
      <c r="B3" s="2">
        <v>655</v>
      </c>
      <c r="C3" s="2">
        <v>978</v>
      </c>
      <c r="D3" s="2">
        <v>0.4011022657685242</v>
      </c>
      <c r="E3" s="2">
        <v>0.99999999999999956</v>
      </c>
      <c r="F3" s="2">
        <v>6.5303714115702355E-16</v>
      </c>
      <c r="G3" s="2">
        <v>1.3060742823140469E-15</v>
      </c>
      <c r="H3" s="2">
        <v>0.99999999999999933</v>
      </c>
      <c r="I3" s="2">
        <v>6.5850831045583286E-16</v>
      </c>
      <c r="J3" s="2">
        <v>1.332267629550188E-15</v>
      </c>
      <c r="K3" s="2" t="s">
        <v>2</v>
      </c>
    </row>
    <row r="4" spans="1:11" x14ac:dyDescent="0.35">
      <c r="A4" s="2" t="s">
        <v>14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 t="s">
        <v>12</v>
      </c>
    </row>
    <row r="5" spans="1:11" x14ac:dyDescent="0.35">
      <c r="A5" s="2" t="s">
        <v>15</v>
      </c>
      <c r="B5" s="2">
        <v>501</v>
      </c>
      <c r="C5" s="2">
        <v>1132</v>
      </c>
      <c r="D5" s="2">
        <v>0.30679730557256579</v>
      </c>
      <c r="E5" s="2">
        <v>1</v>
      </c>
      <c r="F5" s="2">
        <v>1.7171803494803709E-56</v>
      </c>
      <c r="G5" s="2">
        <v>3.4343606989607419E-56</v>
      </c>
      <c r="H5" s="2">
        <v>1</v>
      </c>
      <c r="I5" s="2">
        <v>2.8865512537135709E-55</v>
      </c>
      <c r="J5" s="2">
        <v>0</v>
      </c>
      <c r="K5" s="2" t="s">
        <v>2</v>
      </c>
    </row>
    <row r="6" spans="1:11" x14ac:dyDescent="0.35">
      <c r="A6" s="2" t="s">
        <v>16</v>
      </c>
      <c r="B6" s="2">
        <v>191</v>
      </c>
      <c r="C6" s="2">
        <v>1442</v>
      </c>
      <c r="D6" s="2">
        <v>0.1169626454378445</v>
      </c>
      <c r="E6" s="2">
        <v>1</v>
      </c>
      <c r="F6" s="2">
        <v>7.3789034229452573E-238</v>
      </c>
      <c r="G6" s="2">
        <v>1.4757806845890509E-237</v>
      </c>
      <c r="H6" s="2">
        <v>1</v>
      </c>
      <c r="I6" s="2">
        <v>1.0106040612851751E-210</v>
      </c>
      <c r="J6" s="2">
        <v>0</v>
      </c>
      <c r="K6" s="2" t="s">
        <v>2</v>
      </c>
    </row>
    <row r="7" spans="1:11" x14ac:dyDescent="0.35">
      <c r="A7" s="2" t="s">
        <v>17</v>
      </c>
      <c r="B7" s="2">
        <v>310</v>
      </c>
      <c r="C7" s="2">
        <v>1323</v>
      </c>
      <c r="D7" s="2">
        <v>0.18983466013472139</v>
      </c>
      <c r="E7" s="2">
        <v>1</v>
      </c>
      <c r="F7" s="2">
        <v>3.9370182237869448E-149</v>
      </c>
      <c r="G7" s="2">
        <v>7.8740364475738897E-149</v>
      </c>
      <c r="H7" s="2">
        <v>1</v>
      </c>
      <c r="I7" s="2">
        <v>5.5830240707489164E-139</v>
      </c>
      <c r="J7" s="2">
        <v>0</v>
      </c>
      <c r="K7" s="2" t="s">
        <v>2</v>
      </c>
    </row>
    <row r="8" spans="1:11" x14ac:dyDescent="0.35">
      <c r="A8" s="2" t="s">
        <v>18</v>
      </c>
      <c r="B8" s="2">
        <v>760</v>
      </c>
      <c r="C8" s="2">
        <v>873</v>
      </c>
      <c r="D8" s="2">
        <v>0.46540110226576847</v>
      </c>
      <c r="E8" s="2">
        <v>0.99761418592448126</v>
      </c>
      <c r="F8" s="2">
        <v>2.7812846673214439E-3</v>
      </c>
      <c r="G8" s="2">
        <v>5.5625693346428879E-3</v>
      </c>
      <c r="H8" s="2">
        <v>0.99741551212917279</v>
      </c>
      <c r="I8" s="2">
        <v>2.5844878708271971E-3</v>
      </c>
      <c r="J8" s="2">
        <v>5.1689757416544246E-3</v>
      </c>
      <c r="K8" s="2" t="s">
        <v>2</v>
      </c>
    </row>
    <row r="9" spans="1:11" x14ac:dyDescent="0.35">
      <c r="A9" s="2" t="s">
        <v>19</v>
      </c>
      <c r="B9" s="2">
        <v>859</v>
      </c>
      <c r="C9" s="2">
        <v>774</v>
      </c>
      <c r="D9" s="2">
        <v>0.52602571953459887</v>
      </c>
      <c r="E9" s="2">
        <v>1.8807497242705841E-2</v>
      </c>
      <c r="F9" s="2">
        <v>0.9833541997779246</v>
      </c>
      <c r="G9" s="2">
        <v>3.7614994485411668E-2</v>
      </c>
      <c r="H9" s="2">
        <v>1.7714570876774419E-2</v>
      </c>
      <c r="I9" s="2">
        <v>0.98228542912322558</v>
      </c>
      <c r="J9" s="2">
        <v>3.5429141753548832E-2</v>
      </c>
      <c r="K9" s="2" t="s">
        <v>1</v>
      </c>
    </row>
    <row r="10" spans="1:11" x14ac:dyDescent="0.35">
      <c r="A10" s="2" t="s">
        <v>20</v>
      </c>
      <c r="B10" s="2">
        <v>875</v>
      </c>
      <c r="C10" s="2">
        <v>758</v>
      </c>
      <c r="D10" s="2">
        <v>0.5358236374770361</v>
      </c>
      <c r="E10" s="2">
        <v>2.041926604386071E-3</v>
      </c>
      <c r="F10" s="2">
        <v>0.99825637121343069</v>
      </c>
      <c r="G10" s="2">
        <v>4.0838532087721421E-3</v>
      </c>
      <c r="H10" s="2">
        <v>1.8940138516619911E-3</v>
      </c>
      <c r="I10" s="2">
        <v>0.99810598614833801</v>
      </c>
      <c r="J10" s="2">
        <v>3.7880277033239822E-3</v>
      </c>
      <c r="K10" s="2" t="s">
        <v>1</v>
      </c>
    </row>
    <row r="11" spans="1:11" x14ac:dyDescent="0.35">
      <c r="A11" s="2" t="s">
        <v>21</v>
      </c>
      <c r="B11" s="2">
        <v>570</v>
      </c>
      <c r="C11" s="2">
        <v>1063</v>
      </c>
      <c r="D11" s="2">
        <v>0.34905082669932641</v>
      </c>
      <c r="E11" s="2">
        <v>1</v>
      </c>
      <c r="F11" s="2">
        <v>6.5877487841799034E-35</v>
      </c>
      <c r="G11" s="2">
        <v>1.3175497568359811E-34</v>
      </c>
      <c r="H11" s="2">
        <v>1</v>
      </c>
      <c r="I11" s="2">
        <v>1.5573420261936339E-34</v>
      </c>
      <c r="J11" s="2">
        <v>0</v>
      </c>
      <c r="K11" s="2" t="s">
        <v>2</v>
      </c>
    </row>
    <row r="12" spans="1:11" x14ac:dyDescent="0.35">
      <c r="A12" s="2" t="s">
        <v>22</v>
      </c>
      <c r="B12" s="2">
        <v>618</v>
      </c>
      <c r="C12" s="2">
        <v>1015</v>
      </c>
      <c r="D12" s="2">
        <v>0.3784445805266381</v>
      </c>
      <c r="E12" s="2">
        <v>1</v>
      </c>
      <c r="F12" s="2">
        <v>3.495489225533287E-23</v>
      </c>
      <c r="G12" s="2">
        <v>6.9909784510665741E-23</v>
      </c>
      <c r="H12" s="2">
        <v>1</v>
      </c>
      <c r="I12" s="2">
        <v>4.4285062990526597E-23</v>
      </c>
      <c r="J12" s="2">
        <v>0</v>
      </c>
      <c r="K12" s="2" t="s">
        <v>2</v>
      </c>
    </row>
    <row r="13" spans="1:11" x14ac:dyDescent="0.35">
      <c r="A13" s="2" t="s">
        <v>23</v>
      </c>
      <c r="B13" s="2">
        <v>870</v>
      </c>
      <c r="C13" s="2">
        <v>763</v>
      </c>
      <c r="D13" s="2">
        <v>0.5327617881200245</v>
      </c>
      <c r="E13" s="2">
        <v>4.3467742682115106E-3</v>
      </c>
      <c r="F13" s="2">
        <v>0.99624587658145713</v>
      </c>
      <c r="G13" s="2">
        <v>8.6935485364230212E-3</v>
      </c>
      <c r="H13" s="2">
        <v>4.0504696881099589E-3</v>
      </c>
      <c r="I13" s="2">
        <v>0.99594953031189004</v>
      </c>
      <c r="J13" s="2">
        <v>8.1009393762199178E-3</v>
      </c>
      <c r="K13" s="2" t="s">
        <v>1</v>
      </c>
    </row>
    <row r="14" spans="1:11" x14ac:dyDescent="0.35">
      <c r="A14" s="2" t="s">
        <v>24</v>
      </c>
      <c r="B14" s="2">
        <v>1013</v>
      </c>
      <c r="C14" s="2">
        <v>620</v>
      </c>
      <c r="D14" s="2">
        <v>0.62033067973055722</v>
      </c>
      <c r="E14" s="2">
        <v>9.4491744232742963E-23</v>
      </c>
      <c r="F14" s="2">
        <v>1</v>
      </c>
      <c r="G14" s="2">
        <v>1.889834884654859E-22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25</v>
      </c>
      <c r="B15" s="2">
        <v>47</v>
      </c>
      <c r="C15" s="2">
        <v>79</v>
      </c>
      <c r="D15" s="2">
        <v>0.37301587301587302</v>
      </c>
      <c r="E15" s="2">
        <v>0.99843719446686263</v>
      </c>
      <c r="F15" s="2">
        <v>2.7680125819489068E-3</v>
      </c>
      <c r="G15" s="2">
        <v>5.5360251638978154E-3</v>
      </c>
      <c r="H15" s="2">
        <v>0.99781943847317967</v>
      </c>
      <c r="I15" s="2">
        <v>2.1805615268203158E-3</v>
      </c>
      <c r="J15" s="2">
        <v>4.3611230536406698E-3</v>
      </c>
      <c r="K15" s="2" t="s">
        <v>2</v>
      </c>
    </row>
    <row r="16" spans="1:11" x14ac:dyDescent="0.35">
      <c r="A16" s="2" t="s">
        <v>26</v>
      </c>
      <c r="B16" s="2">
        <v>651</v>
      </c>
      <c r="C16" s="2">
        <v>982</v>
      </c>
      <c r="D16" s="2">
        <v>0.39865278628291489</v>
      </c>
      <c r="E16" s="2">
        <v>0.99999999999999989</v>
      </c>
      <c r="F16" s="2">
        <v>1.2634210790090489E-16</v>
      </c>
      <c r="G16" s="2">
        <v>2.5268421580180989E-16</v>
      </c>
      <c r="H16" s="2">
        <v>0.99999999999999989</v>
      </c>
      <c r="I16" s="2">
        <v>1.295734013874816E-16</v>
      </c>
      <c r="J16" s="2">
        <v>2.2204460492503131E-16</v>
      </c>
      <c r="K16" s="2" t="s">
        <v>2</v>
      </c>
    </row>
    <row r="17" spans="1:11" x14ac:dyDescent="0.35">
      <c r="A17" s="2" t="s">
        <v>27</v>
      </c>
      <c r="B17" s="2">
        <v>865</v>
      </c>
      <c r="C17" s="2">
        <v>768</v>
      </c>
      <c r="D17" s="2">
        <v>0.52969993876301291</v>
      </c>
      <c r="E17" s="2">
        <v>8.746227021178405E-3</v>
      </c>
      <c r="F17" s="2">
        <v>0.99236104546294235</v>
      </c>
      <c r="G17" s="2">
        <v>1.749245404235681E-2</v>
      </c>
      <c r="H17" s="2">
        <v>8.189197777302204E-3</v>
      </c>
      <c r="I17" s="2">
        <v>0.9918108022226978</v>
      </c>
      <c r="J17" s="2">
        <v>1.6378395554604411E-2</v>
      </c>
      <c r="K17" s="2" t="s">
        <v>1</v>
      </c>
    </row>
    <row r="18" spans="1:11" x14ac:dyDescent="0.35">
      <c r="A18" s="2" t="s">
        <v>28</v>
      </c>
      <c r="B18" s="2">
        <v>797</v>
      </c>
      <c r="C18" s="2">
        <v>836</v>
      </c>
      <c r="D18" s="2">
        <v>0.48805878750765458</v>
      </c>
      <c r="E18" s="2">
        <v>0.83887463348315316</v>
      </c>
      <c r="F18" s="2">
        <v>0.17351992282908349</v>
      </c>
      <c r="G18" s="2">
        <v>0.34703984565816698</v>
      </c>
      <c r="H18" s="2">
        <v>0.83275219080784302</v>
      </c>
      <c r="I18" s="2">
        <v>0.16724780919215701</v>
      </c>
      <c r="J18" s="2">
        <v>0.33449561838431402</v>
      </c>
      <c r="K18" s="2" t="s">
        <v>12</v>
      </c>
    </row>
    <row r="19" spans="1:11" x14ac:dyDescent="0.35">
      <c r="A19" s="2" t="s">
        <v>29</v>
      </c>
      <c r="B19" s="2">
        <v>1294</v>
      </c>
      <c r="C19" s="2">
        <v>339</v>
      </c>
      <c r="D19" s="2">
        <v>0.79240661359461118</v>
      </c>
      <c r="E19" s="2">
        <v>1.4509042313489029E-131</v>
      </c>
      <c r="F19" s="2">
        <v>1</v>
      </c>
      <c r="G19" s="2">
        <v>2.9018084626978058E-131</v>
      </c>
      <c r="H19" s="2">
        <v>0</v>
      </c>
      <c r="I19" s="2">
        <v>1</v>
      </c>
      <c r="J19" s="2">
        <v>0</v>
      </c>
      <c r="K19" s="2" t="s">
        <v>1</v>
      </c>
    </row>
    <row r="20" spans="1:11" x14ac:dyDescent="0.35">
      <c r="A20" s="2" t="s">
        <v>30</v>
      </c>
      <c r="B20" s="2">
        <v>1101</v>
      </c>
      <c r="C20" s="2">
        <v>532</v>
      </c>
      <c r="D20" s="2">
        <v>0.67421922841396198</v>
      </c>
      <c r="E20" s="2">
        <v>4.3688962072540114E-46</v>
      </c>
      <c r="F20" s="2">
        <v>1</v>
      </c>
      <c r="G20" s="2">
        <v>8.7377924145080227E-46</v>
      </c>
      <c r="H20" s="2">
        <v>0</v>
      </c>
      <c r="I20" s="2">
        <v>1</v>
      </c>
      <c r="J20" s="2">
        <v>0</v>
      </c>
      <c r="K20" s="2" t="s">
        <v>1</v>
      </c>
    </row>
    <row r="21" spans="1:11" x14ac:dyDescent="0.35">
      <c r="A21" s="2" t="s">
        <v>31</v>
      </c>
      <c r="B21" s="2">
        <v>552</v>
      </c>
      <c r="C21" s="2">
        <v>1081</v>
      </c>
      <c r="D21" s="2">
        <v>0.3380281690140845</v>
      </c>
      <c r="E21" s="2">
        <v>1</v>
      </c>
      <c r="F21" s="2">
        <v>5.4530208150703044E-40</v>
      </c>
      <c r="G21" s="2">
        <v>1.090604163014061E-39</v>
      </c>
      <c r="H21" s="2">
        <v>1</v>
      </c>
      <c r="I21" s="2">
        <v>1.8610250495345619E-39</v>
      </c>
      <c r="J21" s="2">
        <v>0</v>
      </c>
      <c r="K21" s="2" t="s">
        <v>2</v>
      </c>
    </row>
    <row r="22" spans="1:11" x14ac:dyDescent="0.35">
      <c r="A22" s="2" t="s">
        <v>32</v>
      </c>
      <c r="B22" s="2">
        <v>136</v>
      </c>
      <c r="C22" s="2">
        <v>1497</v>
      </c>
      <c r="D22" s="2">
        <v>8.3282302510716472E-2</v>
      </c>
      <c r="E22" s="2">
        <v>1</v>
      </c>
      <c r="F22" s="2">
        <v>2.2396742060803381E-290</v>
      </c>
      <c r="G22" s="2">
        <v>4.4793484121606768E-290</v>
      </c>
      <c r="H22" s="2">
        <v>1</v>
      </c>
      <c r="I22" s="2">
        <v>5.7787981076509506E-249</v>
      </c>
      <c r="J22" s="2">
        <v>0</v>
      </c>
      <c r="K22" s="2" t="s">
        <v>2</v>
      </c>
    </row>
    <row r="23" spans="1:11" x14ac:dyDescent="0.35">
      <c r="A23" s="2" t="s">
        <v>33</v>
      </c>
      <c r="B23" s="2">
        <v>704</v>
      </c>
      <c r="C23" s="2">
        <v>929</v>
      </c>
      <c r="D23" s="2">
        <v>0.43110838946723817</v>
      </c>
      <c r="E23" s="2">
        <v>0.99999998936383228</v>
      </c>
      <c r="F23" s="2">
        <v>1.4153773632414361E-8</v>
      </c>
      <c r="G23" s="2">
        <v>2.8307547264828721E-8</v>
      </c>
      <c r="H23" s="2">
        <v>0.99999998710671689</v>
      </c>
      <c r="I23" s="2">
        <v>1.2893283078141211E-8</v>
      </c>
      <c r="J23" s="2">
        <v>2.5786566215657561E-8</v>
      </c>
      <c r="K23" s="2" t="s">
        <v>2</v>
      </c>
    </row>
    <row r="24" spans="1:11" x14ac:dyDescent="0.35">
      <c r="A24" s="2" t="s">
        <v>34</v>
      </c>
      <c r="B24" s="2">
        <v>711</v>
      </c>
      <c r="C24" s="2">
        <v>922</v>
      </c>
      <c r="D24" s="2">
        <v>0.4353949785670545</v>
      </c>
      <c r="E24" s="2">
        <v>0.99999992530876447</v>
      </c>
      <c r="F24" s="2">
        <v>9.7721362431371429E-8</v>
      </c>
      <c r="G24" s="2">
        <v>1.9544272486274291E-7</v>
      </c>
      <c r="H24" s="2">
        <v>0.9999999112260689</v>
      </c>
      <c r="I24" s="2">
        <v>8.8773931058982239E-8</v>
      </c>
      <c r="J24" s="2">
        <v>1.775478621901527E-7</v>
      </c>
      <c r="K24" s="2" t="s">
        <v>2</v>
      </c>
    </row>
    <row r="25" spans="1:11" x14ac:dyDescent="0.35">
      <c r="A25" s="2" t="s">
        <v>35</v>
      </c>
      <c r="B25" s="2">
        <v>723</v>
      </c>
      <c r="C25" s="2">
        <v>910</v>
      </c>
      <c r="D25" s="2">
        <v>0.44274341702388242</v>
      </c>
      <c r="E25" s="2">
        <v>0.99999839724999251</v>
      </c>
      <c r="F25" s="2">
        <v>2.037306704992248E-6</v>
      </c>
      <c r="G25" s="2">
        <v>4.0746134099844951E-6</v>
      </c>
      <c r="H25" s="2">
        <v>0.99999814966743983</v>
      </c>
      <c r="I25" s="2">
        <v>1.850332560117049E-6</v>
      </c>
      <c r="J25" s="2">
        <v>3.7006651203430611E-6</v>
      </c>
      <c r="K25" s="2" t="s">
        <v>2</v>
      </c>
    </row>
    <row r="26" spans="1:11" x14ac:dyDescent="0.35">
      <c r="A26" s="2" t="s">
        <v>36</v>
      </c>
      <c r="B26" s="2">
        <v>1126</v>
      </c>
      <c r="C26" s="2">
        <v>507</v>
      </c>
      <c r="D26" s="2">
        <v>0.68952847519902016</v>
      </c>
      <c r="E26" s="2">
        <v>2.1925707043259681E-54</v>
      </c>
      <c r="F26" s="2">
        <v>1</v>
      </c>
      <c r="G26" s="2">
        <v>4.3851414086519363E-54</v>
      </c>
      <c r="H26" s="2">
        <v>0</v>
      </c>
      <c r="I26" s="2">
        <v>1</v>
      </c>
      <c r="J26" s="2">
        <v>0</v>
      </c>
      <c r="K26" s="2" t="s">
        <v>1</v>
      </c>
    </row>
    <row r="27" spans="1:11" x14ac:dyDescent="0.35">
      <c r="A27" s="2" t="s">
        <v>37</v>
      </c>
      <c r="B27" s="2">
        <v>547</v>
      </c>
      <c r="C27" s="2">
        <v>1086</v>
      </c>
      <c r="D27" s="2">
        <v>0.33496631965707291</v>
      </c>
      <c r="E27" s="2">
        <v>1</v>
      </c>
      <c r="F27" s="2">
        <v>1.8081972249351491E-41</v>
      </c>
      <c r="G27" s="2">
        <v>3.6163944498702992E-41</v>
      </c>
      <c r="H27" s="2">
        <v>1</v>
      </c>
      <c r="I27" s="2">
        <v>6.9429308280555704E-41</v>
      </c>
      <c r="J27" s="2">
        <v>0</v>
      </c>
      <c r="K27" s="2" t="s">
        <v>2</v>
      </c>
    </row>
    <row r="28" spans="1:11" x14ac:dyDescent="0.35">
      <c r="A28" s="2" t="s">
        <v>38</v>
      </c>
      <c r="B28" s="2">
        <v>270</v>
      </c>
      <c r="C28" s="2">
        <v>1363</v>
      </c>
      <c r="D28" s="2">
        <v>0.16533986527862829</v>
      </c>
      <c r="E28" s="2">
        <v>1</v>
      </c>
      <c r="F28" s="2">
        <v>9.0866539402055044E-176</v>
      </c>
      <c r="G28" s="2">
        <v>1.8173307880411009E-175</v>
      </c>
      <c r="H28" s="2">
        <v>1</v>
      </c>
      <c r="I28" s="2">
        <v>2.0437318155402129E-161</v>
      </c>
      <c r="J28" s="2">
        <v>0</v>
      </c>
      <c r="K28" s="2" t="s">
        <v>2</v>
      </c>
    </row>
    <row r="29" spans="1:11" x14ac:dyDescent="0.35">
      <c r="A29" s="2" t="s">
        <v>39</v>
      </c>
      <c r="B29" s="2">
        <v>149</v>
      </c>
      <c r="C29" s="2">
        <v>1484</v>
      </c>
      <c r="D29" s="2">
        <v>9.124311083894672E-2</v>
      </c>
      <c r="E29" s="2">
        <v>1</v>
      </c>
      <c r="F29" s="2">
        <v>3.9131088482958679E-277</v>
      </c>
      <c r="G29" s="2">
        <v>7.8262176965917369E-277</v>
      </c>
      <c r="H29" s="2">
        <v>1</v>
      </c>
      <c r="I29" s="2">
        <v>1.2336015213384869E-239</v>
      </c>
      <c r="J29" s="2">
        <v>0</v>
      </c>
      <c r="K29" s="2" t="s">
        <v>2</v>
      </c>
    </row>
    <row r="30" spans="1:11" x14ac:dyDescent="0.35">
      <c r="A30" s="2" t="s">
        <v>40</v>
      </c>
      <c r="B30" s="2">
        <v>571</v>
      </c>
      <c r="C30" s="2">
        <v>1062</v>
      </c>
      <c r="D30" s="2">
        <v>0.3496631965707287</v>
      </c>
      <c r="E30" s="2">
        <v>1</v>
      </c>
      <c r="F30" s="2">
        <v>1.2301873450623459E-34</v>
      </c>
      <c r="G30" s="2">
        <v>2.4603746901246931E-34</v>
      </c>
      <c r="H30" s="2">
        <v>1</v>
      </c>
      <c r="I30" s="2">
        <v>2.8564067518692372E-34</v>
      </c>
      <c r="J30" s="2">
        <v>0</v>
      </c>
      <c r="K30" s="2" t="s">
        <v>2</v>
      </c>
    </row>
    <row r="31" spans="1:11" x14ac:dyDescent="0.35">
      <c r="A31" s="2" t="s">
        <v>41</v>
      </c>
      <c r="B31" s="2">
        <v>1288</v>
      </c>
      <c r="C31" s="2">
        <v>345</v>
      </c>
      <c r="D31" s="2">
        <v>0.78873239436619713</v>
      </c>
      <c r="E31" s="2">
        <v>4.204662274469072E-128</v>
      </c>
      <c r="F31" s="2">
        <v>1</v>
      </c>
      <c r="G31" s="2">
        <v>8.4093245489381449E-128</v>
      </c>
      <c r="H31" s="2">
        <v>0</v>
      </c>
      <c r="I31" s="2">
        <v>1</v>
      </c>
      <c r="J31" s="2">
        <v>0</v>
      </c>
      <c r="K31" s="2" t="s">
        <v>1</v>
      </c>
    </row>
    <row r="32" spans="1:11" x14ac:dyDescent="0.35">
      <c r="A32" s="2" t="s">
        <v>42</v>
      </c>
      <c r="B32" s="2">
        <v>163</v>
      </c>
      <c r="C32" s="2">
        <v>1470</v>
      </c>
      <c r="D32" s="2">
        <v>9.9816289038579295E-2</v>
      </c>
      <c r="E32" s="2">
        <v>1</v>
      </c>
      <c r="F32" s="2">
        <v>1.7773806725459211E-263</v>
      </c>
      <c r="G32" s="2">
        <v>3.5547613450918429E-263</v>
      </c>
      <c r="H32" s="2">
        <v>1</v>
      </c>
      <c r="I32" s="2">
        <v>8.6552518412246206E-230</v>
      </c>
      <c r="J32" s="2">
        <v>0</v>
      </c>
      <c r="K32" s="2" t="s">
        <v>2</v>
      </c>
    </row>
    <row r="33" spans="1:11" x14ac:dyDescent="0.35">
      <c r="A33" s="2" t="s">
        <v>43</v>
      </c>
      <c r="B33" s="2">
        <v>411</v>
      </c>
      <c r="C33" s="2">
        <v>1222</v>
      </c>
      <c r="D33" s="2">
        <v>0.25168401714635641</v>
      </c>
      <c r="E33" s="2">
        <v>1</v>
      </c>
      <c r="F33" s="2">
        <v>1.171700795460138E-93</v>
      </c>
      <c r="G33" s="2">
        <v>2.3434015909202769E-93</v>
      </c>
      <c r="H33" s="2">
        <v>1</v>
      </c>
      <c r="I33" s="2">
        <v>6.8744328397494916E-90</v>
      </c>
      <c r="J33" s="2">
        <v>0</v>
      </c>
      <c r="K33" s="2" t="s">
        <v>2</v>
      </c>
    </row>
    <row r="34" spans="1:11" x14ac:dyDescent="0.35">
      <c r="A34" s="2" t="s">
        <v>44</v>
      </c>
      <c r="B34" s="2">
        <v>338</v>
      </c>
      <c r="C34" s="2">
        <v>1295</v>
      </c>
      <c r="D34" s="2">
        <v>0.20698101653398651</v>
      </c>
      <c r="E34" s="2">
        <v>1</v>
      </c>
      <c r="F34" s="2">
        <v>3.793131348916651E-132</v>
      </c>
      <c r="G34" s="2">
        <v>7.5862626978333019E-132</v>
      </c>
      <c r="H34" s="2">
        <v>1</v>
      </c>
      <c r="I34" s="2">
        <v>2.7619979428426959E-124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837</v>
      </c>
      <c r="C35" s="2">
        <v>796</v>
      </c>
      <c r="D35" s="2">
        <v>0.51255358236374771</v>
      </c>
      <c r="E35" s="2">
        <v>0.16112536651684689</v>
      </c>
      <c r="F35" s="2">
        <v>0.85067685735514165</v>
      </c>
      <c r="G35" s="2">
        <v>0.32225073303369373</v>
      </c>
      <c r="H35" s="2">
        <v>0.15515054999576311</v>
      </c>
      <c r="I35" s="2">
        <v>0.84484945000423695</v>
      </c>
      <c r="J35" s="2">
        <v>0.31030109999152611</v>
      </c>
      <c r="K35" s="2" t="s">
        <v>12</v>
      </c>
    </row>
    <row r="36" spans="1:11" x14ac:dyDescent="0.35">
      <c r="A36" s="2" t="s">
        <v>46</v>
      </c>
      <c r="B36" s="2">
        <v>776</v>
      </c>
      <c r="C36" s="2">
        <v>857</v>
      </c>
      <c r="D36" s="2">
        <v>0.47519902020820581</v>
      </c>
      <c r="E36" s="2">
        <v>0.9787965056724921</v>
      </c>
      <c r="F36" s="2">
        <v>2.385267667127133E-2</v>
      </c>
      <c r="G36" s="2">
        <v>4.7705353342542653E-2</v>
      </c>
      <c r="H36" s="2">
        <v>0.97748824579366611</v>
      </c>
      <c r="I36" s="2">
        <v>2.2511754206333931E-2</v>
      </c>
      <c r="J36" s="2">
        <v>4.5023508412667779E-2</v>
      </c>
      <c r="K36" s="2" t="s">
        <v>2</v>
      </c>
    </row>
    <row r="37" spans="1:11" x14ac:dyDescent="0.35">
      <c r="A37" s="2" t="s">
        <v>47</v>
      </c>
      <c r="B37" s="2">
        <v>638</v>
      </c>
      <c r="C37" s="2">
        <v>995</v>
      </c>
      <c r="D37" s="2">
        <v>0.39069197795468458</v>
      </c>
      <c r="E37" s="2">
        <v>1</v>
      </c>
      <c r="F37" s="2">
        <v>4.5904208527323692E-19</v>
      </c>
      <c r="G37" s="2">
        <v>9.1808417054647383E-19</v>
      </c>
      <c r="H37" s="2">
        <v>1</v>
      </c>
      <c r="I37" s="2">
        <v>5.0336193513219928E-19</v>
      </c>
      <c r="J37" s="2">
        <v>0</v>
      </c>
      <c r="K37" s="2" t="s">
        <v>2</v>
      </c>
    </row>
    <row r="38" spans="1:11" x14ac:dyDescent="0.35">
      <c r="A38" s="2" t="s">
        <v>48</v>
      </c>
      <c r="B38" s="2">
        <v>91</v>
      </c>
      <c r="C38" s="2">
        <v>1542</v>
      </c>
      <c r="D38" s="2">
        <v>5.5725658297611759E-2</v>
      </c>
      <c r="E38" s="2">
        <v>1</v>
      </c>
      <c r="F38" s="2">
        <v>0</v>
      </c>
      <c r="G38" s="2">
        <v>0</v>
      </c>
      <c r="H38" s="2">
        <v>1</v>
      </c>
      <c r="I38" s="2">
        <v>1.2047746639628231E-282</v>
      </c>
      <c r="J38" s="2">
        <v>0</v>
      </c>
      <c r="K38" s="2" t="s">
        <v>2</v>
      </c>
    </row>
    <row r="39" spans="1:11" x14ac:dyDescent="0.35">
      <c r="A39" s="2" t="s">
        <v>49</v>
      </c>
      <c r="B39" s="2">
        <v>155</v>
      </c>
      <c r="C39" s="2">
        <v>1478</v>
      </c>
      <c r="D39" s="2">
        <v>9.4917330067360681E-2</v>
      </c>
      <c r="E39" s="2">
        <v>1</v>
      </c>
      <c r="F39" s="2">
        <v>3.3069844796833391E-271</v>
      </c>
      <c r="G39" s="2">
        <v>6.6139689593666782E-271</v>
      </c>
      <c r="H39" s="2">
        <v>1</v>
      </c>
      <c r="I39" s="2">
        <v>2.1699086731189961E-235</v>
      </c>
      <c r="J39" s="2">
        <v>0</v>
      </c>
      <c r="K39" s="2" t="s">
        <v>2</v>
      </c>
    </row>
    <row r="40" spans="1:11" x14ac:dyDescent="0.35">
      <c r="A40" s="2" t="s">
        <v>50</v>
      </c>
      <c r="B40" s="2">
        <v>824</v>
      </c>
      <c r="C40" s="2">
        <v>809</v>
      </c>
      <c r="D40" s="2">
        <v>0.5045927740355175</v>
      </c>
      <c r="E40" s="2">
        <v>0.36450981315316999</v>
      </c>
      <c r="F40" s="2">
        <v>0.6539182261478429</v>
      </c>
      <c r="G40" s="2">
        <v>0.7290196263063401</v>
      </c>
      <c r="H40" s="2">
        <v>0.35524740597000543</v>
      </c>
      <c r="I40" s="2">
        <v>0.64475259402999463</v>
      </c>
      <c r="J40" s="2">
        <v>0.71049481194001074</v>
      </c>
      <c r="K40" s="2" t="s">
        <v>12</v>
      </c>
    </row>
    <row r="41" spans="1:11" x14ac:dyDescent="0.35">
      <c r="A41" s="2" t="s">
        <v>51</v>
      </c>
      <c r="B41" s="2">
        <v>697</v>
      </c>
      <c r="C41" s="2">
        <v>936</v>
      </c>
      <c r="D41" s="2">
        <v>0.4268218003674219</v>
      </c>
      <c r="E41" s="2">
        <v>0.99999999865547318</v>
      </c>
      <c r="F41" s="2">
        <v>1.8199675955030971E-9</v>
      </c>
      <c r="G41" s="2">
        <v>3.6399351910061949E-9</v>
      </c>
      <c r="H41" s="2">
        <v>0.99999999833375142</v>
      </c>
      <c r="I41" s="2">
        <v>1.6662486285905281E-9</v>
      </c>
      <c r="J41" s="2">
        <v>3.332497167107817E-9</v>
      </c>
      <c r="K41" s="2" t="s">
        <v>2</v>
      </c>
    </row>
    <row r="42" spans="1:11" x14ac:dyDescent="0.35">
      <c r="A42" s="2" t="s">
        <v>52</v>
      </c>
      <c r="B42" s="2">
        <v>168</v>
      </c>
      <c r="C42" s="2">
        <v>1465</v>
      </c>
      <c r="D42" s="2">
        <v>0.1028781383955909</v>
      </c>
      <c r="E42" s="2">
        <v>1</v>
      </c>
      <c r="F42" s="2">
        <v>9.6560641264066681E-259</v>
      </c>
      <c r="G42" s="2">
        <v>1.9312128252813341E-258</v>
      </c>
      <c r="H42" s="2">
        <v>1</v>
      </c>
      <c r="I42" s="2">
        <v>2.530830328500947E-226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365</v>
      </c>
      <c r="C43" s="2">
        <v>1268</v>
      </c>
      <c r="D43" s="2">
        <v>0.22351500306184929</v>
      </c>
      <c r="E43" s="2">
        <v>1</v>
      </c>
      <c r="F43" s="2">
        <v>5.6752387818882788E-117</v>
      </c>
      <c r="G43" s="2">
        <v>1.135047756377656E-116</v>
      </c>
      <c r="H43" s="2">
        <v>1</v>
      </c>
      <c r="I43" s="2">
        <v>6.6420875238608557E-111</v>
      </c>
      <c r="J43" s="2">
        <v>0</v>
      </c>
      <c r="K43" s="2" t="s">
        <v>2</v>
      </c>
    </row>
    <row r="44" spans="1:11" x14ac:dyDescent="0.35">
      <c r="A44" s="2" t="s">
        <v>54</v>
      </c>
      <c r="B44" s="2">
        <v>351</v>
      </c>
      <c r="C44" s="2">
        <v>1282</v>
      </c>
      <c r="D44" s="2">
        <v>0.2149418248622168</v>
      </c>
      <c r="E44" s="2">
        <v>1</v>
      </c>
      <c r="F44" s="2">
        <v>1.0678135706374589E-124</v>
      </c>
      <c r="G44" s="2">
        <v>2.1356271412749191E-124</v>
      </c>
      <c r="H44" s="2">
        <v>1</v>
      </c>
      <c r="I44" s="2">
        <v>9.5629276796409726E-118</v>
      </c>
      <c r="J44" s="2">
        <v>0</v>
      </c>
      <c r="K44" s="2" t="s">
        <v>2</v>
      </c>
    </row>
    <row r="45" spans="1:11" x14ac:dyDescent="0.35">
      <c r="A45" s="2" t="s">
        <v>55</v>
      </c>
      <c r="B45" s="2">
        <v>773</v>
      </c>
      <c r="C45" s="2">
        <v>860</v>
      </c>
      <c r="D45" s="2">
        <v>0.47336191059399879</v>
      </c>
      <c r="E45" s="2">
        <v>0.98529972709649205</v>
      </c>
      <c r="F45" s="2">
        <v>1.6645800222075399E-2</v>
      </c>
      <c r="G45" s="2">
        <v>3.3291600444150797E-2</v>
      </c>
      <c r="H45" s="2">
        <v>0.9843371793613741</v>
      </c>
      <c r="I45" s="2">
        <v>1.5662820638625879E-2</v>
      </c>
      <c r="J45" s="2">
        <v>3.1325641277251792E-2</v>
      </c>
      <c r="K45" s="2" t="s">
        <v>2</v>
      </c>
    </row>
    <row r="46" spans="1:11" x14ac:dyDescent="0.35">
      <c r="A46" s="2" t="s">
        <v>56</v>
      </c>
      <c r="B46" s="2">
        <v>837</v>
      </c>
      <c r="C46" s="2">
        <v>796</v>
      </c>
      <c r="D46" s="2">
        <v>0.51255358236374771</v>
      </c>
      <c r="E46" s="2">
        <v>0.16112536651684689</v>
      </c>
      <c r="F46" s="2">
        <v>0.85067685735514165</v>
      </c>
      <c r="G46" s="2">
        <v>0.32225073303369373</v>
      </c>
      <c r="H46" s="2">
        <v>0.15515054999576311</v>
      </c>
      <c r="I46" s="2">
        <v>0.84484945000423695</v>
      </c>
      <c r="J46" s="2">
        <v>0.31030109999152611</v>
      </c>
      <c r="K46" s="2" t="s">
        <v>12</v>
      </c>
    </row>
    <row r="47" spans="1:11" x14ac:dyDescent="0.35">
      <c r="A47" s="2" t="s">
        <v>57</v>
      </c>
      <c r="B47" s="2">
        <v>913</v>
      </c>
      <c r="C47" s="2">
        <v>720</v>
      </c>
      <c r="D47" s="2">
        <v>0.5590936925903246</v>
      </c>
      <c r="E47" s="2">
        <v>9.8484234329583541E-7</v>
      </c>
      <c r="F47" s="2">
        <v>0.99999923076979891</v>
      </c>
      <c r="G47" s="2">
        <v>1.9696846865916708E-6</v>
      </c>
      <c r="H47" s="2">
        <v>8.940869178353239E-7</v>
      </c>
      <c r="I47" s="2">
        <v>0.99999910591308216</v>
      </c>
      <c r="J47" s="2">
        <v>1.788173835670648E-6</v>
      </c>
      <c r="K47" s="2" t="s">
        <v>1</v>
      </c>
    </row>
    <row r="48" spans="1:11" x14ac:dyDescent="0.35">
      <c r="A48" s="2" t="s">
        <v>58</v>
      </c>
      <c r="B48" s="2">
        <v>735</v>
      </c>
      <c r="C48" s="2">
        <v>898</v>
      </c>
      <c r="D48" s="2">
        <v>0.45009185548071029</v>
      </c>
      <c r="E48" s="2">
        <v>0.99997562887262159</v>
      </c>
      <c r="F48" s="2">
        <v>3.010788026116728E-5</v>
      </c>
      <c r="G48" s="2">
        <v>6.021576052233456E-5</v>
      </c>
      <c r="H48" s="2">
        <v>0.99997253743390035</v>
      </c>
      <c r="I48" s="2">
        <v>2.7462566099614579E-5</v>
      </c>
      <c r="J48" s="2">
        <v>5.4925132199290523E-5</v>
      </c>
      <c r="K48" s="2" t="s">
        <v>2</v>
      </c>
    </row>
    <row r="49" spans="1:11" x14ac:dyDescent="0.35">
      <c r="A49" s="2" t="s">
        <v>59</v>
      </c>
      <c r="B49" s="2">
        <v>458</v>
      </c>
      <c r="C49" s="2">
        <v>1175</v>
      </c>
      <c r="D49" s="2">
        <v>0.28046540110226581</v>
      </c>
      <c r="E49" s="2">
        <v>1</v>
      </c>
      <c r="F49" s="2">
        <v>6.4445094715207362E-73</v>
      </c>
      <c r="G49" s="2">
        <v>1.288901894304147E-72</v>
      </c>
      <c r="H49" s="2">
        <v>1</v>
      </c>
      <c r="I49" s="2">
        <v>9.7684246699680762E-71</v>
      </c>
      <c r="J49" s="2">
        <v>0</v>
      </c>
      <c r="K49" s="2" t="s">
        <v>2</v>
      </c>
    </row>
    <row r="50" spans="1:11" x14ac:dyDescent="0.35">
      <c r="A50" s="2" t="s">
        <v>60</v>
      </c>
      <c r="B50" s="2">
        <v>1193</v>
      </c>
      <c r="C50" s="2">
        <v>440</v>
      </c>
      <c r="D50" s="2">
        <v>0.7305572565829761</v>
      </c>
      <c r="E50" s="2">
        <v>1.6583364418153789E-80</v>
      </c>
      <c r="F50" s="2">
        <v>1</v>
      </c>
      <c r="G50" s="2">
        <v>3.3166728836307571E-80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805</v>
      </c>
      <c r="C51" s="2">
        <v>828</v>
      </c>
      <c r="D51" s="2">
        <v>0.49295774647887319</v>
      </c>
      <c r="E51" s="2">
        <v>0.72370613686326046</v>
      </c>
      <c r="F51" s="2">
        <v>0.29308490894709688</v>
      </c>
      <c r="G51" s="2">
        <v>0.58616981789419387</v>
      </c>
      <c r="H51" s="2">
        <v>0.71537638418824623</v>
      </c>
      <c r="I51" s="2">
        <v>0.28462361581175383</v>
      </c>
      <c r="J51" s="2">
        <v>0.56924723162350754</v>
      </c>
      <c r="K51" s="2" t="s">
        <v>12</v>
      </c>
    </row>
    <row r="52" spans="1:11" x14ac:dyDescent="0.35">
      <c r="A52" s="2" t="s">
        <v>62</v>
      </c>
      <c r="B52" s="2">
        <v>1449</v>
      </c>
      <c r="C52" s="2">
        <v>184</v>
      </c>
      <c r="D52" s="2">
        <v>0.88732394366197187</v>
      </c>
      <c r="E52" s="2">
        <v>4.6028370679034483E-244</v>
      </c>
      <c r="F52" s="2">
        <v>1</v>
      </c>
      <c r="G52" s="2">
        <v>9.2056741358068953E-244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198</v>
      </c>
      <c r="C53" s="2">
        <v>1435</v>
      </c>
      <c r="D53" s="2">
        <v>0.12124923453766071</v>
      </c>
      <c r="E53" s="2">
        <v>1</v>
      </c>
      <c r="F53" s="2">
        <v>8.85319379897486E-232</v>
      </c>
      <c r="G53" s="2">
        <v>1.770638759794972E-231</v>
      </c>
      <c r="H53" s="2">
        <v>1</v>
      </c>
      <c r="I53" s="2">
        <v>4.3774748977971711E-206</v>
      </c>
      <c r="J53" s="2">
        <v>0</v>
      </c>
      <c r="K53" s="2" t="s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162"/>
  <sheetViews>
    <sheetView topLeftCell="M1" workbookViewId="0">
      <pane ySplit="1" topLeftCell="A33" activePane="bottomLeft" state="frozen"/>
      <selection pane="bottomLeft" activeCell="Q2" sqref="Q2:Q53"/>
    </sheetView>
  </sheetViews>
  <sheetFormatPr defaultRowHeight="14.5" x14ac:dyDescent="0.35"/>
  <cols>
    <col min="1" max="1" width="25" customWidth="1"/>
    <col min="2" max="4" width="36" customWidth="1"/>
    <col min="5" max="7" width="35" customWidth="1"/>
    <col min="8" max="16" width="37" customWidth="1"/>
    <col min="20" max="20" width="30.90625" bestFit="1" customWidth="1"/>
    <col min="21" max="21" width="18.81640625" bestFit="1" customWidth="1"/>
  </cols>
  <sheetData>
    <row r="1" spans="1:22" x14ac:dyDescent="0.35">
      <c r="A1" s="1" t="s">
        <v>0</v>
      </c>
      <c r="B1" s="5" t="s">
        <v>64</v>
      </c>
      <c r="C1" s="6" t="s">
        <v>65</v>
      </c>
      <c r="D1" s="1" t="s">
        <v>66</v>
      </c>
      <c r="E1" s="5" t="s">
        <v>67</v>
      </c>
      <c r="F1" s="6" t="s">
        <v>68</v>
      </c>
      <c r="G1" s="1" t="s">
        <v>69</v>
      </c>
      <c r="H1" s="5" t="s">
        <v>70</v>
      </c>
      <c r="I1" s="6" t="s">
        <v>71</v>
      </c>
      <c r="J1" s="7" t="s">
        <v>72</v>
      </c>
      <c r="K1" s="5" t="s">
        <v>73</v>
      </c>
      <c r="L1" s="6" t="s">
        <v>74</v>
      </c>
      <c r="M1" s="1" t="s">
        <v>75</v>
      </c>
      <c r="N1" s="5" t="s">
        <v>76</v>
      </c>
      <c r="O1" s="1" t="s">
        <v>77</v>
      </c>
      <c r="P1" s="1" t="s">
        <v>78</v>
      </c>
    </row>
    <row r="2" spans="1:22" x14ac:dyDescent="0.35">
      <c r="A2" s="8" t="s">
        <v>11</v>
      </c>
      <c r="B2" s="8" t="s">
        <v>12</v>
      </c>
      <c r="C2" s="8" t="s">
        <v>12</v>
      </c>
      <c r="D2" s="8" t="s">
        <v>12</v>
      </c>
      <c r="E2" s="8" t="s">
        <v>12</v>
      </c>
      <c r="F2" s="8" t="s">
        <v>12</v>
      </c>
      <c r="G2" s="8" t="s">
        <v>12</v>
      </c>
      <c r="H2" s="8" t="s">
        <v>12</v>
      </c>
      <c r="I2" s="8" t="s">
        <v>12</v>
      </c>
      <c r="J2" s="8" t="s">
        <v>12</v>
      </c>
      <c r="K2" s="8" t="s">
        <v>12</v>
      </c>
      <c r="L2" s="8" t="s">
        <v>12</v>
      </c>
      <c r="M2" s="8" t="s">
        <v>12</v>
      </c>
      <c r="N2" s="8" t="s">
        <v>1</v>
      </c>
      <c r="O2" s="8" t="s">
        <v>12</v>
      </c>
      <c r="P2" s="8" t="s">
        <v>12</v>
      </c>
      <c r="Q2" s="9" t="str">
        <f>VLOOKUP(A2,$T$2:$V$162,3,FALSE)</f>
        <v>Stem</v>
      </c>
      <c r="T2" t="s">
        <v>11</v>
      </c>
      <c r="U2" t="s">
        <v>95</v>
      </c>
      <c r="V2" t="s">
        <v>214</v>
      </c>
    </row>
    <row r="3" spans="1:22" x14ac:dyDescent="0.35">
      <c r="A3" s="10" t="s">
        <v>13</v>
      </c>
      <c r="B3" s="10" t="s">
        <v>1</v>
      </c>
      <c r="C3" s="10" t="s">
        <v>12</v>
      </c>
      <c r="D3" s="10" t="s">
        <v>2</v>
      </c>
      <c r="E3" s="10" t="s">
        <v>1</v>
      </c>
      <c r="F3" s="10" t="s">
        <v>12</v>
      </c>
      <c r="G3" s="10" t="s">
        <v>12</v>
      </c>
      <c r="H3" s="10" t="s">
        <v>1</v>
      </c>
      <c r="I3" s="10" t="s">
        <v>1</v>
      </c>
      <c r="J3" s="10" t="s">
        <v>2</v>
      </c>
      <c r="K3" s="10" t="s">
        <v>1</v>
      </c>
      <c r="L3" s="10" t="s">
        <v>2</v>
      </c>
      <c r="M3" s="10" t="s">
        <v>2</v>
      </c>
      <c r="N3" s="10" t="s">
        <v>1</v>
      </c>
      <c r="O3" s="10" t="s">
        <v>12</v>
      </c>
      <c r="P3" s="10" t="s">
        <v>2</v>
      </c>
      <c r="Q3" s="11" t="str">
        <f t="shared" ref="Q3:Q53" si="0">VLOOKUP(A3,$T$2:$V$162,3,FALSE)</f>
        <v>Inverted Residue 1</v>
      </c>
      <c r="T3" t="s">
        <v>96</v>
      </c>
      <c r="U3" t="s">
        <v>97</v>
      </c>
      <c r="V3" t="s">
        <v>214</v>
      </c>
    </row>
    <row r="4" spans="1:22" x14ac:dyDescent="0.35">
      <c r="A4" s="10" t="s">
        <v>14</v>
      </c>
      <c r="B4" s="10" t="s">
        <v>12</v>
      </c>
      <c r="C4" s="10" t="s">
        <v>12</v>
      </c>
      <c r="D4" s="10" t="s">
        <v>12</v>
      </c>
      <c r="E4" s="10" t="s">
        <v>12</v>
      </c>
      <c r="F4" s="10" t="s">
        <v>12</v>
      </c>
      <c r="G4" s="10" t="s">
        <v>12</v>
      </c>
      <c r="H4" s="10" t="s">
        <v>12</v>
      </c>
      <c r="I4" s="10" t="s">
        <v>12</v>
      </c>
      <c r="J4" s="10" t="s">
        <v>12</v>
      </c>
      <c r="K4" s="10" t="s">
        <v>12</v>
      </c>
      <c r="L4" s="10" t="s">
        <v>12</v>
      </c>
      <c r="M4" s="10" t="s">
        <v>12</v>
      </c>
      <c r="N4" s="10" t="s">
        <v>12</v>
      </c>
      <c r="O4" s="10" t="s">
        <v>12</v>
      </c>
      <c r="P4" s="10" t="s">
        <v>12</v>
      </c>
      <c r="Q4" s="11" t="str">
        <f t="shared" si="0"/>
        <v>Inverted Residue 1</v>
      </c>
      <c r="T4" t="s">
        <v>98</v>
      </c>
      <c r="U4" t="s">
        <v>99</v>
      </c>
      <c r="V4" t="s">
        <v>214</v>
      </c>
    </row>
    <row r="5" spans="1:22" x14ac:dyDescent="0.35">
      <c r="A5" s="10" t="s">
        <v>15</v>
      </c>
      <c r="B5" s="10" t="s">
        <v>2</v>
      </c>
      <c r="C5" s="10" t="s">
        <v>2</v>
      </c>
      <c r="D5" s="10" t="s">
        <v>1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  <c r="O5" s="10" t="s">
        <v>2</v>
      </c>
      <c r="P5" s="10" t="s">
        <v>2</v>
      </c>
      <c r="Q5" s="11" t="str">
        <f t="shared" si="0"/>
        <v>Inverted Residue 1</v>
      </c>
      <c r="T5" t="s">
        <v>13</v>
      </c>
      <c r="U5" t="s">
        <v>95</v>
      </c>
      <c r="V5" t="s">
        <v>215</v>
      </c>
    </row>
    <row r="6" spans="1:22" x14ac:dyDescent="0.35">
      <c r="A6" s="10" t="s">
        <v>16</v>
      </c>
      <c r="B6" s="10" t="s">
        <v>1</v>
      </c>
      <c r="C6" s="10" t="s">
        <v>1</v>
      </c>
      <c r="D6" s="10" t="s">
        <v>2</v>
      </c>
      <c r="E6" s="10" t="s">
        <v>1</v>
      </c>
      <c r="F6" s="10" t="s">
        <v>1</v>
      </c>
      <c r="G6" s="10" t="s">
        <v>2</v>
      </c>
      <c r="H6" s="10" t="s">
        <v>1</v>
      </c>
      <c r="I6" s="10" t="s">
        <v>1</v>
      </c>
      <c r="J6" s="10" t="s">
        <v>2</v>
      </c>
      <c r="K6" s="10" t="s">
        <v>1</v>
      </c>
      <c r="L6" s="10" t="s">
        <v>1</v>
      </c>
      <c r="M6" s="10" t="s">
        <v>2</v>
      </c>
      <c r="N6" s="10" t="s">
        <v>1</v>
      </c>
      <c r="O6" s="10" t="s">
        <v>1</v>
      </c>
      <c r="P6" s="10" t="s">
        <v>2</v>
      </c>
      <c r="Q6" s="11" t="str">
        <f t="shared" si="0"/>
        <v>Inverted Residue 1</v>
      </c>
      <c r="T6" t="s">
        <v>100</v>
      </c>
      <c r="U6" t="s">
        <v>97</v>
      </c>
      <c r="V6" t="s">
        <v>215</v>
      </c>
    </row>
    <row r="7" spans="1:22" x14ac:dyDescent="0.35">
      <c r="A7" s="12" t="s">
        <v>17</v>
      </c>
      <c r="B7" s="12" t="s">
        <v>1</v>
      </c>
      <c r="C7" s="12" t="s">
        <v>1</v>
      </c>
      <c r="D7" s="12" t="s">
        <v>2</v>
      </c>
      <c r="E7" s="12" t="s">
        <v>1</v>
      </c>
      <c r="F7" s="12" t="s">
        <v>1</v>
      </c>
      <c r="G7" s="12" t="s">
        <v>2</v>
      </c>
      <c r="H7" s="12" t="s">
        <v>1</v>
      </c>
      <c r="I7" s="12" t="s">
        <v>1</v>
      </c>
      <c r="J7" s="12" t="s">
        <v>2</v>
      </c>
      <c r="K7" s="12" t="s">
        <v>1</v>
      </c>
      <c r="L7" s="12" t="s">
        <v>1</v>
      </c>
      <c r="M7" s="12" t="s">
        <v>2</v>
      </c>
      <c r="N7" s="12" t="s">
        <v>1</v>
      </c>
      <c r="O7" s="12" t="s">
        <v>1</v>
      </c>
      <c r="P7" s="12" t="s">
        <v>2</v>
      </c>
      <c r="Q7" s="13" t="str">
        <f t="shared" si="0"/>
        <v>Inverted Residue 2</v>
      </c>
      <c r="T7" t="s">
        <v>101</v>
      </c>
      <c r="U7" t="s">
        <v>102</v>
      </c>
      <c r="V7" t="s">
        <v>215</v>
      </c>
    </row>
    <row r="8" spans="1:22" x14ac:dyDescent="0.35">
      <c r="A8" s="12" t="s">
        <v>18</v>
      </c>
      <c r="B8" s="12" t="s">
        <v>1</v>
      </c>
      <c r="C8" s="12" t="s">
        <v>1</v>
      </c>
      <c r="D8" s="12" t="s">
        <v>1</v>
      </c>
      <c r="E8" s="12" t="s">
        <v>1</v>
      </c>
      <c r="F8" s="12" t="s">
        <v>1</v>
      </c>
      <c r="G8" s="12" t="s">
        <v>2</v>
      </c>
      <c r="H8" s="12" t="s">
        <v>1</v>
      </c>
      <c r="I8" s="12" t="s">
        <v>1</v>
      </c>
      <c r="J8" s="12" t="s">
        <v>1</v>
      </c>
      <c r="K8" s="12" t="s">
        <v>1</v>
      </c>
      <c r="L8" s="12" t="s">
        <v>1</v>
      </c>
      <c r="M8" s="12" t="s">
        <v>1</v>
      </c>
      <c r="N8" s="12" t="s">
        <v>1</v>
      </c>
      <c r="O8" s="12" t="s">
        <v>1</v>
      </c>
      <c r="P8" s="12" t="s">
        <v>2</v>
      </c>
      <c r="Q8" s="13" t="str">
        <f t="shared" si="0"/>
        <v>Inverted Residue 2</v>
      </c>
      <c r="T8" t="s">
        <v>103</v>
      </c>
      <c r="U8" t="s">
        <v>104</v>
      </c>
      <c r="V8" t="s">
        <v>215</v>
      </c>
    </row>
    <row r="9" spans="1:22" x14ac:dyDescent="0.35">
      <c r="A9" s="12" t="s">
        <v>19</v>
      </c>
      <c r="B9" s="12" t="s">
        <v>12</v>
      </c>
      <c r="C9" s="12" t="s">
        <v>12</v>
      </c>
      <c r="D9" s="12" t="s">
        <v>2</v>
      </c>
      <c r="E9" s="12" t="s">
        <v>1</v>
      </c>
      <c r="F9" s="12" t="s">
        <v>1</v>
      </c>
      <c r="G9" s="12" t="s">
        <v>2</v>
      </c>
      <c r="H9" s="12" t="s">
        <v>12</v>
      </c>
      <c r="I9" s="12" t="s">
        <v>1</v>
      </c>
      <c r="J9" s="12" t="s">
        <v>1</v>
      </c>
      <c r="K9" s="12" t="s">
        <v>12</v>
      </c>
      <c r="L9" s="12" t="s">
        <v>1</v>
      </c>
      <c r="M9" s="12" t="s">
        <v>2</v>
      </c>
      <c r="N9" s="12" t="s">
        <v>12</v>
      </c>
      <c r="O9" s="12" t="s">
        <v>12</v>
      </c>
      <c r="P9" s="12" t="s">
        <v>1</v>
      </c>
      <c r="Q9" s="13" t="str">
        <f t="shared" si="0"/>
        <v>Inverted Residue 2</v>
      </c>
      <c r="T9" t="s">
        <v>14</v>
      </c>
      <c r="U9" t="s">
        <v>95</v>
      </c>
      <c r="V9" t="s">
        <v>215</v>
      </c>
    </row>
    <row r="10" spans="1:22" x14ac:dyDescent="0.35">
      <c r="A10" s="14" t="s">
        <v>20</v>
      </c>
      <c r="B10" s="14" t="s">
        <v>12</v>
      </c>
      <c r="C10" s="14" t="s">
        <v>2</v>
      </c>
      <c r="D10" s="14" t="s">
        <v>12</v>
      </c>
      <c r="E10" s="14" t="s">
        <v>1</v>
      </c>
      <c r="F10" s="14" t="s">
        <v>12</v>
      </c>
      <c r="G10" s="14" t="s">
        <v>2</v>
      </c>
      <c r="H10" s="14" t="s">
        <v>1</v>
      </c>
      <c r="I10" s="14" t="s">
        <v>2</v>
      </c>
      <c r="J10" s="14" t="s">
        <v>1</v>
      </c>
      <c r="K10" s="14" t="s">
        <v>12</v>
      </c>
      <c r="L10" s="14" t="s">
        <v>2</v>
      </c>
      <c r="M10" s="14" t="s">
        <v>12</v>
      </c>
      <c r="N10" s="14" t="s">
        <v>12</v>
      </c>
      <c r="O10" s="14" t="s">
        <v>2</v>
      </c>
      <c r="P10" s="14" t="s">
        <v>1</v>
      </c>
      <c r="Q10" s="15" t="str">
        <f t="shared" si="0"/>
        <v>Inverted Residue 3</v>
      </c>
      <c r="T10" t="s">
        <v>105</v>
      </c>
      <c r="U10" t="s">
        <v>102</v>
      </c>
      <c r="V10" t="s">
        <v>215</v>
      </c>
    </row>
    <row r="11" spans="1:22" x14ac:dyDescent="0.35">
      <c r="A11" s="14" t="s">
        <v>21</v>
      </c>
      <c r="B11" s="14" t="s">
        <v>1</v>
      </c>
      <c r="C11" s="14" t="s">
        <v>2</v>
      </c>
      <c r="D11" s="14" t="s">
        <v>2</v>
      </c>
      <c r="E11" s="14" t="s">
        <v>1</v>
      </c>
      <c r="F11" s="14" t="s">
        <v>1</v>
      </c>
      <c r="G11" s="14" t="s">
        <v>2</v>
      </c>
      <c r="H11" s="14" t="s">
        <v>1</v>
      </c>
      <c r="I11" s="14" t="s">
        <v>12</v>
      </c>
      <c r="J11" s="14" t="s">
        <v>2</v>
      </c>
      <c r="K11" s="14" t="s">
        <v>1</v>
      </c>
      <c r="L11" s="14" t="s">
        <v>2</v>
      </c>
      <c r="M11" s="14" t="s">
        <v>2</v>
      </c>
      <c r="N11" s="14" t="s">
        <v>1</v>
      </c>
      <c r="O11" s="14" t="s">
        <v>2</v>
      </c>
      <c r="P11" s="14" t="s">
        <v>2</v>
      </c>
      <c r="Q11" s="15" t="str">
        <f t="shared" si="0"/>
        <v>Inverted Residue 3</v>
      </c>
      <c r="T11" t="s">
        <v>15</v>
      </c>
      <c r="U11" t="s">
        <v>95</v>
      </c>
      <c r="V11" t="s">
        <v>215</v>
      </c>
    </row>
    <row r="12" spans="1:22" x14ac:dyDescent="0.35">
      <c r="A12" s="14" t="s">
        <v>22</v>
      </c>
      <c r="B12" s="14" t="s">
        <v>1</v>
      </c>
      <c r="C12" s="14" t="s">
        <v>2</v>
      </c>
      <c r="D12" s="14" t="s">
        <v>1</v>
      </c>
      <c r="E12" s="14" t="s">
        <v>1</v>
      </c>
      <c r="F12" s="14" t="s">
        <v>1</v>
      </c>
      <c r="G12" s="14" t="s">
        <v>2</v>
      </c>
      <c r="H12" s="14" t="s">
        <v>1</v>
      </c>
      <c r="I12" s="14" t="s">
        <v>2</v>
      </c>
      <c r="J12" s="14" t="s">
        <v>1</v>
      </c>
      <c r="K12" s="14" t="s">
        <v>1</v>
      </c>
      <c r="L12" s="14" t="s">
        <v>2</v>
      </c>
      <c r="M12" s="14" t="s">
        <v>12</v>
      </c>
      <c r="N12" s="14" t="s">
        <v>1</v>
      </c>
      <c r="O12" s="14" t="s">
        <v>12</v>
      </c>
      <c r="P12" s="14" t="s">
        <v>2</v>
      </c>
      <c r="Q12" s="15" t="str">
        <f t="shared" si="0"/>
        <v>Inverted Residue 3</v>
      </c>
      <c r="T12" t="s">
        <v>106</v>
      </c>
      <c r="U12" t="s">
        <v>107</v>
      </c>
      <c r="V12" t="s">
        <v>215</v>
      </c>
    </row>
    <row r="13" spans="1:22" x14ac:dyDescent="0.35">
      <c r="A13" s="16" t="s">
        <v>23</v>
      </c>
      <c r="B13" s="16" t="s">
        <v>12</v>
      </c>
      <c r="C13" s="16" t="s">
        <v>1</v>
      </c>
      <c r="D13" s="16" t="s">
        <v>2</v>
      </c>
      <c r="E13" s="16" t="s">
        <v>1</v>
      </c>
      <c r="F13" s="16" t="s">
        <v>1</v>
      </c>
      <c r="G13" s="16" t="s">
        <v>2</v>
      </c>
      <c r="H13" s="16" t="s">
        <v>1</v>
      </c>
      <c r="I13" s="16" t="s">
        <v>1</v>
      </c>
      <c r="J13" s="16" t="s">
        <v>1</v>
      </c>
      <c r="K13" s="16" t="s">
        <v>12</v>
      </c>
      <c r="L13" s="16" t="s">
        <v>1</v>
      </c>
      <c r="M13" s="16" t="s">
        <v>2</v>
      </c>
      <c r="N13" s="16" t="s">
        <v>12</v>
      </c>
      <c r="O13" s="16" t="s">
        <v>1</v>
      </c>
      <c r="P13" s="16" t="s">
        <v>1</v>
      </c>
      <c r="Q13" s="17" t="str">
        <f t="shared" si="0"/>
        <v>Inverted Residue .4</v>
      </c>
      <c r="T13" t="s">
        <v>108</v>
      </c>
      <c r="U13" t="s">
        <v>109</v>
      </c>
      <c r="V13" t="s">
        <v>215</v>
      </c>
    </row>
    <row r="14" spans="1:22" x14ac:dyDescent="0.35">
      <c r="A14" s="16" t="s">
        <v>24</v>
      </c>
      <c r="B14" s="16" t="s">
        <v>1</v>
      </c>
      <c r="C14" s="16" t="s">
        <v>2</v>
      </c>
      <c r="D14" s="16" t="s">
        <v>12</v>
      </c>
      <c r="E14" s="16" t="s">
        <v>1</v>
      </c>
      <c r="F14" s="16" t="s">
        <v>1</v>
      </c>
      <c r="G14" s="16" t="s">
        <v>2</v>
      </c>
      <c r="H14" s="16" t="s">
        <v>1</v>
      </c>
      <c r="I14" s="16" t="s">
        <v>2</v>
      </c>
      <c r="J14" s="16" t="s">
        <v>1</v>
      </c>
      <c r="K14" s="16" t="s">
        <v>1</v>
      </c>
      <c r="L14" s="16" t="s">
        <v>2</v>
      </c>
      <c r="M14" s="16" t="s">
        <v>2</v>
      </c>
      <c r="N14" s="16" t="s">
        <v>1</v>
      </c>
      <c r="O14" s="16" t="s">
        <v>2</v>
      </c>
      <c r="P14" s="16" t="s">
        <v>1</v>
      </c>
      <c r="Q14" s="17" t="str">
        <f t="shared" si="0"/>
        <v>Inverted Residue .4</v>
      </c>
      <c r="T14" t="s">
        <v>16</v>
      </c>
      <c r="U14" t="s">
        <v>95</v>
      </c>
      <c r="V14" t="s">
        <v>215</v>
      </c>
    </row>
    <row r="15" spans="1:22" x14ac:dyDescent="0.35">
      <c r="A15" s="16" t="s">
        <v>25</v>
      </c>
      <c r="B15" s="16" t="s">
        <v>12</v>
      </c>
      <c r="C15" s="16" t="s">
        <v>12</v>
      </c>
      <c r="D15" s="16" t="s">
        <v>12</v>
      </c>
      <c r="E15" s="16" t="s">
        <v>12</v>
      </c>
      <c r="F15" s="16" t="s">
        <v>12</v>
      </c>
      <c r="G15" s="16" t="s">
        <v>12</v>
      </c>
      <c r="H15" s="16" t="s">
        <v>12</v>
      </c>
      <c r="I15" s="16" t="s">
        <v>12</v>
      </c>
      <c r="J15" s="16" t="s">
        <v>12</v>
      </c>
      <c r="K15" s="16" t="s">
        <v>12</v>
      </c>
      <c r="L15" s="16" t="s">
        <v>2</v>
      </c>
      <c r="M15" s="16" t="s">
        <v>1</v>
      </c>
      <c r="N15" s="16" t="s">
        <v>12</v>
      </c>
      <c r="O15" s="16" t="s">
        <v>2</v>
      </c>
      <c r="P15" s="16" t="s">
        <v>2</v>
      </c>
      <c r="Q15" s="17" t="str">
        <f t="shared" si="0"/>
        <v>Inverted Residue .4</v>
      </c>
      <c r="T15" t="s">
        <v>110</v>
      </c>
      <c r="U15" t="s">
        <v>97</v>
      </c>
      <c r="V15" t="s">
        <v>215</v>
      </c>
    </row>
    <row r="16" spans="1:22" x14ac:dyDescent="0.35">
      <c r="A16" s="16" t="s">
        <v>26</v>
      </c>
      <c r="B16" s="16" t="s">
        <v>1</v>
      </c>
      <c r="C16" s="16" t="s">
        <v>12</v>
      </c>
      <c r="D16" s="16" t="s">
        <v>1</v>
      </c>
      <c r="E16" s="16" t="s">
        <v>2</v>
      </c>
      <c r="F16" s="16" t="s">
        <v>12</v>
      </c>
      <c r="G16" s="16" t="s">
        <v>1</v>
      </c>
      <c r="H16" s="16" t="s">
        <v>12</v>
      </c>
      <c r="I16" s="16" t="s">
        <v>12</v>
      </c>
      <c r="J16" s="16" t="s">
        <v>1</v>
      </c>
      <c r="K16" s="16" t="s">
        <v>12</v>
      </c>
      <c r="L16" s="16" t="s">
        <v>12</v>
      </c>
      <c r="M16" s="16" t="s">
        <v>1</v>
      </c>
      <c r="N16" s="16" t="s">
        <v>12</v>
      </c>
      <c r="O16" s="16" t="s">
        <v>12</v>
      </c>
      <c r="P16" s="16" t="s">
        <v>2</v>
      </c>
      <c r="Q16" s="17" t="str">
        <f t="shared" si="0"/>
        <v>Inverted Residue .4</v>
      </c>
      <c r="T16" t="s">
        <v>111</v>
      </c>
      <c r="U16" t="s">
        <v>112</v>
      </c>
      <c r="V16" t="s">
        <v>216</v>
      </c>
    </row>
    <row r="17" spans="1:22" x14ac:dyDescent="0.35">
      <c r="A17" s="16" t="s">
        <v>27</v>
      </c>
      <c r="B17" s="16" t="s">
        <v>1</v>
      </c>
      <c r="C17" s="16" t="s">
        <v>2</v>
      </c>
      <c r="D17" s="16" t="s">
        <v>1</v>
      </c>
      <c r="E17" s="16" t="s">
        <v>1</v>
      </c>
      <c r="F17" s="16" t="s">
        <v>12</v>
      </c>
      <c r="G17" s="16" t="s">
        <v>2</v>
      </c>
      <c r="H17" s="16" t="s">
        <v>1</v>
      </c>
      <c r="I17" s="16" t="s">
        <v>2</v>
      </c>
      <c r="J17" s="16" t="s">
        <v>1</v>
      </c>
      <c r="K17" s="16" t="s">
        <v>1</v>
      </c>
      <c r="L17" s="16" t="s">
        <v>12</v>
      </c>
      <c r="M17" s="16" t="s">
        <v>2</v>
      </c>
      <c r="N17" s="16" t="s">
        <v>1</v>
      </c>
      <c r="O17" s="16" t="s">
        <v>2</v>
      </c>
      <c r="P17" s="16" t="s">
        <v>1</v>
      </c>
      <c r="Q17" s="17" t="str">
        <f t="shared" si="0"/>
        <v>Inverted Residue .4</v>
      </c>
      <c r="T17" t="s">
        <v>17</v>
      </c>
      <c r="U17" t="s">
        <v>95</v>
      </c>
      <c r="V17" t="s">
        <v>216</v>
      </c>
    </row>
    <row r="18" spans="1:22" x14ac:dyDescent="0.35">
      <c r="A18" s="18" t="s">
        <v>28</v>
      </c>
      <c r="B18" s="18" t="s">
        <v>1</v>
      </c>
      <c r="C18" s="18" t="s">
        <v>2</v>
      </c>
      <c r="D18" s="18" t="s">
        <v>2</v>
      </c>
      <c r="E18" s="18" t="s">
        <v>1</v>
      </c>
      <c r="F18" s="18" t="s">
        <v>2</v>
      </c>
      <c r="G18" s="18" t="s">
        <v>12</v>
      </c>
      <c r="H18" s="18" t="s">
        <v>1</v>
      </c>
      <c r="I18" s="18" t="s">
        <v>2</v>
      </c>
      <c r="J18" s="18" t="s">
        <v>2</v>
      </c>
      <c r="K18" s="18" t="s">
        <v>1</v>
      </c>
      <c r="L18" s="18" t="s">
        <v>2</v>
      </c>
      <c r="M18" s="18" t="s">
        <v>2</v>
      </c>
      <c r="N18" s="18" t="s">
        <v>1</v>
      </c>
      <c r="O18" s="18" t="s">
        <v>2</v>
      </c>
      <c r="P18" s="18" t="s">
        <v>12</v>
      </c>
      <c r="Q18" s="19" t="str">
        <f t="shared" si="0"/>
        <v>Inverted Residue .5</v>
      </c>
      <c r="T18" t="s">
        <v>113</v>
      </c>
      <c r="U18" t="s">
        <v>97</v>
      </c>
      <c r="V18" t="s">
        <v>216</v>
      </c>
    </row>
    <row r="19" spans="1:22" x14ac:dyDescent="0.35">
      <c r="A19" s="18" t="s">
        <v>29</v>
      </c>
      <c r="B19" s="18" t="s">
        <v>1</v>
      </c>
      <c r="C19" s="18" t="s">
        <v>2</v>
      </c>
      <c r="D19" s="18" t="s">
        <v>1</v>
      </c>
      <c r="E19" s="18" t="s">
        <v>1</v>
      </c>
      <c r="F19" s="18" t="s">
        <v>2</v>
      </c>
      <c r="G19" s="18" t="s">
        <v>1</v>
      </c>
      <c r="H19" s="18" t="s">
        <v>1</v>
      </c>
      <c r="I19" s="18" t="s">
        <v>2</v>
      </c>
      <c r="J19" s="18" t="s">
        <v>1</v>
      </c>
      <c r="K19" s="18" t="s">
        <v>12</v>
      </c>
      <c r="L19" s="18" t="s">
        <v>2</v>
      </c>
      <c r="M19" s="18" t="s">
        <v>2</v>
      </c>
      <c r="N19" s="18" t="s">
        <v>1</v>
      </c>
      <c r="O19" s="18" t="s">
        <v>2</v>
      </c>
      <c r="P19" s="18" t="s">
        <v>1</v>
      </c>
      <c r="Q19" s="19" t="str">
        <f t="shared" si="0"/>
        <v>Inverted Residue .5</v>
      </c>
      <c r="T19" t="s">
        <v>114</v>
      </c>
      <c r="U19" t="s">
        <v>102</v>
      </c>
      <c r="V19" t="s">
        <v>216</v>
      </c>
    </row>
    <row r="20" spans="1:22" x14ac:dyDescent="0.35">
      <c r="A20" s="18" t="s">
        <v>30</v>
      </c>
      <c r="B20" s="18" t="s">
        <v>1</v>
      </c>
      <c r="C20" s="18" t="s">
        <v>2</v>
      </c>
      <c r="D20" s="18" t="s">
        <v>2</v>
      </c>
      <c r="E20" s="18" t="s">
        <v>2</v>
      </c>
      <c r="F20" s="18" t="s">
        <v>2</v>
      </c>
      <c r="G20" s="18" t="s">
        <v>2</v>
      </c>
      <c r="H20" s="18" t="s">
        <v>1</v>
      </c>
      <c r="I20" s="18" t="s">
        <v>2</v>
      </c>
      <c r="J20" s="18" t="s">
        <v>2</v>
      </c>
      <c r="K20" s="18" t="s">
        <v>1</v>
      </c>
      <c r="L20" s="18" t="s">
        <v>2</v>
      </c>
      <c r="M20" s="18" t="s">
        <v>2</v>
      </c>
      <c r="N20" s="18" t="s">
        <v>12</v>
      </c>
      <c r="O20" s="18" t="s">
        <v>2</v>
      </c>
      <c r="P20" s="18" t="s">
        <v>1</v>
      </c>
      <c r="Q20" s="19" t="str">
        <f t="shared" si="0"/>
        <v>Inverted Residue .5</v>
      </c>
      <c r="T20" t="s">
        <v>18</v>
      </c>
      <c r="U20" t="s">
        <v>95</v>
      </c>
      <c r="V20" t="s">
        <v>216</v>
      </c>
    </row>
    <row r="21" spans="1:22" x14ac:dyDescent="0.35">
      <c r="A21" s="18" t="s">
        <v>31</v>
      </c>
      <c r="B21" s="18" t="s">
        <v>2</v>
      </c>
      <c r="C21" s="18" t="s">
        <v>2</v>
      </c>
      <c r="D21" s="18" t="s">
        <v>2</v>
      </c>
      <c r="E21" s="18" t="s">
        <v>2</v>
      </c>
      <c r="F21" s="18" t="s">
        <v>2</v>
      </c>
      <c r="G21" s="18" t="s">
        <v>2</v>
      </c>
      <c r="H21" s="18" t="s">
        <v>2</v>
      </c>
      <c r="I21" s="18" t="s">
        <v>2</v>
      </c>
      <c r="J21" s="18" t="s">
        <v>2</v>
      </c>
      <c r="K21" s="18" t="s">
        <v>12</v>
      </c>
      <c r="L21" s="18" t="s">
        <v>2</v>
      </c>
      <c r="M21" s="18" t="s">
        <v>2</v>
      </c>
      <c r="N21" s="18" t="s">
        <v>2</v>
      </c>
      <c r="O21" s="18" t="s">
        <v>2</v>
      </c>
      <c r="P21" s="18" t="s">
        <v>2</v>
      </c>
      <c r="Q21" s="19" t="str">
        <f t="shared" si="0"/>
        <v>Inverted Residue .5</v>
      </c>
      <c r="T21" t="s">
        <v>115</v>
      </c>
      <c r="U21" t="s">
        <v>97</v>
      </c>
      <c r="V21" t="s">
        <v>216</v>
      </c>
    </row>
    <row r="22" spans="1:22" x14ac:dyDescent="0.35">
      <c r="A22" s="18" t="s">
        <v>32</v>
      </c>
      <c r="B22" s="18" t="s">
        <v>1</v>
      </c>
      <c r="C22" s="18" t="s">
        <v>1</v>
      </c>
      <c r="D22" s="18" t="s">
        <v>2</v>
      </c>
      <c r="E22" s="18" t="s">
        <v>1</v>
      </c>
      <c r="F22" s="18" t="s">
        <v>2</v>
      </c>
      <c r="G22" s="18" t="s">
        <v>2</v>
      </c>
      <c r="H22" s="18" t="s">
        <v>1</v>
      </c>
      <c r="I22" s="18" t="s">
        <v>12</v>
      </c>
      <c r="J22" s="18" t="s">
        <v>2</v>
      </c>
      <c r="K22" s="18" t="s">
        <v>1</v>
      </c>
      <c r="L22" s="18" t="s">
        <v>1</v>
      </c>
      <c r="M22" s="18" t="s">
        <v>2</v>
      </c>
      <c r="N22" s="18" t="s">
        <v>1</v>
      </c>
      <c r="O22" s="18" t="s">
        <v>1</v>
      </c>
      <c r="P22" s="18" t="s">
        <v>2</v>
      </c>
      <c r="Q22" s="19" t="str">
        <f t="shared" si="0"/>
        <v>Inverted Residue .5</v>
      </c>
      <c r="T22" t="s">
        <v>116</v>
      </c>
      <c r="U22" t="s">
        <v>102</v>
      </c>
      <c r="V22" t="s">
        <v>216</v>
      </c>
    </row>
    <row r="23" spans="1:22" x14ac:dyDescent="0.35">
      <c r="A23" s="20" t="s">
        <v>33</v>
      </c>
      <c r="B23" s="20" t="s">
        <v>2</v>
      </c>
      <c r="C23" s="20" t="s">
        <v>2</v>
      </c>
      <c r="D23" s="20" t="s">
        <v>1</v>
      </c>
      <c r="E23" s="20" t="s">
        <v>1</v>
      </c>
      <c r="F23" s="20" t="s">
        <v>2</v>
      </c>
      <c r="G23" s="20" t="s">
        <v>2</v>
      </c>
      <c r="H23" s="20" t="s">
        <v>12</v>
      </c>
      <c r="I23" s="20" t="s">
        <v>2</v>
      </c>
      <c r="J23" s="20" t="s">
        <v>1</v>
      </c>
      <c r="K23" s="20" t="s">
        <v>2</v>
      </c>
      <c r="L23" s="20" t="s">
        <v>2</v>
      </c>
      <c r="M23" s="20" t="s">
        <v>12</v>
      </c>
      <c r="N23" s="20" t="s">
        <v>2</v>
      </c>
      <c r="O23" s="20" t="s">
        <v>2</v>
      </c>
      <c r="P23" s="20" t="s">
        <v>2</v>
      </c>
      <c r="Q23" s="21" t="str">
        <f t="shared" si="0"/>
        <v>Inverted Residue .6</v>
      </c>
      <c r="T23" t="s">
        <v>19</v>
      </c>
      <c r="U23" t="s">
        <v>95</v>
      </c>
      <c r="V23" t="s">
        <v>216</v>
      </c>
    </row>
    <row r="24" spans="1:22" x14ac:dyDescent="0.35">
      <c r="A24" s="20" t="s">
        <v>34</v>
      </c>
      <c r="B24" s="20" t="s">
        <v>2</v>
      </c>
      <c r="C24" s="20" t="s">
        <v>2</v>
      </c>
      <c r="D24" s="20" t="s">
        <v>1</v>
      </c>
      <c r="E24" s="20" t="s">
        <v>1</v>
      </c>
      <c r="F24" s="20" t="s">
        <v>2</v>
      </c>
      <c r="G24" s="20" t="s">
        <v>2</v>
      </c>
      <c r="H24" s="20" t="s">
        <v>2</v>
      </c>
      <c r="I24" s="20" t="s">
        <v>2</v>
      </c>
      <c r="J24" s="20" t="s">
        <v>1</v>
      </c>
      <c r="K24" s="20" t="s">
        <v>2</v>
      </c>
      <c r="L24" s="20" t="s">
        <v>2</v>
      </c>
      <c r="M24" s="20" t="s">
        <v>12</v>
      </c>
      <c r="N24" s="20" t="s">
        <v>2</v>
      </c>
      <c r="O24" s="20" t="s">
        <v>2</v>
      </c>
      <c r="P24" s="20" t="s">
        <v>2</v>
      </c>
      <c r="Q24" s="21" t="str">
        <f t="shared" si="0"/>
        <v>Inverted Residue .6</v>
      </c>
      <c r="T24" t="s">
        <v>117</v>
      </c>
      <c r="U24" t="s">
        <v>97</v>
      </c>
      <c r="V24" t="s">
        <v>216</v>
      </c>
    </row>
    <row r="25" spans="1:22" x14ac:dyDescent="0.35">
      <c r="A25" s="20" t="s">
        <v>35</v>
      </c>
      <c r="B25" s="20" t="s">
        <v>2</v>
      </c>
      <c r="C25" s="20" t="s">
        <v>2</v>
      </c>
      <c r="D25" s="20" t="s">
        <v>12</v>
      </c>
      <c r="E25" s="20" t="s">
        <v>2</v>
      </c>
      <c r="F25" s="20" t="s">
        <v>1</v>
      </c>
      <c r="G25" s="20" t="s">
        <v>1</v>
      </c>
      <c r="H25" s="20" t="s">
        <v>2</v>
      </c>
      <c r="I25" s="20" t="s">
        <v>12</v>
      </c>
      <c r="J25" s="20" t="s">
        <v>1</v>
      </c>
      <c r="K25" s="20" t="s">
        <v>2</v>
      </c>
      <c r="L25" s="20" t="s">
        <v>1</v>
      </c>
      <c r="M25" s="20" t="s">
        <v>2</v>
      </c>
      <c r="N25" s="20" t="s">
        <v>2</v>
      </c>
      <c r="O25" s="20" t="s">
        <v>2</v>
      </c>
      <c r="P25" s="20" t="s">
        <v>2</v>
      </c>
      <c r="Q25" s="21" t="str">
        <f t="shared" si="0"/>
        <v>Inverted Residue .6</v>
      </c>
      <c r="T25" t="s">
        <v>118</v>
      </c>
      <c r="U25" t="s">
        <v>112</v>
      </c>
      <c r="V25" t="s">
        <v>217</v>
      </c>
    </row>
    <row r="26" spans="1:22" x14ac:dyDescent="0.35">
      <c r="A26" s="20" t="s">
        <v>36</v>
      </c>
      <c r="B26" s="20" t="s">
        <v>2</v>
      </c>
      <c r="C26" s="20" t="s">
        <v>2</v>
      </c>
      <c r="D26" s="20" t="s">
        <v>1</v>
      </c>
      <c r="E26" s="20" t="s">
        <v>1</v>
      </c>
      <c r="F26" s="20" t="s">
        <v>1</v>
      </c>
      <c r="G26" s="20" t="s">
        <v>1</v>
      </c>
      <c r="H26" s="20" t="s">
        <v>2</v>
      </c>
      <c r="I26" s="20" t="s">
        <v>1</v>
      </c>
      <c r="J26" s="20" t="s">
        <v>1</v>
      </c>
      <c r="K26" s="20" t="s">
        <v>2</v>
      </c>
      <c r="L26" s="20" t="s">
        <v>2</v>
      </c>
      <c r="M26" s="20" t="s">
        <v>1</v>
      </c>
      <c r="N26" s="20" t="s">
        <v>2</v>
      </c>
      <c r="O26" s="20" t="s">
        <v>2</v>
      </c>
      <c r="P26" s="20" t="s">
        <v>1</v>
      </c>
      <c r="Q26" s="21" t="str">
        <f t="shared" si="0"/>
        <v>Inverted Residue .6</v>
      </c>
      <c r="T26" t="s">
        <v>20</v>
      </c>
      <c r="U26" t="s">
        <v>95</v>
      </c>
      <c r="V26" t="s">
        <v>217</v>
      </c>
    </row>
    <row r="27" spans="1:22" x14ac:dyDescent="0.35">
      <c r="A27" s="20" t="s">
        <v>37</v>
      </c>
      <c r="B27" s="20" t="s">
        <v>1</v>
      </c>
      <c r="C27" s="20" t="s">
        <v>2</v>
      </c>
      <c r="D27" s="20" t="s">
        <v>2</v>
      </c>
      <c r="E27" s="20" t="s">
        <v>1</v>
      </c>
      <c r="F27" s="20" t="s">
        <v>2</v>
      </c>
      <c r="G27" s="20" t="s">
        <v>2</v>
      </c>
      <c r="H27" s="20" t="s">
        <v>2</v>
      </c>
      <c r="I27" s="20" t="s">
        <v>12</v>
      </c>
      <c r="J27" s="20" t="s">
        <v>2</v>
      </c>
      <c r="K27" s="20" t="s">
        <v>1</v>
      </c>
      <c r="L27" s="20" t="s">
        <v>1</v>
      </c>
      <c r="M27" s="20" t="s">
        <v>1</v>
      </c>
      <c r="N27" s="20" t="s">
        <v>1</v>
      </c>
      <c r="O27" s="20" t="s">
        <v>2</v>
      </c>
      <c r="P27" s="20" t="s">
        <v>2</v>
      </c>
      <c r="Q27" s="21" t="str">
        <f t="shared" si="0"/>
        <v>Inverted Residue .6</v>
      </c>
      <c r="T27" t="s">
        <v>119</v>
      </c>
      <c r="U27" t="s">
        <v>97</v>
      </c>
      <c r="V27" t="s">
        <v>217</v>
      </c>
    </row>
    <row r="28" spans="1:22" x14ac:dyDescent="0.35">
      <c r="A28" s="22" t="s">
        <v>38</v>
      </c>
      <c r="B28" s="22" t="s">
        <v>1</v>
      </c>
      <c r="C28" s="22" t="s">
        <v>1</v>
      </c>
      <c r="D28" s="22" t="s">
        <v>2</v>
      </c>
      <c r="E28" s="22" t="s">
        <v>1</v>
      </c>
      <c r="F28" s="22" t="s">
        <v>1</v>
      </c>
      <c r="G28" s="22" t="s">
        <v>2</v>
      </c>
      <c r="H28" s="22" t="s">
        <v>1</v>
      </c>
      <c r="I28" s="22" t="s">
        <v>1</v>
      </c>
      <c r="J28" s="22" t="s">
        <v>1</v>
      </c>
      <c r="K28" s="22" t="s">
        <v>1</v>
      </c>
      <c r="L28" s="22" t="s">
        <v>1</v>
      </c>
      <c r="M28" s="22" t="s">
        <v>2</v>
      </c>
      <c r="N28" s="22" t="s">
        <v>1</v>
      </c>
      <c r="O28" s="22" t="s">
        <v>1</v>
      </c>
      <c r="P28" s="22" t="s">
        <v>2</v>
      </c>
      <c r="Q28" s="23" t="str">
        <f t="shared" si="0"/>
        <v>Inverted Residue .7</v>
      </c>
      <c r="T28" t="s">
        <v>120</v>
      </c>
      <c r="U28" t="s">
        <v>102</v>
      </c>
      <c r="V28" t="s">
        <v>217</v>
      </c>
    </row>
    <row r="29" spans="1:22" x14ac:dyDescent="0.35">
      <c r="A29" s="22" t="s">
        <v>39</v>
      </c>
      <c r="B29" s="22" t="s">
        <v>1</v>
      </c>
      <c r="C29" s="22" t="s">
        <v>1</v>
      </c>
      <c r="D29" s="22" t="s">
        <v>2</v>
      </c>
      <c r="E29" s="22" t="s">
        <v>1</v>
      </c>
      <c r="F29" s="22" t="s">
        <v>1</v>
      </c>
      <c r="G29" s="22" t="s">
        <v>2</v>
      </c>
      <c r="H29" s="22" t="s">
        <v>12</v>
      </c>
      <c r="I29" s="22" t="s">
        <v>1</v>
      </c>
      <c r="J29" s="22" t="s">
        <v>2</v>
      </c>
      <c r="K29" s="22" t="s">
        <v>1</v>
      </c>
      <c r="L29" s="22" t="s">
        <v>1</v>
      </c>
      <c r="M29" s="22" t="s">
        <v>2</v>
      </c>
      <c r="N29" s="22" t="s">
        <v>1</v>
      </c>
      <c r="O29" s="22" t="s">
        <v>1</v>
      </c>
      <c r="P29" s="22" t="s">
        <v>2</v>
      </c>
      <c r="Q29" s="23" t="str">
        <f t="shared" si="0"/>
        <v>Inverted Residue .7</v>
      </c>
      <c r="T29" t="s">
        <v>21</v>
      </c>
      <c r="U29" t="s">
        <v>95</v>
      </c>
      <c r="V29" t="s">
        <v>217</v>
      </c>
    </row>
    <row r="30" spans="1:22" x14ac:dyDescent="0.35">
      <c r="A30" s="22" t="s">
        <v>40</v>
      </c>
      <c r="B30" s="22" t="s">
        <v>1</v>
      </c>
      <c r="C30" s="22" t="s">
        <v>2</v>
      </c>
      <c r="D30" s="22" t="s">
        <v>2</v>
      </c>
      <c r="E30" s="22" t="s">
        <v>1</v>
      </c>
      <c r="F30" s="22" t="s">
        <v>2</v>
      </c>
      <c r="G30" s="22" t="s">
        <v>2</v>
      </c>
      <c r="H30" s="22" t="s">
        <v>1</v>
      </c>
      <c r="I30" s="22" t="s">
        <v>2</v>
      </c>
      <c r="J30" s="22" t="s">
        <v>1</v>
      </c>
      <c r="K30" s="22" t="s">
        <v>1</v>
      </c>
      <c r="L30" s="22" t="s">
        <v>2</v>
      </c>
      <c r="M30" s="22" t="s">
        <v>1</v>
      </c>
      <c r="N30" s="22" t="s">
        <v>1</v>
      </c>
      <c r="O30" s="22" t="s">
        <v>2</v>
      </c>
      <c r="P30" s="22" t="s">
        <v>2</v>
      </c>
      <c r="Q30" s="23" t="str">
        <f t="shared" si="0"/>
        <v>Inverted Residue .7</v>
      </c>
      <c r="T30" t="s">
        <v>121</v>
      </c>
      <c r="U30" t="s">
        <v>97</v>
      </c>
      <c r="V30" t="s">
        <v>217</v>
      </c>
    </row>
    <row r="31" spans="1:22" x14ac:dyDescent="0.35">
      <c r="A31" s="22" t="s">
        <v>41</v>
      </c>
      <c r="B31" s="22" t="s">
        <v>1</v>
      </c>
      <c r="C31" s="22" t="s">
        <v>2</v>
      </c>
      <c r="D31" s="22" t="s">
        <v>1</v>
      </c>
      <c r="E31" s="22" t="s">
        <v>12</v>
      </c>
      <c r="F31" s="22" t="s">
        <v>2</v>
      </c>
      <c r="G31" s="22" t="s">
        <v>12</v>
      </c>
      <c r="H31" s="22" t="s">
        <v>2</v>
      </c>
      <c r="I31" s="22" t="s">
        <v>2</v>
      </c>
      <c r="J31" s="22" t="s">
        <v>2</v>
      </c>
      <c r="K31" s="22" t="s">
        <v>1</v>
      </c>
      <c r="L31" s="22" t="s">
        <v>2</v>
      </c>
      <c r="M31" s="22" t="s">
        <v>1</v>
      </c>
      <c r="N31" s="22" t="s">
        <v>1</v>
      </c>
      <c r="O31" s="22" t="s">
        <v>1</v>
      </c>
      <c r="P31" s="22" t="s">
        <v>1</v>
      </c>
      <c r="Q31" s="23" t="str">
        <f t="shared" si="0"/>
        <v>Inverted Residue .7</v>
      </c>
      <c r="T31" t="s">
        <v>122</v>
      </c>
      <c r="U31" t="s">
        <v>102</v>
      </c>
      <c r="V31" t="s">
        <v>217</v>
      </c>
    </row>
    <row r="32" spans="1:22" x14ac:dyDescent="0.35">
      <c r="A32" s="22" t="s">
        <v>42</v>
      </c>
      <c r="B32" s="22" t="s">
        <v>1</v>
      </c>
      <c r="C32" s="22" t="s">
        <v>1</v>
      </c>
      <c r="D32" s="22" t="s">
        <v>2</v>
      </c>
      <c r="E32" s="22" t="s">
        <v>12</v>
      </c>
      <c r="F32" s="22" t="s">
        <v>1</v>
      </c>
      <c r="G32" s="22" t="s">
        <v>2</v>
      </c>
      <c r="H32" s="22" t="s">
        <v>12</v>
      </c>
      <c r="I32" s="22" t="s">
        <v>1</v>
      </c>
      <c r="J32" s="22" t="s">
        <v>2</v>
      </c>
      <c r="K32" s="22" t="s">
        <v>1</v>
      </c>
      <c r="L32" s="22" t="s">
        <v>1</v>
      </c>
      <c r="M32" s="22" t="s">
        <v>2</v>
      </c>
      <c r="N32" s="22" t="s">
        <v>1</v>
      </c>
      <c r="O32" s="22" t="s">
        <v>1</v>
      </c>
      <c r="P32" s="22" t="s">
        <v>2</v>
      </c>
      <c r="Q32" s="23" t="str">
        <f t="shared" si="0"/>
        <v>Inverted Residue .7</v>
      </c>
      <c r="T32" t="s">
        <v>22</v>
      </c>
      <c r="U32" t="s">
        <v>95</v>
      </c>
      <c r="V32" t="s">
        <v>217</v>
      </c>
    </row>
    <row r="33" spans="1:22" x14ac:dyDescent="0.35">
      <c r="A33" s="24" t="s">
        <v>43</v>
      </c>
      <c r="B33" s="24" t="s">
        <v>1</v>
      </c>
      <c r="C33" s="24" t="s">
        <v>1</v>
      </c>
      <c r="D33" s="24" t="s">
        <v>2</v>
      </c>
      <c r="E33" s="24" t="s">
        <v>1</v>
      </c>
      <c r="F33" s="24" t="s">
        <v>2</v>
      </c>
      <c r="G33" s="24" t="s">
        <v>1</v>
      </c>
      <c r="H33" s="24" t="s">
        <v>1</v>
      </c>
      <c r="I33" s="24" t="s">
        <v>1</v>
      </c>
      <c r="J33" s="24" t="s">
        <v>2</v>
      </c>
      <c r="K33" s="24" t="s">
        <v>1</v>
      </c>
      <c r="L33" s="24" t="s">
        <v>2</v>
      </c>
      <c r="M33" s="24" t="s">
        <v>2</v>
      </c>
      <c r="N33" s="24" t="s">
        <v>1</v>
      </c>
      <c r="O33" s="24" t="s">
        <v>12</v>
      </c>
      <c r="P33" s="24" t="s">
        <v>2</v>
      </c>
      <c r="Q33" s="25" t="str">
        <f t="shared" si="0"/>
        <v>Inverted Residue .8</v>
      </c>
      <c r="T33" t="s">
        <v>123</v>
      </c>
      <c r="U33" t="s">
        <v>97</v>
      </c>
      <c r="V33" t="s">
        <v>217</v>
      </c>
    </row>
    <row r="34" spans="1:22" x14ac:dyDescent="0.35">
      <c r="A34" s="24" t="s">
        <v>44</v>
      </c>
      <c r="B34" s="24" t="s">
        <v>2</v>
      </c>
      <c r="C34" s="24" t="s">
        <v>1</v>
      </c>
      <c r="D34" s="24" t="s">
        <v>2</v>
      </c>
      <c r="E34" s="24" t="s">
        <v>2</v>
      </c>
      <c r="F34" s="24" t="s">
        <v>1</v>
      </c>
      <c r="G34" s="24" t="s">
        <v>1</v>
      </c>
      <c r="H34" s="24" t="s">
        <v>2</v>
      </c>
      <c r="I34" s="24" t="s">
        <v>1</v>
      </c>
      <c r="J34" s="24" t="s">
        <v>2</v>
      </c>
      <c r="K34" s="24" t="s">
        <v>2</v>
      </c>
      <c r="L34" s="24" t="s">
        <v>1</v>
      </c>
      <c r="M34" s="24" t="s">
        <v>2</v>
      </c>
      <c r="N34" s="24" t="s">
        <v>1</v>
      </c>
      <c r="O34" s="24" t="s">
        <v>1</v>
      </c>
      <c r="P34" s="24" t="s">
        <v>2</v>
      </c>
      <c r="Q34" s="25" t="str">
        <f t="shared" si="0"/>
        <v>Inverted Residue .8</v>
      </c>
      <c r="T34" t="s">
        <v>124</v>
      </c>
      <c r="U34" t="s">
        <v>112</v>
      </c>
      <c r="V34" t="s">
        <v>218</v>
      </c>
    </row>
    <row r="35" spans="1:22" x14ac:dyDescent="0.35">
      <c r="A35" s="24" t="s">
        <v>45</v>
      </c>
      <c r="B35" s="24" t="s">
        <v>2</v>
      </c>
      <c r="C35" s="24" t="s">
        <v>1</v>
      </c>
      <c r="D35" s="24" t="s">
        <v>2</v>
      </c>
      <c r="E35" s="24" t="s">
        <v>12</v>
      </c>
      <c r="F35" s="24" t="s">
        <v>1</v>
      </c>
      <c r="G35" s="24" t="s">
        <v>2</v>
      </c>
      <c r="H35" s="24" t="s">
        <v>12</v>
      </c>
      <c r="I35" s="24" t="s">
        <v>1</v>
      </c>
      <c r="J35" s="24" t="s">
        <v>1</v>
      </c>
      <c r="K35" s="24" t="s">
        <v>2</v>
      </c>
      <c r="L35" s="24" t="s">
        <v>1</v>
      </c>
      <c r="M35" s="24" t="s">
        <v>2</v>
      </c>
      <c r="N35" s="24" t="s">
        <v>1</v>
      </c>
      <c r="O35" s="24" t="s">
        <v>1</v>
      </c>
      <c r="P35" s="24" t="s">
        <v>12</v>
      </c>
      <c r="Q35" s="25" t="str">
        <f t="shared" si="0"/>
        <v>Inverted Residue .8</v>
      </c>
      <c r="T35" t="s">
        <v>23</v>
      </c>
      <c r="U35" t="s">
        <v>95</v>
      </c>
      <c r="V35" t="s">
        <v>218</v>
      </c>
    </row>
    <row r="36" spans="1:22" x14ac:dyDescent="0.35">
      <c r="A36" s="24" t="s">
        <v>46</v>
      </c>
      <c r="B36" s="24" t="s">
        <v>2</v>
      </c>
      <c r="C36" s="24" t="s">
        <v>12</v>
      </c>
      <c r="D36" s="24" t="s">
        <v>2</v>
      </c>
      <c r="E36" s="24" t="s">
        <v>2</v>
      </c>
      <c r="F36" s="24" t="s">
        <v>2</v>
      </c>
      <c r="G36" s="24" t="s">
        <v>1</v>
      </c>
      <c r="H36" s="24" t="s">
        <v>2</v>
      </c>
      <c r="I36" s="24" t="s">
        <v>1</v>
      </c>
      <c r="J36" s="24" t="s">
        <v>1</v>
      </c>
      <c r="K36" s="24" t="s">
        <v>2</v>
      </c>
      <c r="L36" s="24" t="s">
        <v>2</v>
      </c>
      <c r="M36" s="24" t="s">
        <v>2</v>
      </c>
      <c r="N36" s="24" t="s">
        <v>1</v>
      </c>
      <c r="O36" s="24" t="s">
        <v>1</v>
      </c>
      <c r="P36" s="24" t="s">
        <v>2</v>
      </c>
      <c r="Q36" s="25" t="str">
        <f t="shared" si="0"/>
        <v>Inverted Residue .8</v>
      </c>
      <c r="T36" t="s">
        <v>125</v>
      </c>
      <c r="U36" t="s">
        <v>97</v>
      </c>
      <c r="V36" t="s">
        <v>218</v>
      </c>
    </row>
    <row r="37" spans="1:22" x14ac:dyDescent="0.35">
      <c r="A37" s="24" t="s">
        <v>47</v>
      </c>
      <c r="B37" s="24" t="s">
        <v>1</v>
      </c>
      <c r="C37" s="24" t="s">
        <v>2</v>
      </c>
      <c r="D37" s="24" t="s">
        <v>2</v>
      </c>
      <c r="E37" s="24" t="s">
        <v>12</v>
      </c>
      <c r="F37" s="24" t="s">
        <v>2</v>
      </c>
      <c r="G37" s="24" t="s">
        <v>2</v>
      </c>
      <c r="H37" s="24" t="s">
        <v>1</v>
      </c>
      <c r="I37" s="24" t="s">
        <v>2</v>
      </c>
      <c r="J37" s="24" t="s">
        <v>2</v>
      </c>
      <c r="K37" s="24" t="s">
        <v>1</v>
      </c>
      <c r="L37" s="24" t="s">
        <v>2</v>
      </c>
      <c r="M37" s="24" t="s">
        <v>2</v>
      </c>
      <c r="N37" s="24" t="s">
        <v>1</v>
      </c>
      <c r="O37" s="24" t="s">
        <v>2</v>
      </c>
      <c r="P37" s="24" t="s">
        <v>2</v>
      </c>
      <c r="Q37" s="25" t="str">
        <f t="shared" si="0"/>
        <v>Inverted Residue .8</v>
      </c>
      <c r="T37" t="s">
        <v>126</v>
      </c>
      <c r="U37" t="s">
        <v>99</v>
      </c>
      <c r="V37" t="s">
        <v>218</v>
      </c>
    </row>
    <row r="38" spans="1:22" x14ac:dyDescent="0.35">
      <c r="A38" s="26" t="s">
        <v>48</v>
      </c>
      <c r="B38" s="26" t="s">
        <v>1</v>
      </c>
      <c r="C38" s="26" t="s">
        <v>1</v>
      </c>
      <c r="D38" s="26" t="s">
        <v>2</v>
      </c>
      <c r="E38" s="26" t="s">
        <v>12</v>
      </c>
      <c r="F38" s="26" t="s">
        <v>1</v>
      </c>
      <c r="G38" s="26" t="s">
        <v>2</v>
      </c>
      <c r="H38" s="26" t="s">
        <v>12</v>
      </c>
      <c r="I38" s="26" t="s">
        <v>1</v>
      </c>
      <c r="J38" s="26" t="s">
        <v>2</v>
      </c>
      <c r="K38" s="26" t="s">
        <v>1</v>
      </c>
      <c r="L38" s="26" t="s">
        <v>1</v>
      </c>
      <c r="M38" s="26" t="s">
        <v>2</v>
      </c>
      <c r="N38" s="26" t="s">
        <v>1</v>
      </c>
      <c r="O38" s="26" t="s">
        <v>1</v>
      </c>
      <c r="P38" s="26" t="s">
        <v>2</v>
      </c>
      <c r="Q38" s="27" t="str">
        <f t="shared" si="0"/>
        <v>Inverted Residue .9</v>
      </c>
      <c r="T38" t="s">
        <v>24</v>
      </c>
      <c r="U38" t="s">
        <v>95</v>
      </c>
      <c r="V38" t="s">
        <v>218</v>
      </c>
    </row>
    <row r="39" spans="1:22" x14ac:dyDescent="0.35">
      <c r="A39" s="26" t="s">
        <v>49</v>
      </c>
      <c r="B39" s="26" t="s">
        <v>1</v>
      </c>
      <c r="C39" s="26" t="s">
        <v>1</v>
      </c>
      <c r="D39" s="26" t="s">
        <v>2</v>
      </c>
      <c r="E39" s="26" t="s">
        <v>1</v>
      </c>
      <c r="F39" s="26" t="s">
        <v>1</v>
      </c>
      <c r="G39" s="26" t="s">
        <v>2</v>
      </c>
      <c r="H39" s="26" t="s">
        <v>1</v>
      </c>
      <c r="I39" s="26" t="s">
        <v>1</v>
      </c>
      <c r="J39" s="26" t="s">
        <v>2</v>
      </c>
      <c r="K39" s="26" t="s">
        <v>1</v>
      </c>
      <c r="L39" s="26" t="s">
        <v>1</v>
      </c>
      <c r="M39" s="26" t="s">
        <v>2</v>
      </c>
      <c r="N39" s="26" t="s">
        <v>1</v>
      </c>
      <c r="O39" s="26" t="s">
        <v>1</v>
      </c>
      <c r="P39" s="26" t="s">
        <v>2</v>
      </c>
      <c r="Q39" s="27" t="str">
        <f t="shared" si="0"/>
        <v>Inverted Residue .9</v>
      </c>
      <c r="T39" t="s">
        <v>127</v>
      </c>
      <c r="U39" t="s">
        <v>97</v>
      </c>
      <c r="V39" t="s">
        <v>218</v>
      </c>
    </row>
    <row r="40" spans="1:22" x14ac:dyDescent="0.35">
      <c r="A40" s="26" t="s">
        <v>50</v>
      </c>
      <c r="B40" s="26" t="s">
        <v>1</v>
      </c>
      <c r="C40" s="26" t="s">
        <v>1</v>
      </c>
      <c r="D40" s="26" t="s">
        <v>12</v>
      </c>
      <c r="E40" s="26" t="s">
        <v>12</v>
      </c>
      <c r="F40" s="26" t="s">
        <v>1</v>
      </c>
      <c r="G40" s="26" t="s">
        <v>1</v>
      </c>
      <c r="H40" s="26" t="s">
        <v>1</v>
      </c>
      <c r="I40" s="26" t="s">
        <v>1</v>
      </c>
      <c r="J40" s="26" t="s">
        <v>1</v>
      </c>
      <c r="K40" s="26" t="s">
        <v>2</v>
      </c>
      <c r="L40" s="26" t="s">
        <v>2</v>
      </c>
      <c r="M40" s="26" t="s">
        <v>2</v>
      </c>
      <c r="N40" s="26" t="s">
        <v>2</v>
      </c>
      <c r="O40" s="26" t="s">
        <v>2</v>
      </c>
      <c r="P40" s="26" t="s">
        <v>12</v>
      </c>
      <c r="Q40" s="27" t="str">
        <f t="shared" si="0"/>
        <v>Inverted Residue .9</v>
      </c>
      <c r="T40" t="s">
        <v>128</v>
      </c>
      <c r="U40" t="s">
        <v>99</v>
      </c>
      <c r="V40" t="s">
        <v>218</v>
      </c>
    </row>
    <row r="41" spans="1:22" x14ac:dyDescent="0.35">
      <c r="A41" s="26" t="s">
        <v>51</v>
      </c>
      <c r="B41" s="26" t="s">
        <v>12</v>
      </c>
      <c r="C41" s="26" t="s">
        <v>2</v>
      </c>
      <c r="D41" s="26" t="s">
        <v>2</v>
      </c>
      <c r="E41" s="26" t="s">
        <v>1</v>
      </c>
      <c r="F41" s="26" t="s">
        <v>1</v>
      </c>
      <c r="G41" s="26" t="s">
        <v>1</v>
      </c>
      <c r="H41" s="26" t="s">
        <v>1</v>
      </c>
      <c r="I41" s="26" t="s">
        <v>2</v>
      </c>
      <c r="J41" s="26" t="s">
        <v>1</v>
      </c>
      <c r="K41" s="26" t="s">
        <v>2</v>
      </c>
      <c r="L41" s="26" t="s">
        <v>2</v>
      </c>
      <c r="M41" s="26" t="s">
        <v>2</v>
      </c>
      <c r="N41" s="26" t="s">
        <v>2</v>
      </c>
      <c r="O41" s="26" t="s">
        <v>2</v>
      </c>
      <c r="P41" s="26" t="s">
        <v>2</v>
      </c>
      <c r="Q41" s="27" t="str">
        <f t="shared" si="0"/>
        <v>Inverted Residue .9</v>
      </c>
      <c r="T41" t="s">
        <v>129</v>
      </c>
      <c r="U41" t="s">
        <v>104</v>
      </c>
      <c r="V41" t="s">
        <v>218</v>
      </c>
    </row>
    <row r="42" spans="1:22" x14ac:dyDescent="0.35">
      <c r="A42" s="26" t="s">
        <v>52</v>
      </c>
      <c r="B42" s="26" t="s">
        <v>1</v>
      </c>
      <c r="C42" s="26" t="s">
        <v>1</v>
      </c>
      <c r="D42" s="26" t="s">
        <v>2</v>
      </c>
      <c r="E42" s="26" t="s">
        <v>1</v>
      </c>
      <c r="F42" s="26" t="s">
        <v>1</v>
      </c>
      <c r="G42" s="26" t="s">
        <v>2</v>
      </c>
      <c r="H42" s="26" t="s">
        <v>1</v>
      </c>
      <c r="I42" s="26" t="s">
        <v>1</v>
      </c>
      <c r="J42" s="26" t="s">
        <v>2</v>
      </c>
      <c r="K42" s="26" t="s">
        <v>1</v>
      </c>
      <c r="L42" s="26" t="s">
        <v>1</v>
      </c>
      <c r="M42" s="26" t="s">
        <v>2</v>
      </c>
      <c r="N42" s="26" t="s">
        <v>1</v>
      </c>
      <c r="O42" s="26" t="s">
        <v>1</v>
      </c>
      <c r="P42" s="26" t="s">
        <v>2</v>
      </c>
      <c r="Q42" s="27" t="str">
        <f t="shared" si="0"/>
        <v>Inverted Residue .9</v>
      </c>
      <c r="T42" t="s">
        <v>25</v>
      </c>
      <c r="U42" t="s">
        <v>95</v>
      </c>
      <c r="V42" t="s">
        <v>218</v>
      </c>
    </row>
    <row r="43" spans="1:22" x14ac:dyDescent="0.35">
      <c r="A43" s="24" t="s">
        <v>53</v>
      </c>
      <c r="B43" s="24" t="s">
        <v>1</v>
      </c>
      <c r="C43" s="24" t="s">
        <v>1</v>
      </c>
      <c r="D43" s="24" t="s">
        <v>2</v>
      </c>
      <c r="E43" s="24" t="s">
        <v>1</v>
      </c>
      <c r="F43" s="24" t="s">
        <v>1</v>
      </c>
      <c r="G43" s="24" t="s">
        <v>2</v>
      </c>
      <c r="H43" s="24" t="s">
        <v>12</v>
      </c>
      <c r="I43" s="24" t="s">
        <v>1</v>
      </c>
      <c r="J43" s="24" t="s">
        <v>2</v>
      </c>
      <c r="K43" s="24" t="s">
        <v>1</v>
      </c>
      <c r="L43" s="24" t="s">
        <v>1</v>
      </c>
      <c r="M43" s="24" t="s">
        <v>2</v>
      </c>
      <c r="N43" s="24" t="s">
        <v>1</v>
      </c>
      <c r="O43" s="24" t="s">
        <v>1</v>
      </c>
      <c r="P43" s="24" t="s">
        <v>2</v>
      </c>
      <c r="Q43" s="25" t="str">
        <f t="shared" si="0"/>
        <v>Inverted Residue .10</v>
      </c>
      <c r="T43" t="s">
        <v>130</v>
      </c>
      <c r="U43" t="s">
        <v>102</v>
      </c>
      <c r="V43" t="s">
        <v>218</v>
      </c>
    </row>
    <row r="44" spans="1:22" x14ac:dyDescent="0.35">
      <c r="A44" s="24" t="s">
        <v>54</v>
      </c>
      <c r="B44" s="24" t="s">
        <v>1</v>
      </c>
      <c r="C44" s="24" t="s">
        <v>1</v>
      </c>
      <c r="D44" s="24" t="s">
        <v>2</v>
      </c>
      <c r="E44" s="24" t="s">
        <v>1</v>
      </c>
      <c r="F44" s="24" t="s">
        <v>1</v>
      </c>
      <c r="G44" s="24" t="s">
        <v>2</v>
      </c>
      <c r="H44" s="24" t="s">
        <v>1</v>
      </c>
      <c r="I44" s="24" t="s">
        <v>1</v>
      </c>
      <c r="J44" s="24" t="s">
        <v>2</v>
      </c>
      <c r="K44" s="24" t="s">
        <v>1</v>
      </c>
      <c r="L44" s="24" t="s">
        <v>1</v>
      </c>
      <c r="M44" s="24" t="s">
        <v>2</v>
      </c>
      <c r="N44" s="24" t="s">
        <v>1</v>
      </c>
      <c r="O44" s="24" t="s">
        <v>1</v>
      </c>
      <c r="P44" s="24" t="s">
        <v>2</v>
      </c>
      <c r="Q44" s="25" t="str">
        <f t="shared" si="0"/>
        <v>Inverted Residue .10</v>
      </c>
      <c r="T44" t="s">
        <v>26</v>
      </c>
      <c r="U44" t="s">
        <v>95</v>
      </c>
      <c r="V44" t="s">
        <v>218</v>
      </c>
    </row>
    <row r="45" spans="1:22" x14ac:dyDescent="0.35">
      <c r="A45" s="24" t="s">
        <v>55</v>
      </c>
      <c r="B45" s="24" t="s">
        <v>1</v>
      </c>
      <c r="C45" s="24" t="s">
        <v>1</v>
      </c>
      <c r="D45" s="24" t="s">
        <v>2</v>
      </c>
      <c r="E45" s="24" t="s">
        <v>1</v>
      </c>
      <c r="F45" s="24" t="s">
        <v>1</v>
      </c>
      <c r="G45" s="24" t="s">
        <v>2</v>
      </c>
      <c r="H45" s="24" t="s">
        <v>12</v>
      </c>
      <c r="I45" s="24" t="s">
        <v>1</v>
      </c>
      <c r="J45" s="24" t="s">
        <v>12</v>
      </c>
      <c r="K45" s="24" t="s">
        <v>1</v>
      </c>
      <c r="L45" s="24" t="s">
        <v>1</v>
      </c>
      <c r="M45" s="24" t="s">
        <v>2</v>
      </c>
      <c r="N45" s="24" t="s">
        <v>12</v>
      </c>
      <c r="O45" s="24" t="s">
        <v>2</v>
      </c>
      <c r="P45" s="24" t="s">
        <v>2</v>
      </c>
      <c r="Q45" s="25" t="str">
        <f t="shared" si="0"/>
        <v>Inverted Residue .10</v>
      </c>
      <c r="T45" t="s">
        <v>131</v>
      </c>
      <c r="U45" t="s">
        <v>107</v>
      </c>
      <c r="V45" t="s">
        <v>218</v>
      </c>
    </row>
    <row r="46" spans="1:22" x14ac:dyDescent="0.35">
      <c r="A46" s="24" t="s">
        <v>56</v>
      </c>
      <c r="B46" s="24" t="s">
        <v>1</v>
      </c>
      <c r="C46" s="24" t="s">
        <v>2</v>
      </c>
      <c r="D46" s="24" t="s">
        <v>2</v>
      </c>
      <c r="E46" s="24" t="s">
        <v>2</v>
      </c>
      <c r="F46" s="24" t="s">
        <v>12</v>
      </c>
      <c r="G46" s="24" t="s">
        <v>1</v>
      </c>
      <c r="H46" s="24" t="s">
        <v>12</v>
      </c>
      <c r="I46" s="24" t="s">
        <v>1</v>
      </c>
      <c r="J46" s="24" t="s">
        <v>1</v>
      </c>
      <c r="K46" s="24" t="s">
        <v>1</v>
      </c>
      <c r="L46" s="24" t="s">
        <v>2</v>
      </c>
      <c r="M46" s="24" t="s">
        <v>2</v>
      </c>
      <c r="N46" s="24" t="s">
        <v>2</v>
      </c>
      <c r="O46" s="24" t="s">
        <v>2</v>
      </c>
      <c r="P46" s="24" t="s">
        <v>12</v>
      </c>
      <c r="Q46" s="25" t="str">
        <f t="shared" si="0"/>
        <v>Inverted Residue .10</v>
      </c>
      <c r="T46" t="s">
        <v>132</v>
      </c>
      <c r="U46" t="s">
        <v>109</v>
      </c>
      <c r="V46" t="s">
        <v>218</v>
      </c>
    </row>
    <row r="47" spans="1:22" x14ac:dyDescent="0.35">
      <c r="A47" s="24" t="s">
        <v>57</v>
      </c>
      <c r="B47" s="24" t="s">
        <v>1</v>
      </c>
      <c r="C47" s="24" t="s">
        <v>1</v>
      </c>
      <c r="D47" s="24" t="s">
        <v>1</v>
      </c>
      <c r="E47" s="24" t="s">
        <v>1</v>
      </c>
      <c r="F47" s="24" t="s">
        <v>1</v>
      </c>
      <c r="G47" s="24" t="s">
        <v>2</v>
      </c>
      <c r="H47" s="24" t="s">
        <v>1</v>
      </c>
      <c r="I47" s="24" t="s">
        <v>1</v>
      </c>
      <c r="J47" s="24" t="s">
        <v>1</v>
      </c>
      <c r="K47" s="24" t="s">
        <v>1</v>
      </c>
      <c r="L47" s="24" t="s">
        <v>1</v>
      </c>
      <c r="M47" s="24" t="s">
        <v>1</v>
      </c>
      <c r="N47" s="24" t="s">
        <v>1</v>
      </c>
      <c r="O47" s="24" t="s">
        <v>1</v>
      </c>
      <c r="P47" s="24" t="s">
        <v>1</v>
      </c>
      <c r="Q47" s="25" t="str">
        <f t="shared" si="0"/>
        <v>Inverted Residue .10</v>
      </c>
      <c r="T47" t="s">
        <v>27</v>
      </c>
      <c r="U47" t="s">
        <v>95</v>
      </c>
      <c r="V47" t="s">
        <v>218</v>
      </c>
    </row>
    <row r="48" spans="1:22" x14ac:dyDescent="0.35">
      <c r="A48" s="28" t="s">
        <v>58</v>
      </c>
      <c r="B48" s="28" t="s">
        <v>1</v>
      </c>
      <c r="C48" s="28" t="s">
        <v>2</v>
      </c>
      <c r="D48" s="28" t="s">
        <v>2</v>
      </c>
      <c r="E48" s="28" t="s">
        <v>1</v>
      </c>
      <c r="F48" s="28" t="s">
        <v>2</v>
      </c>
      <c r="G48" s="28" t="s">
        <v>1</v>
      </c>
      <c r="H48" s="28" t="s">
        <v>1</v>
      </c>
      <c r="I48" s="28" t="s">
        <v>2</v>
      </c>
      <c r="J48" s="28" t="s">
        <v>12</v>
      </c>
      <c r="K48" s="28" t="s">
        <v>1</v>
      </c>
      <c r="L48" s="28" t="s">
        <v>1</v>
      </c>
      <c r="M48" s="28" t="s">
        <v>1</v>
      </c>
      <c r="N48" s="28" t="s">
        <v>1</v>
      </c>
      <c r="O48" s="28" t="s">
        <v>1</v>
      </c>
      <c r="P48" s="28" t="s">
        <v>2</v>
      </c>
      <c r="Q48" s="29" t="str">
        <f t="shared" si="0"/>
        <v>Inverted Residue .11</v>
      </c>
      <c r="T48" t="s">
        <v>133</v>
      </c>
      <c r="U48" t="s">
        <v>97</v>
      </c>
      <c r="V48" t="s">
        <v>218</v>
      </c>
    </row>
    <row r="49" spans="1:22" x14ac:dyDescent="0.35">
      <c r="A49" s="28" t="s">
        <v>59</v>
      </c>
      <c r="B49" s="28" t="s">
        <v>1</v>
      </c>
      <c r="C49" s="28" t="s">
        <v>1</v>
      </c>
      <c r="D49" s="28" t="s">
        <v>12</v>
      </c>
      <c r="E49" s="28" t="s">
        <v>12</v>
      </c>
      <c r="F49" s="28" t="s">
        <v>2</v>
      </c>
      <c r="G49" s="28" t="s">
        <v>1</v>
      </c>
      <c r="H49" s="28" t="s">
        <v>2</v>
      </c>
      <c r="I49" s="28" t="s">
        <v>2</v>
      </c>
      <c r="J49" s="28" t="s">
        <v>1</v>
      </c>
      <c r="K49" s="28" t="s">
        <v>12</v>
      </c>
      <c r="L49" s="28" t="s">
        <v>1</v>
      </c>
      <c r="M49" s="28" t="s">
        <v>2</v>
      </c>
      <c r="N49" s="28" t="s">
        <v>2</v>
      </c>
      <c r="O49" s="28" t="s">
        <v>1</v>
      </c>
      <c r="P49" s="28" t="s">
        <v>2</v>
      </c>
      <c r="Q49" s="29" t="str">
        <f t="shared" si="0"/>
        <v>Inverted Residue .11</v>
      </c>
      <c r="T49" t="s">
        <v>134</v>
      </c>
      <c r="U49" t="s">
        <v>112</v>
      </c>
      <c r="V49" t="s">
        <v>218</v>
      </c>
    </row>
    <row r="50" spans="1:22" x14ac:dyDescent="0.35">
      <c r="A50" s="28" t="s">
        <v>60</v>
      </c>
      <c r="B50" s="28" t="s">
        <v>1</v>
      </c>
      <c r="C50" s="28" t="s">
        <v>1</v>
      </c>
      <c r="D50" s="28" t="s">
        <v>1</v>
      </c>
      <c r="E50" s="28" t="s">
        <v>1</v>
      </c>
      <c r="F50" s="28" t="s">
        <v>2</v>
      </c>
      <c r="G50" s="28" t="s">
        <v>2</v>
      </c>
      <c r="H50" s="28" t="s">
        <v>2</v>
      </c>
      <c r="I50" s="28" t="s">
        <v>2</v>
      </c>
      <c r="J50" s="28" t="s">
        <v>1</v>
      </c>
      <c r="K50" s="28" t="s">
        <v>1</v>
      </c>
      <c r="L50" s="28" t="s">
        <v>1</v>
      </c>
      <c r="M50" s="28" t="s">
        <v>1</v>
      </c>
      <c r="N50" s="28" t="s">
        <v>12</v>
      </c>
      <c r="O50" s="28" t="s">
        <v>12</v>
      </c>
      <c r="P50" s="28" t="s">
        <v>1</v>
      </c>
      <c r="Q50" s="29" t="str">
        <f t="shared" si="0"/>
        <v>Inverted Residue .11</v>
      </c>
      <c r="T50" t="s">
        <v>28</v>
      </c>
      <c r="U50" t="s">
        <v>95</v>
      </c>
      <c r="V50" t="s">
        <v>219</v>
      </c>
    </row>
    <row r="51" spans="1:22" x14ac:dyDescent="0.35">
      <c r="A51" s="28" t="s">
        <v>61</v>
      </c>
      <c r="B51" s="28" t="s">
        <v>1</v>
      </c>
      <c r="C51" s="28" t="s">
        <v>2</v>
      </c>
      <c r="D51" s="28" t="s">
        <v>1</v>
      </c>
      <c r="E51" s="28" t="s">
        <v>2</v>
      </c>
      <c r="F51" s="28" t="s">
        <v>1</v>
      </c>
      <c r="G51" s="28" t="s">
        <v>1</v>
      </c>
      <c r="H51" s="28" t="s">
        <v>1</v>
      </c>
      <c r="I51" s="28" t="s">
        <v>1</v>
      </c>
      <c r="J51" s="28" t="s">
        <v>1</v>
      </c>
      <c r="K51" s="28" t="s">
        <v>2</v>
      </c>
      <c r="L51" s="28" t="s">
        <v>2</v>
      </c>
      <c r="M51" s="28" t="s">
        <v>2</v>
      </c>
      <c r="N51" s="28" t="s">
        <v>1</v>
      </c>
      <c r="O51" s="28" t="s">
        <v>2</v>
      </c>
      <c r="P51" s="28" t="s">
        <v>12</v>
      </c>
      <c r="Q51" s="29" t="str">
        <f t="shared" si="0"/>
        <v>Inverted Residue .11</v>
      </c>
      <c r="T51" t="s">
        <v>135</v>
      </c>
      <c r="U51" t="s">
        <v>97</v>
      </c>
      <c r="V51" t="s">
        <v>219</v>
      </c>
    </row>
    <row r="52" spans="1:22" x14ac:dyDescent="0.35">
      <c r="A52" s="28" t="s">
        <v>62</v>
      </c>
      <c r="B52" s="28" t="s">
        <v>1</v>
      </c>
      <c r="C52" s="28" t="s">
        <v>1</v>
      </c>
      <c r="D52" s="28" t="s">
        <v>2</v>
      </c>
      <c r="E52" s="28" t="s">
        <v>1</v>
      </c>
      <c r="F52" s="28" t="s">
        <v>1</v>
      </c>
      <c r="G52" s="28" t="s">
        <v>2</v>
      </c>
      <c r="H52" s="28" t="s">
        <v>2</v>
      </c>
      <c r="I52" s="28" t="s">
        <v>1</v>
      </c>
      <c r="J52" s="28" t="s">
        <v>1</v>
      </c>
      <c r="K52" s="28" t="s">
        <v>1</v>
      </c>
      <c r="L52" s="28" t="s">
        <v>1</v>
      </c>
      <c r="M52" s="28" t="s">
        <v>1</v>
      </c>
      <c r="N52" s="28" t="s">
        <v>1</v>
      </c>
      <c r="O52" s="28" t="s">
        <v>1</v>
      </c>
      <c r="P52" s="28" t="s">
        <v>1</v>
      </c>
      <c r="Q52" s="29" t="str">
        <f t="shared" si="0"/>
        <v>Inverted Residue .11</v>
      </c>
      <c r="T52" t="s">
        <v>136</v>
      </c>
      <c r="U52" t="s">
        <v>99</v>
      </c>
      <c r="V52" t="s">
        <v>219</v>
      </c>
    </row>
    <row r="53" spans="1:22" x14ac:dyDescent="0.35">
      <c r="A53" s="20" t="s">
        <v>63</v>
      </c>
      <c r="B53" s="20" t="s">
        <v>1</v>
      </c>
      <c r="C53" s="20" t="s">
        <v>1</v>
      </c>
      <c r="D53" s="20" t="s">
        <v>2</v>
      </c>
      <c r="E53" s="20" t="s">
        <v>1</v>
      </c>
      <c r="F53" s="20" t="s">
        <v>1</v>
      </c>
      <c r="G53" s="20" t="s">
        <v>2</v>
      </c>
      <c r="H53" s="20" t="s">
        <v>1</v>
      </c>
      <c r="I53" s="20" t="s">
        <v>1</v>
      </c>
      <c r="J53" s="20" t="s">
        <v>2</v>
      </c>
      <c r="K53" s="20" t="s">
        <v>1</v>
      </c>
      <c r="L53" s="20" t="s">
        <v>1</v>
      </c>
      <c r="M53" s="20" t="s">
        <v>1</v>
      </c>
      <c r="N53" s="20" t="s">
        <v>1</v>
      </c>
      <c r="O53" s="20" t="s">
        <v>1</v>
      </c>
      <c r="P53" s="20" t="s">
        <v>2</v>
      </c>
      <c r="Q53" s="21" t="str">
        <f t="shared" si="0"/>
        <v>Inverted Residue .12</v>
      </c>
      <c r="T53" t="s">
        <v>29</v>
      </c>
      <c r="U53" t="s">
        <v>95</v>
      </c>
      <c r="V53" t="s">
        <v>219</v>
      </c>
    </row>
    <row r="54" spans="1:22" x14ac:dyDescent="0.35">
      <c r="T54" t="s">
        <v>137</v>
      </c>
      <c r="U54" t="s">
        <v>97</v>
      </c>
      <c r="V54" t="s">
        <v>219</v>
      </c>
    </row>
    <row r="55" spans="1:22" x14ac:dyDescent="0.35">
      <c r="A55" s="3"/>
      <c r="T55" t="s">
        <v>138</v>
      </c>
      <c r="U55" t="s">
        <v>99</v>
      </c>
      <c r="V55" t="s">
        <v>219</v>
      </c>
    </row>
    <row r="56" spans="1:22" x14ac:dyDescent="0.35">
      <c r="A56" s="3"/>
      <c r="T56" t="s">
        <v>139</v>
      </c>
      <c r="U56" t="s">
        <v>104</v>
      </c>
      <c r="V56" t="s">
        <v>219</v>
      </c>
    </row>
    <row r="57" spans="1:22" x14ac:dyDescent="0.35">
      <c r="A57" s="3"/>
      <c r="T57" t="s">
        <v>30</v>
      </c>
      <c r="U57" t="s">
        <v>95</v>
      </c>
      <c r="V57" t="s">
        <v>219</v>
      </c>
    </row>
    <row r="58" spans="1:22" x14ac:dyDescent="0.35">
      <c r="A58" s="3"/>
      <c r="T58" t="s">
        <v>140</v>
      </c>
      <c r="U58" t="s">
        <v>102</v>
      </c>
      <c r="V58" t="s">
        <v>219</v>
      </c>
    </row>
    <row r="59" spans="1:22" x14ac:dyDescent="0.35">
      <c r="A59" s="3"/>
      <c r="T59" t="s">
        <v>31</v>
      </c>
      <c r="U59" t="s">
        <v>95</v>
      </c>
      <c r="V59" t="s">
        <v>219</v>
      </c>
    </row>
    <row r="60" spans="1:22" x14ac:dyDescent="0.35">
      <c r="A60" s="3"/>
      <c r="T60" t="s">
        <v>141</v>
      </c>
      <c r="U60" t="s">
        <v>107</v>
      </c>
      <c r="V60" t="s">
        <v>219</v>
      </c>
    </row>
    <row r="61" spans="1:22" x14ac:dyDescent="0.35">
      <c r="A61" s="3"/>
      <c r="T61" t="s">
        <v>142</v>
      </c>
      <c r="U61" t="s">
        <v>109</v>
      </c>
      <c r="V61" t="s">
        <v>219</v>
      </c>
    </row>
    <row r="62" spans="1:22" x14ac:dyDescent="0.35">
      <c r="T62" t="s">
        <v>32</v>
      </c>
      <c r="U62" t="s">
        <v>95</v>
      </c>
      <c r="V62" t="s">
        <v>219</v>
      </c>
    </row>
    <row r="63" spans="1:22" x14ac:dyDescent="0.35">
      <c r="T63" t="s">
        <v>143</v>
      </c>
      <c r="U63" t="s">
        <v>97</v>
      </c>
      <c r="V63" t="s">
        <v>219</v>
      </c>
    </row>
    <row r="64" spans="1:22" x14ac:dyDescent="0.35">
      <c r="T64" t="s">
        <v>144</v>
      </c>
      <c r="U64" t="s">
        <v>112</v>
      </c>
      <c r="V64" t="s">
        <v>219</v>
      </c>
    </row>
    <row r="65" spans="1:22" x14ac:dyDescent="0.35">
      <c r="A65" t="s">
        <v>1</v>
      </c>
      <c r="B65" s="4">
        <f>COUNTIF(B$1:B$63,$A65)</f>
        <v>36</v>
      </c>
      <c r="C65" s="4">
        <f>COUNTIF(C$1:C$63,$A65)</f>
        <v>23</v>
      </c>
      <c r="D65" s="4">
        <f t="shared" ref="D65:P65" si="1">COUNTIF(D$1:D$63,$A65)</f>
        <v>13</v>
      </c>
      <c r="E65" s="4">
        <f t="shared" si="1"/>
        <v>33</v>
      </c>
      <c r="F65" s="4">
        <f t="shared" si="1"/>
        <v>27</v>
      </c>
      <c r="G65" s="4">
        <f t="shared" si="1"/>
        <v>13</v>
      </c>
      <c r="H65" s="4">
        <f t="shared" si="1"/>
        <v>27</v>
      </c>
      <c r="I65" s="4">
        <f t="shared" si="1"/>
        <v>26</v>
      </c>
      <c r="J65" s="4">
        <f t="shared" si="1"/>
        <v>25</v>
      </c>
      <c r="K65" s="4">
        <f t="shared" si="1"/>
        <v>31</v>
      </c>
      <c r="L65" s="4">
        <f t="shared" si="1"/>
        <v>25</v>
      </c>
      <c r="M65" s="4">
        <f t="shared" si="1"/>
        <v>12</v>
      </c>
      <c r="N65" s="4">
        <f t="shared" si="1"/>
        <v>33</v>
      </c>
      <c r="O65" s="4">
        <f t="shared" si="1"/>
        <v>22</v>
      </c>
      <c r="P65" s="4">
        <f t="shared" si="1"/>
        <v>12</v>
      </c>
      <c r="T65" t="s">
        <v>33</v>
      </c>
      <c r="U65" t="s">
        <v>95</v>
      </c>
      <c r="V65" t="s">
        <v>220</v>
      </c>
    </row>
    <row r="66" spans="1:22" x14ac:dyDescent="0.35">
      <c r="A66" t="s">
        <v>2</v>
      </c>
      <c r="B66" s="4">
        <f t="shared" ref="B66:P67" si="2">COUNTIF(B$1:B$63,$A66)</f>
        <v>9</v>
      </c>
      <c r="C66" s="4">
        <f>COUNTIF(C$1:C$63,$A66)</f>
        <v>22</v>
      </c>
      <c r="D66" s="4">
        <f t="shared" si="2"/>
        <v>31</v>
      </c>
      <c r="E66" s="4">
        <f t="shared" si="2"/>
        <v>9</v>
      </c>
      <c r="F66" s="4">
        <f t="shared" si="2"/>
        <v>17</v>
      </c>
      <c r="G66" s="4">
        <f t="shared" si="2"/>
        <v>33</v>
      </c>
      <c r="H66" s="4">
        <f t="shared" si="2"/>
        <v>12</v>
      </c>
      <c r="I66" s="4">
        <f t="shared" si="2"/>
        <v>18</v>
      </c>
      <c r="J66" s="4">
        <f t="shared" si="2"/>
        <v>22</v>
      </c>
      <c r="K66" s="4">
        <f t="shared" si="2"/>
        <v>11</v>
      </c>
      <c r="L66" s="4">
        <f t="shared" si="2"/>
        <v>23</v>
      </c>
      <c r="M66" s="4">
        <f t="shared" si="2"/>
        <v>34</v>
      </c>
      <c r="N66" s="4">
        <f t="shared" si="2"/>
        <v>10</v>
      </c>
      <c r="O66" s="4">
        <f t="shared" si="2"/>
        <v>22</v>
      </c>
      <c r="P66" s="4">
        <f t="shared" si="2"/>
        <v>33</v>
      </c>
      <c r="T66" t="s">
        <v>145</v>
      </c>
      <c r="U66" t="s">
        <v>97</v>
      </c>
      <c r="V66" t="s">
        <v>220</v>
      </c>
    </row>
    <row r="67" spans="1:22" x14ac:dyDescent="0.35">
      <c r="A67" t="s">
        <v>12</v>
      </c>
      <c r="B67" s="4">
        <f t="shared" si="2"/>
        <v>7</v>
      </c>
      <c r="C67" s="4">
        <f>COUNTIF(C$1:C$63,$A67)</f>
        <v>7</v>
      </c>
      <c r="D67" s="4">
        <f t="shared" si="2"/>
        <v>8</v>
      </c>
      <c r="E67" s="4">
        <f t="shared" si="2"/>
        <v>10</v>
      </c>
      <c r="F67" s="4">
        <f t="shared" si="2"/>
        <v>8</v>
      </c>
      <c r="G67" s="4">
        <f t="shared" si="2"/>
        <v>6</v>
      </c>
      <c r="H67" s="4">
        <f t="shared" si="2"/>
        <v>13</v>
      </c>
      <c r="I67" s="4">
        <f t="shared" si="2"/>
        <v>8</v>
      </c>
      <c r="J67" s="4">
        <f t="shared" si="2"/>
        <v>5</v>
      </c>
      <c r="K67" s="4">
        <f t="shared" si="2"/>
        <v>10</v>
      </c>
      <c r="L67" s="4">
        <f t="shared" si="2"/>
        <v>4</v>
      </c>
      <c r="M67" s="4">
        <f t="shared" si="2"/>
        <v>6</v>
      </c>
      <c r="N67" s="4">
        <f t="shared" si="2"/>
        <v>9</v>
      </c>
      <c r="O67" s="4">
        <f t="shared" si="2"/>
        <v>8</v>
      </c>
      <c r="P67" s="4">
        <f t="shared" si="2"/>
        <v>7</v>
      </c>
      <c r="T67" t="s">
        <v>146</v>
      </c>
      <c r="U67" t="s">
        <v>99</v>
      </c>
      <c r="V67" t="s">
        <v>220</v>
      </c>
    </row>
    <row r="68" spans="1:22" x14ac:dyDescent="0.35">
      <c r="A68" t="s">
        <v>91</v>
      </c>
      <c r="B68" s="4">
        <f>SUM(B65:B67)</f>
        <v>52</v>
      </c>
      <c r="C68" s="4">
        <f>SUM(C65:C67)</f>
        <v>52</v>
      </c>
      <c r="D68" s="4">
        <f t="shared" ref="D68:P68" si="3">SUM(D65:D67)</f>
        <v>52</v>
      </c>
      <c r="E68" s="4">
        <f t="shared" si="3"/>
        <v>52</v>
      </c>
      <c r="F68" s="4">
        <f t="shared" si="3"/>
        <v>52</v>
      </c>
      <c r="G68" s="4">
        <f t="shared" si="3"/>
        <v>52</v>
      </c>
      <c r="H68" s="4">
        <f t="shared" si="3"/>
        <v>52</v>
      </c>
      <c r="I68" s="4">
        <f t="shared" si="3"/>
        <v>52</v>
      </c>
      <c r="J68" s="4">
        <f t="shared" si="3"/>
        <v>52</v>
      </c>
      <c r="K68" s="4">
        <f t="shared" si="3"/>
        <v>52</v>
      </c>
      <c r="L68" s="4">
        <f t="shared" si="3"/>
        <v>52</v>
      </c>
      <c r="M68" s="4">
        <f t="shared" si="3"/>
        <v>52</v>
      </c>
      <c r="N68" s="4">
        <f t="shared" si="3"/>
        <v>52</v>
      </c>
      <c r="O68" s="4">
        <f t="shared" si="3"/>
        <v>52</v>
      </c>
      <c r="P68" s="4">
        <f t="shared" si="3"/>
        <v>52</v>
      </c>
      <c r="T68" t="s">
        <v>34</v>
      </c>
      <c r="U68" t="s">
        <v>95</v>
      </c>
      <c r="V68" t="s">
        <v>220</v>
      </c>
    </row>
    <row r="69" spans="1:22" x14ac:dyDescent="0.35">
      <c r="A69" t="s">
        <v>92</v>
      </c>
      <c r="B69" s="4">
        <f>ROWS(B2:B53)</f>
        <v>52</v>
      </c>
      <c r="C69" s="4">
        <f t="shared" ref="C69:P69" si="4">ROWS(C2:C53)</f>
        <v>52</v>
      </c>
      <c r="D69" s="4">
        <f t="shared" si="4"/>
        <v>52</v>
      </c>
      <c r="E69" s="4">
        <f t="shared" si="4"/>
        <v>52</v>
      </c>
      <c r="F69" s="4">
        <f t="shared" si="4"/>
        <v>52</v>
      </c>
      <c r="G69" s="4">
        <f t="shared" si="4"/>
        <v>52</v>
      </c>
      <c r="H69" s="4">
        <f t="shared" si="4"/>
        <v>52</v>
      </c>
      <c r="I69" s="4">
        <f t="shared" si="4"/>
        <v>52</v>
      </c>
      <c r="J69" s="4">
        <f t="shared" si="4"/>
        <v>52</v>
      </c>
      <c r="K69" s="4">
        <f t="shared" si="4"/>
        <v>52</v>
      </c>
      <c r="L69" s="4">
        <f t="shared" si="4"/>
        <v>52</v>
      </c>
      <c r="M69" s="4">
        <f t="shared" si="4"/>
        <v>52</v>
      </c>
      <c r="N69" s="4">
        <f t="shared" si="4"/>
        <v>52</v>
      </c>
      <c r="O69" s="4">
        <f t="shared" si="4"/>
        <v>52</v>
      </c>
      <c r="P69" s="4">
        <f t="shared" si="4"/>
        <v>52</v>
      </c>
      <c r="T69" t="s">
        <v>147</v>
      </c>
      <c r="U69" t="s">
        <v>97</v>
      </c>
      <c r="V69" t="s">
        <v>220</v>
      </c>
    </row>
    <row r="70" spans="1:22" x14ac:dyDescent="0.35">
      <c r="A70" t="s">
        <v>93</v>
      </c>
      <c r="B70" s="4">
        <f>B65/SUM(B65:B66)*100</f>
        <v>80</v>
      </c>
      <c r="C70" s="4">
        <f t="shared" ref="C70:P70" si="5">C65/SUM(C65:C66)*100</f>
        <v>51.111111111111107</v>
      </c>
      <c r="D70" s="4">
        <f t="shared" si="5"/>
        <v>29.545454545454547</v>
      </c>
      <c r="E70" s="4">
        <f t="shared" si="5"/>
        <v>78.571428571428569</v>
      </c>
      <c r="F70" s="4">
        <f t="shared" si="5"/>
        <v>61.363636363636367</v>
      </c>
      <c r="G70" s="4">
        <f t="shared" si="5"/>
        <v>28.260869565217391</v>
      </c>
      <c r="H70" s="4">
        <f t="shared" si="5"/>
        <v>69.230769230769226</v>
      </c>
      <c r="I70" s="4">
        <f t="shared" si="5"/>
        <v>59.090909090909093</v>
      </c>
      <c r="J70" s="4">
        <f t="shared" si="5"/>
        <v>53.191489361702125</v>
      </c>
      <c r="K70" s="4">
        <f t="shared" si="5"/>
        <v>73.80952380952381</v>
      </c>
      <c r="L70" s="4">
        <f t="shared" si="5"/>
        <v>52.083333333333336</v>
      </c>
      <c r="M70" s="4">
        <f t="shared" si="5"/>
        <v>26.086956521739129</v>
      </c>
      <c r="N70" s="4">
        <f t="shared" si="5"/>
        <v>76.744186046511629</v>
      </c>
      <c r="O70" s="4">
        <f t="shared" si="5"/>
        <v>50</v>
      </c>
      <c r="P70" s="4">
        <f t="shared" si="5"/>
        <v>26.666666666666668</v>
      </c>
      <c r="T70" t="s">
        <v>148</v>
      </c>
      <c r="U70" t="s">
        <v>99</v>
      </c>
      <c r="V70" t="s">
        <v>220</v>
      </c>
    </row>
    <row r="71" spans="1:22" x14ac:dyDescent="0.35">
      <c r="A71" t="s">
        <v>94</v>
      </c>
      <c r="B71" s="4">
        <f>(B65-B66)/B69</f>
        <v>0.51923076923076927</v>
      </c>
      <c r="C71" s="4">
        <f t="shared" ref="C71:P71" si="6">(C65-C66)/C69</f>
        <v>1.9230769230769232E-2</v>
      </c>
      <c r="D71" s="4">
        <f t="shared" si="6"/>
        <v>-0.34615384615384615</v>
      </c>
      <c r="E71" s="4">
        <f t="shared" si="6"/>
        <v>0.46153846153846156</v>
      </c>
      <c r="F71" s="4">
        <f t="shared" si="6"/>
        <v>0.19230769230769232</v>
      </c>
      <c r="G71" s="4">
        <f t="shared" si="6"/>
        <v>-0.38461538461538464</v>
      </c>
      <c r="H71" s="4">
        <f t="shared" si="6"/>
        <v>0.28846153846153844</v>
      </c>
      <c r="I71" s="4">
        <f t="shared" si="6"/>
        <v>0.15384615384615385</v>
      </c>
      <c r="J71" s="4">
        <f t="shared" si="6"/>
        <v>5.7692307692307696E-2</v>
      </c>
      <c r="K71" s="4">
        <f t="shared" si="6"/>
        <v>0.38461538461538464</v>
      </c>
      <c r="L71" s="4">
        <f t="shared" si="6"/>
        <v>3.8461538461538464E-2</v>
      </c>
      <c r="M71" s="4">
        <f t="shared" si="6"/>
        <v>-0.42307692307692307</v>
      </c>
      <c r="N71" s="4">
        <f t="shared" si="6"/>
        <v>0.44230769230769229</v>
      </c>
      <c r="O71" s="4">
        <f t="shared" si="6"/>
        <v>0</v>
      </c>
      <c r="P71" s="4">
        <f t="shared" si="6"/>
        <v>-0.40384615384615385</v>
      </c>
      <c r="T71" t="s">
        <v>149</v>
      </c>
      <c r="U71" t="s">
        <v>104</v>
      </c>
      <c r="V71" t="s">
        <v>220</v>
      </c>
    </row>
    <row r="72" spans="1:22" x14ac:dyDescent="0.35">
      <c r="T72" t="s">
        <v>35</v>
      </c>
      <c r="U72" t="s">
        <v>95</v>
      </c>
      <c r="V72" t="s">
        <v>220</v>
      </c>
    </row>
    <row r="73" spans="1:22" x14ac:dyDescent="0.35">
      <c r="T73" t="s">
        <v>150</v>
      </c>
      <c r="U73" t="s">
        <v>102</v>
      </c>
      <c r="V73" t="s">
        <v>220</v>
      </c>
    </row>
    <row r="74" spans="1:22" x14ac:dyDescent="0.35">
      <c r="T74" t="s">
        <v>36</v>
      </c>
      <c r="U74" t="s">
        <v>95</v>
      </c>
      <c r="V74" t="s">
        <v>220</v>
      </c>
    </row>
    <row r="75" spans="1:22" x14ac:dyDescent="0.35">
      <c r="T75" t="s">
        <v>151</v>
      </c>
      <c r="U75" t="s">
        <v>107</v>
      </c>
      <c r="V75" t="s">
        <v>220</v>
      </c>
    </row>
    <row r="76" spans="1:22" x14ac:dyDescent="0.35">
      <c r="T76" t="s">
        <v>152</v>
      </c>
      <c r="U76" t="s">
        <v>109</v>
      </c>
      <c r="V76" t="s">
        <v>220</v>
      </c>
    </row>
    <row r="77" spans="1:22" x14ac:dyDescent="0.35">
      <c r="T77" t="s">
        <v>37</v>
      </c>
      <c r="U77" t="s">
        <v>95</v>
      </c>
      <c r="V77" t="s">
        <v>220</v>
      </c>
    </row>
    <row r="78" spans="1:22" x14ac:dyDescent="0.35">
      <c r="T78" t="s">
        <v>153</v>
      </c>
      <c r="U78" t="s">
        <v>97</v>
      </c>
      <c r="V78" t="s">
        <v>220</v>
      </c>
    </row>
    <row r="79" spans="1:22" x14ac:dyDescent="0.35">
      <c r="T79" t="s">
        <v>154</v>
      </c>
      <c r="U79" t="s">
        <v>112</v>
      </c>
      <c r="V79" t="s">
        <v>220</v>
      </c>
    </row>
    <row r="80" spans="1:22" x14ac:dyDescent="0.35">
      <c r="T80" t="s">
        <v>38</v>
      </c>
      <c r="U80" t="s">
        <v>95</v>
      </c>
      <c r="V80" t="s">
        <v>221</v>
      </c>
    </row>
    <row r="81" spans="20:22" x14ac:dyDescent="0.35">
      <c r="T81" t="s">
        <v>155</v>
      </c>
      <c r="U81" t="s">
        <v>97</v>
      </c>
      <c r="V81" t="s">
        <v>221</v>
      </c>
    </row>
    <row r="82" spans="20:22" x14ac:dyDescent="0.35">
      <c r="T82" t="s">
        <v>156</v>
      </c>
      <c r="U82" t="s">
        <v>99</v>
      </c>
      <c r="V82" t="s">
        <v>221</v>
      </c>
    </row>
    <row r="83" spans="20:22" x14ac:dyDescent="0.35">
      <c r="T83" t="s">
        <v>39</v>
      </c>
      <c r="U83" t="s">
        <v>95</v>
      </c>
      <c r="V83" t="s">
        <v>221</v>
      </c>
    </row>
    <row r="84" spans="20:22" x14ac:dyDescent="0.35">
      <c r="T84" t="s">
        <v>157</v>
      </c>
      <c r="U84" t="s">
        <v>97</v>
      </c>
      <c r="V84" t="s">
        <v>221</v>
      </c>
    </row>
    <row r="85" spans="20:22" x14ac:dyDescent="0.35">
      <c r="T85" t="s">
        <v>158</v>
      </c>
      <c r="U85" t="s">
        <v>99</v>
      </c>
      <c r="V85" t="s">
        <v>221</v>
      </c>
    </row>
    <row r="86" spans="20:22" x14ac:dyDescent="0.35">
      <c r="T86" t="s">
        <v>159</v>
      </c>
      <c r="U86" t="s">
        <v>104</v>
      </c>
      <c r="V86" t="s">
        <v>221</v>
      </c>
    </row>
    <row r="87" spans="20:22" x14ac:dyDescent="0.35">
      <c r="T87" t="s">
        <v>40</v>
      </c>
      <c r="U87" t="s">
        <v>95</v>
      </c>
      <c r="V87" t="s">
        <v>221</v>
      </c>
    </row>
    <row r="88" spans="20:22" x14ac:dyDescent="0.35">
      <c r="T88" t="s">
        <v>160</v>
      </c>
      <c r="U88" t="s">
        <v>102</v>
      </c>
      <c r="V88" t="s">
        <v>221</v>
      </c>
    </row>
    <row r="89" spans="20:22" x14ac:dyDescent="0.35">
      <c r="T89" t="s">
        <v>41</v>
      </c>
      <c r="U89" t="s">
        <v>95</v>
      </c>
      <c r="V89" t="s">
        <v>221</v>
      </c>
    </row>
    <row r="90" spans="20:22" x14ac:dyDescent="0.35">
      <c r="T90" t="s">
        <v>161</v>
      </c>
      <c r="U90" t="s">
        <v>107</v>
      </c>
      <c r="V90" t="s">
        <v>221</v>
      </c>
    </row>
    <row r="91" spans="20:22" x14ac:dyDescent="0.35">
      <c r="T91" t="s">
        <v>162</v>
      </c>
      <c r="U91" t="s">
        <v>109</v>
      </c>
      <c r="V91" t="s">
        <v>221</v>
      </c>
    </row>
    <row r="92" spans="20:22" x14ac:dyDescent="0.35">
      <c r="T92" t="s">
        <v>42</v>
      </c>
      <c r="U92" t="s">
        <v>95</v>
      </c>
      <c r="V92" t="s">
        <v>221</v>
      </c>
    </row>
    <row r="93" spans="20:22" x14ac:dyDescent="0.35">
      <c r="T93" t="s">
        <v>163</v>
      </c>
      <c r="U93" t="s">
        <v>97</v>
      </c>
      <c r="V93" t="s">
        <v>221</v>
      </c>
    </row>
    <row r="94" spans="20:22" x14ac:dyDescent="0.35">
      <c r="T94" t="s">
        <v>164</v>
      </c>
      <c r="U94" t="s">
        <v>112</v>
      </c>
      <c r="V94" t="s">
        <v>222</v>
      </c>
    </row>
    <row r="95" spans="20:22" x14ac:dyDescent="0.35">
      <c r="T95" t="s">
        <v>43</v>
      </c>
      <c r="U95" t="s">
        <v>95</v>
      </c>
      <c r="V95" t="s">
        <v>222</v>
      </c>
    </row>
    <row r="96" spans="20:22" x14ac:dyDescent="0.35">
      <c r="T96" t="s">
        <v>165</v>
      </c>
      <c r="U96" t="s">
        <v>97</v>
      </c>
      <c r="V96" t="s">
        <v>222</v>
      </c>
    </row>
    <row r="97" spans="20:22" x14ac:dyDescent="0.35">
      <c r="T97" t="s">
        <v>166</v>
      </c>
      <c r="U97" t="s">
        <v>99</v>
      </c>
      <c r="V97" t="s">
        <v>222</v>
      </c>
    </row>
    <row r="98" spans="20:22" x14ac:dyDescent="0.35">
      <c r="T98" t="s">
        <v>44</v>
      </c>
      <c r="U98" t="s">
        <v>95</v>
      </c>
      <c r="V98" t="s">
        <v>222</v>
      </c>
    </row>
    <row r="99" spans="20:22" x14ac:dyDescent="0.35">
      <c r="T99" t="s">
        <v>167</v>
      </c>
      <c r="U99" t="s">
        <v>97</v>
      </c>
      <c r="V99" t="s">
        <v>222</v>
      </c>
    </row>
    <row r="100" spans="20:22" x14ac:dyDescent="0.35">
      <c r="T100" t="s">
        <v>168</v>
      </c>
      <c r="U100" t="s">
        <v>99</v>
      </c>
      <c r="V100" t="s">
        <v>222</v>
      </c>
    </row>
    <row r="101" spans="20:22" x14ac:dyDescent="0.35">
      <c r="T101" t="s">
        <v>169</v>
      </c>
      <c r="U101" t="s">
        <v>104</v>
      </c>
      <c r="V101" t="s">
        <v>222</v>
      </c>
    </row>
    <row r="102" spans="20:22" x14ac:dyDescent="0.35">
      <c r="T102" t="s">
        <v>45</v>
      </c>
      <c r="U102" t="s">
        <v>95</v>
      </c>
      <c r="V102" t="s">
        <v>222</v>
      </c>
    </row>
    <row r="103" spans="20:22" x14ac:dyDescent="0.35">
      <c r="T103" t="s">
        <v>170</v>
      </c>
      <c r="U103" t="s">
        <v>102</v>
      </c>
      <c r="V103" t="s">
        <v>222</v>
      </c>
    </row>
    <row r="104" spans="20:22" x14ac:dyDescent="0.35">
      <c r="T104" t="s">
        <v>46</v>
      </c>
      <c r="U104" t="s">
        <v>95</v>
      </c>
      <c r="V104" t="s">
        <v>222</v>
      </c>
    </row>
    <row r="105" spans="20:22" x14ac:dyDescent="0.35">
      <c r="T105" t="s">
        <v>171</v>
      </c>
      <c r="U105" t="s">
        <v>107</v>
      </c>
      <c r="V105" t="s">
        <v>222</v>
      </c>
    </row>
    <row r="106" spans="20:22" x14ac:dyDescent="0.35">
      <c r="T106" t="s">
        <v>172</v>
      </c>
      <c r="U106" t="s">
        <v>109</v>
      </c>
      <c r="V106" t="s">
        <v>222</v>
      </c>
    </row>
    <row r="107" spans="20:22" x14ac:dyDescent="0.35">
      <c r="T107" t="s">
        <v>47</v>
      </c>
      <c r="U107" t="s">
        <v>95</v>
      </c>
      <c r="V107" t="s">
        <v>222</v>
      </c>
    </row>
    <row r="108" spans="20:22" x14ac:dyDescent="0.35">
      <c r="T108" t="s">
        <v>173</v>
      </c>
      <c r="U108" t="s">
        <v>97</v>
      </c>
      <c r="V108" t="s">
        <v>222</v>
      </c>
    </row>
    <row r="109" spans="20:22" x14ac:dyDescent="0.35">
      <c r="T109" t="s">
        <v>174</v>
      </c>
      <c r="U109" t="s">
        <v>112</v>
      </c>
      <c r="V109" t="s">
        <v>222</v>
      </c>
    </row>
    <row r="110" spans="20:22" x14ac:dyDescent="0.35">
      <c r="T110" t="s">
        <v>48</v>
      </c>
      <c r="U110" t="s">
        <v>95</v>
      </c>
      <c r="V110" t="s">
        <v>223</v>
      </c>
    </row>
    <row r="111" spans="20:22" x14ac:dyDescent="0.35">
      <c r="T111" t="s">
        <v>175</v>
      </c>
      <c r="U111" t="s">
        <v>97</v>
      </c>
      <c r="V111" t="s">
        <v>223</v>
      </c>
    </row>
    <row r="112" spans="20:22" x14ac:dyDescent="0.35">
      <c r="T112" t="s">
        <v>176</v>
      </c>
      <c r="U112" t="s">
        <v>99</v>
      </c>
      <c r="V112" t="s">
        <v>223</v>
      </c>
    </row>
    <row r="113" spans="20:22" x14ac:dyDescent="0.35">
      <c r="T113" t="s">
        <v>49</v>
      </c>
      <c r="U113" t="s">
        <v>95</v>
      </c>
      <c r="V113" t="s">
        <v>223</v>
      </c>
    </row>
    <row r="114" spans="20:22" x14ac:dyDescent="0.35">
      <c r="T114" t="s">
        <v>177</v>
      </c>
      <c r="U114" t="s">
        <v>97</v>
      </c>
      <c r="V114" t="s">
        <v>223</v>
      </c>
    </row>
    <row r="115" spans="20:22" x14ac:dyDescent="0.35">
      <c r="T115" t="s">
        <v>178</v>
      </c>
      <c r="U115" t="s">
        <v>99</v>
      </c>
      <c r="V115" t="s">
        <v>223</v>
      </c>
    </row>
    <row r="116" spans="20:22" x14ac:dyDescent="0.35">
      <c r="T116" t="s">
        <v>179</v>
      </c>
      <c r="U116" t="s">
        <v>104</v>
      </c>
      <c r="V116" t="s">
        <v>223</v>
      </c>
    </row>
    <row r="117" spans="20:22" x14ac:dyDescent="0.35">
      <c r="T117" t="s">
        <v>50</v>
      </c>
      <c r="U117" t="s">
        <v>95</v>
      </c>
      <c r="V117" t="s">
        <v>223</v>
      </c>
    </row>
    <row r="118" spans="20:22" x14ac:dyDescent="0.35">
      <c r="T118" t="s">
        <v>180</v>
      </c>
      <c r="U118" t="s">
        <v>102</v>
      </c>
      <c r="V118" t="s">
        <v>223</v>
      </c>
    </row>
    <row r="119" spans="20:22" x14ac:dyDescent="0.35">
      <c r="T119" t="s">
        <v>51</v>
      </c>
      <c r="U119" t="s">
        <v>95</v>
      </c>
      <c r="V119" t="s">
        <v>223</v>
      </c>
    </row>
    <row r="120" spans="20:22" x14ac:dyDescent="0.35">
      <c r="T120" t="s">
        <v>181</v>
      </c>
      <c r="U120" t="s">
        <v>107</v>
      </c>
      <c r="V120" t="s">
        <v>223</v>
      </c>
    </row>
    <row r="121" spans="20:22" x14ac:dyDescent="0.35">
      <c r="T121" t="s">
        <v>182</v>
      </c>
      <c r="U121" t="s">
        <v>109</v>
      </c>
      <c r="V121" t="s">
        <v>223</v>
      </c>
    </row>
    <row r="122" spans="20:22" x14ac:dyDescent="0.35">
      <c r="T122" t="s">
        <v>52</v>
      </c>
      <c r="U122" t="s">
        <v>95</v>
      </c>
      <c r="V122" t="s">
        <v>223</v>
      </c>
    </row>
    <row r="123" spans="20:22" x14ac:dyDescent="0.35">
      <c r="T123" t="s">
        <v>183</v>
      </c>
      <c r="U123" t="s">
        <v>97</v>
      </c>
      <c r="V123" t="s">
        <v>223</v>
      </c>
    </row>
    <row r="124" spans="20:22" x14ac:dyDescent="0.35">
      <c r="T124" t="s">
        <v>184</v>
      </c>
      <c r="U124" t="s">
        <v>112</v>
      </c>
      <c r="V124" t="s">
        <v>223</v>
      </c>
    </row>
    <row r="125" spans="20:22" x14ac:dyDescent="0.35">
      <c r="T125" t="s">
        <v>53</v>
      </c>
      <c r="U125" t="s">
        <v>95</v>
      </c>
      <c r="V125" t="s">
        <v>224</v>
      </c>
    </row>
    <row r="126" spans="20:22" x14ac:dyDescent="0.35">
      <c r="T126" t="s">
        <v>185</v>
      </c>
      <c r="U126" t="s">
        <v>97</v>
      </c>
      <c r="V126" t="s">
        <v>224</v>
      </c>
    </row>
    <row r="127" spans="20:22" x14ac:dyDescent="0.35">
      <c r="T127" t="s">
        <v>186</v>
      </c>
      <c r="U127" t="s">
        <v>99</v>
      </c>
      <c r="V127" t="s">
        <v>224</v>
      </c>
    </row>
    <row r="128" spans="20:22" x14ac:dyDescent="0.35">
      <c r="T128" t="s">
        <v>54</v>
      </c>
      <c r="U128" t="s">
        <v>95</v>
      </c>
      <c r="V128" t="s">
        <v>224</v>
      </c>
    </row>
    <row r="129" spans="20:22" x14ac:dyDescent="0.35">
      <c r="T129" t="s">
        <v>187</v>
      </c>
      <c r="U129" t="s">
        <v>97</v>
      </c>
      <c r="V129" t="s">
        <v>224</v>
      </c>
    </row>
    <row r="130" spans="20:22" x14ac:dyDescent="0.35">
      <c r="T130" t="s">
        <v>188</v>
      </c>
      <c r="U130" t="s">
        <v>99</v>
      </c>
      <c r="V130" t="s">
        <v>224</v>
      </c>
    </row>
    <row r="131" spans="20:22" x14ac:dyDescent="0.35">
      <c r="T131" t="s">
        <v>189</v>
      </c>
      <c r="U131" t="s">
        <v>104</v>
      </c>
      <c r="V131" t="s">
        <v>224</v>
      </c>
    </row>
    <row r="132" spans="20:22" x14ac:dyDescent="0.35">
      <c r="T132" t="s">
        <v>55</v>
      </c>
      <c r="U132" t="s">
        <v>95</v>
      </c>
      <c r="V132" t="s">
        <v>224</v>
      </c>
    </row>
    <row r="133" spans="20:22" x14ac:dyDescent="0.35">
      <c r="T133" t="s">
        <v>190</v>
      </c>
      <c r="U133" t="s">
        <v>102</v>
      </c>
      <c r="V133" t="s">
        <v>224</v>
      </c>
    </row>
    <row r="134" spans="20:22" x14ac:dyDescent="0.35">
      <c r="T134" t="s">
        <v>56</v>
      </c>
      <c r="U134" t="s">
        <v>95</v>
      </c>
      <c r="V134" t="s">
        <v>224</v>
      </c>
    </row>
    <row r="135" spans="20:22" x14ac:dyDescent="0.35">
      <c r="T135" t="s">
        <v>191</v>
      </c>
      <c r="U135" t="s">
        <v>107</v>
      </c>
      <c r="V135" t="s">
        <v>224</v>
      </c>
    </row>
    <row r="136" spans="20:22" x14ac:dyDescent="0.35">
      <c r="T136" t="s">
        <v>192</v>
      </c>
      <c r="U136" t="s">
        <v>109</v>
      </c>
      <c r="V136" t="s">
        <v>224</v>
      </c>
    </row>
    <row r="137" spans="20:22" x14ac:dyDescent="0.35">
      <c r="T137" t="s">
        <v>57</v>
      </c>
      <c r="U137" t="s">
        <v>95</v>
      </c>
      <c r="V137" t="s">
        <v>224</v>
      </c>
    </row>
    <row r="138" spans="20:22" x14ac:dyDescent="0.35">
      <c r="T138" t="s">
        <v>193</v>
      </c>
      <c r="U138" t="s">
        <v>97</v>
      </c>
      <c r="V138" t="s">
        <v>224</v>
      </c>
    </row>
    <row r="139" spans="20:22" x14ac:dyDescent="0.35">
      <c r="T139" t="s">
        <v>194</v>
      </c>
      <c r="U139" t="s">
        <v>112</v>
      </c>
      <c r="V139" t="s">
        <v>224</v>
      </c>
    </row>
    <row r="140" spans="20:22" x14ac:dyDescent="0.35">
      <c r="T140" t="s">
        <v>58</v>
      </c>
      <c r="U140" t="s">
        <v>95</v>
      </c>
      <c r="V140" t="s">
        <v>225</v>
      </c>
    </row>
    <row r="141" spans="20:22" x14ac:dyDescent="0.35">
      <c r="T141" t="s">
        <v>195</v>
      </c>
      <c r="U141" t="s">
        <v>97</v>
      </c>
      <c r="V141" t="s">
        <v>225</v>
      </c>
    </row>
    <row r="142" spans="20:22" x14ac:dyDescent="0.35">
      <c r="T142" t="s">
        <v>196</v>
      </c>
      <c r="U142" t="s">
        <v>99</v>
      </c>
      <c r="V142" t="s">
        <v>225</v>
      </c>
    </row>
    <row r="143" spans="20:22" x14ac:dyDescent="0.35">
      <c r="T143" t="s">
        <v>59</v>
      </c>
      <c r="U143" t="s">
        <v>95</v>
      </c>
      <c r="V143" t="s">
        <v>225</v>
      </c>
    </row>
    <row r="144" spans="20:22" x14ac:dyDescent="0.35">
      <c r="T144" t="s">
        <v>197</v>
      </c>
      <c r="U144" t="s">
        <v>97</v>
      </c>
      <c r="V144" t="s">
        <v>225</v>
      </c>
    </row>
    <row r="145" spans="20:22" x14ac:dyDescent="0.35">
      <c r="T145" t="s">
        <v>198</v>
      </c>
      <c r="U145" t="s">
        <v>99</v>
      </c>
      <c r="V145" t="s">
        <v>225</v>
      </c>
    </row>
    <row r="146" spans="20:22" x14ac:dyDescent="0.35">
      <c r="T146" t="s">
        <v>199</v>
      </c>
      <c r="U146" t="s">
        <v>104</v>
      </c>
      <c r="V146" t="s">
        <v>225</v>
      </c>
    </row>
    <row r="147" spans="20:22" x14ac:dyDescent="0.35">
      <c r="T147" t="s">
        <v>60</v>
      </c>
      <c r="U147" t="s">
        <v>95</v>
      </c>
      <c r="V147" t="s">
        <v>225</v>
      </c>
    </row>
    <row r="148" spans="20:22" x14ac:dyDescent="0.35">
      <c r="T148" t="s">
        <v>200</v>
      </c>
      <c r="U148" t="s">
        <v>102</v>
      </c>
      <c r="V148" t="s">
        <v>225</v>
      </c>
    </row>
    <row r="149" spans="20:22" x14ac:dyDescent="0.35">
      <c r="T149" t="s">
        <v>61</v>
      </c>
      <c r="U149" t="s">
        <v>95</v>
      </c>
      <c r="V149" t="s">
        <v>225</v>
      </c>
    </row>
    <row r="150" spans="20:22" x14ac:dyDescent="0.35">
      <c r="T150" t="s">
        <v>201</v>
      </c>
      <c r="U150" t="s">
        <v>107</v>
      </c>
      <c r="V150" t="s">
        <v>225</v>
      </c>
    </row>
    <row r="151" spans="20:22" x14ac:dyDescent="0.35">
      <c r="T151" t="s">
        <v>202</v>
      </c>
      <c r="U151" t="s">
        <v>109</v>
      </c>
      <c r="V151" t="s">
        <v>225</v>
      </c>
    </row>
    <row r="152" spans="20:22" x14ac:dyDescent="0.35">
      <c r="T152" t="s">
        <v>62</v>
      </c>
      <c r="U152" t="s">
        <v>95</v>
      </c>
      <c r="V152" t="s">
        <v>225</v>
      </c>
    </row>
    <row r="153" spans="20:22" x14ac:dyDescent="0.35">
      <c r="T153" t="s">
        <v>203</v>
      </c>
      <c r="U153" t="s">
        <v>97</v>
      </c>
      <c r="V153" t="s">
        <v>225</v>
      </c>
    </row>
    <row r="154" spans="20:22" x14ac:dyDescent="0.35">
      <c r="T154" t="s">
        <v>204</v>
      </c>
      <c r="U154" t="s">
        <v>112</v>
      </c>
      <c r="V154" t="s">
        <v>225</v>
      </c>
    </row>
    <row r="155" spans="20:22" x14ac:dyDescent="0.35">
      <c r="T155" t="s">
        <v>63</v>
      </c>
      <c r="U155" t="s">
        <v>95</v>
      </c>
      <c r="V155" t="s">
        <v>226</v>
      </c>
    </row>
    <row r="156" spans="20:22" x14ac:dyDescent="0.35">
      <c r="T156" t="s">
        <v>205</v>
      </c>
      <c r="U156" t="s">
        <v>97</v>
      </c>
      <c r="V156" t="s">
        <v>226</v>
      </c>
    </row>
    <row r="157" spans="20:22" x14ac:dyDescent="0.35">
      <c r="T157" t="s">
        <v>206</v>
      </c>
      <c r="U157" t="s">
        <v>99</v>
      </c>
      <c r="V157" t="s">
        <v>226</v>
      </c>
    </row>
    <row r="158" spans="20:22" x14ac:dyDescent="0.35">
      <c r="T158" t="s">
        <v>207</v>
      </c>
      <c r="U158" t="s">
        <v>104</v>
      </c>
      <c r="V158" t="s">
        <v>227</v>
      </c>
    </row>
    <row r="159" spans="20:22" x14ac:dyDescent="0.35">
      <c r="T159" t="s">
        <v>208</v>
      </c>
      <c r="U159" t="s">
        <v>209</v>
      </c>
      <c r="V159" t="s">
        <v>228</v>
      </c>
    </row>
    <row r="160" spans="20:22" x14ac:dyDescent="0.35">
      <c r="T160" t="s">
        <v>210</v>
      </c>
      <c r="U160" t="s">
        <v>99</v>
      </c>
      <c r="V160" t="s">
        <v>229</v>
      </c>
    </row>
    <row r="161" spans="20:22" x14ac:dyDescent="0.35">
      <c r="T161" t="s">
        <v>211</v>
      </c>
      <c r="U161" t="s">
        <v>212</v>
      </c>
      <c r="V161" t="s">
        <v>230</v>
      </c>
    </row>
    <row r="162" spans="20:22" x14ac:dyDescent="0.35">
      <c r="T162" t="s">
        <v>213</v>
      </c>
      <c r="U162" t="s">
        <v>209</v>
      </c>
      <c r="V162" t="s">
        <v>227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3"/>
  <sheetViews>
    <sheetView tabSelected="1" topLeftCell="K1" workbookViewId="0">
      <selection activeCell="M7" sqref="M7"/>
    </sheetView>
  </sheetViews>
  <sheetFormatPr defaultRowHeight="14.5" x14ac:dyDescent="0.35"/>
  <cols>
    <col min="1" max="1" width="25" customWidth="1"/>
    <col min="2" max="3" width="41" customWidth="1"/>
    <col min="4" max="5" width="39" customWidth="1"/>
    <col min="6" max="7" width="41" customWidth="1"/>
    <col min="8" max="9" width="39" customWidth="1"/>
    <col min="10" max="11" width="41" customWidth="1"/>
    <col min="12" max="13" width="39" customWidth="1"/>
  </cols>
  <sheetData>
    <row r="1" spans="1:14" x14ac:dyDescent="0.35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</row>
    <row r="2" spans="1:14" x14ac:dyDescent="0.35">
      <c r="A2" s="8" t="s">
        <v>11</v>
      </c>
      <c r="B2" s="8">
        <v>1.9053548193704001E-2</v>
      </c>
      <c r="C2" s="8">
        <v>0.98419030824746367</v>
      </c>
      <c r="D2" s="8">
        <v>1.440936662513792E-2</v>
      </c>
      <c r="E2" s="8">
        <v>0.98559063337486208</v>
      </c>
      <c r="F2" s="8">
        <v>0.51271458465071473</v>
      </c>
      <c r="G2" s="8">
        <v>0.51271458465071473</v>
      </c>
      <c r="H2" s="8">
        <v>0.47458159152542212</v>
      </c>
      <c r="I2" s="8">
        <v>0.52541840847457788</v>
      </c>
      <c r="J2" s="8">
        <v>0.6354901868468299</v>
      </c>
      <c r="K2" s="8">
        <v>0.38325636177543532</v>
      </c>
      <c r="L2" s="8">
        <v>0.62615978631696045</v>
      </c>
      <c r="M2" s="8">
        <v>0.37384021368303949</v>
      </c>
      <c r="N2" s="9" t="s">
        <v>214</v>
      </c>
    </row>
    <row r="3" spans="1:14" x14ac:dyDescent="0.35">
      <c r="A3" s="10" t="s">
        <v>13</v>
      </c>
      <c r="B3" s="10">
        <v>1.348421393509673E-8</v>
      </c>
      <c r="C3" s="10">
        <v>0.9999999913119948</v>
      </c>
      <c r="D3" s="10">
        <v>1.216778844348454E-8</v>
      </c>
      <c r="E3" s="10">
        <v>0.99999998783221156</v>
      </c>
      <c r="F3" s="10">
        <v>0.72763149274820915</v>
      </c>
      <c r="G3" s="10">
        <v>0.29394103861535209</v>
      </c>
      <c r="H3" s="10">
        <v>0.71695486909157524</v>
      </c>
      <c r="I3" s="10">
        <v>0.28304513090842481</v>
      </c>
      <c r="J3" s="10">
        <v>0.99999999999999956</v>
      </c>
      <c r="K3" s="10">
        <v>6.5303714115702355E-16</v>
      </c>
      <c r="L3" s="10">
        <v>0.99999999999999933</v>
      </c>
      <c r="M3" s="10">
        <v>6.5850831045583286E-16</v>
      </c>
      <c r="N3" s="11" t="s">
        <v>215</v>
      </c>
    </row>
    <row r="4" spans="1:14" x14ac:dyDescent="0.35">
      <c r="A4" s="10" t="s">
        <v>14</v>
      </c>
      <c r="B4" s="10">
        <v>1</v>
      </c>
      <c r="C4" s="10">
        <v>1</v>
      </c>
      <c r="D4" s="10">
        <v>1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1" t="s">
        <v>215</v>
      </c>
    </row>
    <row r="5" spans="1:14" x14ac:dyDescent="0.35">
      <c r="A5" s="10" t="s">
        <v>15</v>
      </c>
      <c r="B5" s="10">
        <v>0.99983177687150404</v>
      </c>
      <c r="C5" s="10">
        <v>2.2423766932352069E-4</v>
      </c>
      <c r="D5" s="10">
        <v>0.99980201728178342</v>
      </c>
      <c r="E5" s="10">
        <v>1.979827182166197E-4</v>
      </c>
      <c r="F5" s="10">
        <v>0.99877962679942434</v>
      </c>
      <c r="G5" s="10">
        <v>1.5051032699417129E-3</v>
      </c>
      <c r="H5" s="10">
        <v>0.99863500384341108</v>
      </c>
      <c r="I5" s="10">
        <v>1.364996156588868E-3</v>
      </c>
      <c r="J5" s="10">
        <v>1</v>
      </c>
      <c r="K5" s="10">
        <v>1.7171803494803709E-56</v>
      </c>
      <c r="L5" s="10">
        <v>1</v>
      </c>
      <c r="M5" s="10">
        <v>2.8865512537135709E-55</v>
      </c>
      <c r="N5" s="11" t="s">
        <v>215</v>
      </c>
    </row>
    <row r="6" spans="1:14" x14ac:dyDescent="0.35">
      <c r="A6" s="10" t="s">
        <v>16</v>
      </c>
      <c r="B6" s="10">
        <v>2.1930268365218381E-13</v>
      </c>
      <c r="C6" s="10">
        <v>0.99999999999987599</v>
      </c>
      <c r="D6" s="10">
        <v>2.3059332221464501E-13</v>
      </c>
      <c r="E6" s="10">
        <v>0.99999999999976941</v>
      </c>
      <c r="F6" s="10">
        <v>1.479832155624119E-10</v>
      </c>
      <c r="G6" s="10">
        <v>0.99999999990253974</v>
      </c>
      <c r="H6" s="10">
        <v>1.3771772611193001E-10</v>
      </c>
      <c r="I6" s="10">
        <v>0.99999999986228227</v>
      </c>
      <c r="J6" s="10">
        <v>1</v>
      </c>
      <c r="K6" s="10">
        <v>7.3789034229452573E-238</v>
      </c>
      <c r="L6" s="10">
        <v>1</v>
      </c>
      <c r="M6" s="10">
        <v>1.0106040612851751E-210</v>
      </c>
      <c r="N6" s="11" t="s">
        <v>215</v>
      </c>
    </row>
    <row r="7" spans="1:14" x14ac:dyDescent="0.35">
      <c r="A7" s="12" t="s">
        <v>17</v>
      </c>
      <c r="B7" s="12">
        <v>2.2443084356065412E-9</v>
      </c>
      <c r="C7" s="12">
        <v>0.99999999858720068</v>
      </c>
      <c r="D7" s="12">
        <v>2.0578957427019869E-9</v>
      </c>
      <c r="E7" s="12">
        <v>0.99999999794210426</v>
      </c>
      <c r="F7" s="12">
        <v>8.2836110889446232E-27</v>
      </c>
      <c r="G7" s="12">
        <v>1</v>
      </c>
      <c r="H7" s="12">
        <v>0</v>
      </c>
      <c r="I7" s="12">
        <v>1</v>
      </c>
      <c r="J7" s="12">
        <v>1</v>
      </c>
      <c r="K7" s="12">
        <v>3.9370182237869448E-149</v>
      </c>
      <c r="L7" s="12">
        <v>1</v>
      </c>
      <c r="M7" s="12">
        <v>5.5830240707489164E-139</v>
      </c>
      <c r="N7" s="13" t="s">
        <v>216</v>
      </c>
    </row>
    <row r="8" spans="1:14" x14ac:dyDescent="0.35">
      <c r="A8" s="12" t="s">
        <v>18</v>
      </c>
      <c r="B8" s="12">
        <v>3.2352956527301337E-2</v>
      </c>
      <c r="C8" s="12">
        <v>0.9727441946983314</v>
      </c>
      <c r="D8" s="12">
        <v>2.975234282021488E-2</v>
      </c>
      <c r="E8" s="12">
        <v>0.97024765717978512</v>
      </c>
      <c r="F8" s="12">
        <v>2.4571613899838639E-21</v>
      </c>
      <c r="G8" s="12">
        <v>1</v>
      </c>
      <c r="H8" s="12">
        <v>0</v>
      </c>
      <c r="I8" s="12">
        <v>1</v>
      </c>
      <c r="J8" s="12">
        <v>0.99761418592448126</v>
      </c>
      <c r="K8" s="12">
        <v>2.7812846673214439E-3</v>
      </c>
      <c r="L8" s="12">
        <v>0.99741551212917279</v>
      </c>
      <c r="M8" s="12">
        <v>2.5844878708271971E-3</v>
      </c>
      <c r="N8" s="13" t="s">
        <v>216</v>
      </c>
    </row>
    <row r="9" spans="1:14" x14ac:dyDescent="0.35">
      <c r="A9" s="12" t="s">
        <v>19</v>
      </c>
      <c r="B9" s="12">
        <v>0.4849696355118181</v>
      </c>
      <c r="C9" s="12">
        <v>0.54500593559208865</v>
      </c>
      <c r="D9" s="12">
        <v>0.46995704661337301</v>
      </c>
      <c r="E9" s="12">
        <v>0.53004295338662699</v>
      </c>
      <c r="F9" s="12">
        <v>0.14639725818087859</v>
      </c>
      <c r="G9" s="12">
        <v>0.86774232952232644</v>
      </c>
      <c r="H9" s="12">
        <v>0.13920891278779271</v>
      </c>
      <c r="I9" s="12">
        <v>0.86079108721220732</v>
      </c>
      <c r="J9" s="12">
        <v>1.8807497242705841E-2</v>
      </c>
      <c r="K9" s="12">
        <v>0.9833541997779246</v>
      </c>
      <c r="L9" s="12">
        <v>1.7714570876774419E-2</v>
      </c>
      <c r="M9" s="12">
        <v>0.98228542912322558</v>
      </c>
      <c r="N9" s="13" t="s">
        <v>216</v>
      </c>
    </row>
    <row r="10" spans="1:14" x14ac:dyDescent="0.35">
      <c r="A10" s="14" t="s">
        <v>20</v>
      </c>
      <c r="B10" s="14">
        <v>0.15443289176760841</v>
      </c>
      <c r="C10" s="14">
        <v>0.86280388643582817</v>
      </c>
      <c r="D10" s="14">
        <v>0.14564642380890641</v>
      </c>
      <c r="E10" s="14">
        <v>0.85435357619109364</v>
      </c>
      <c r="F10" s="14">
        <v>0.99999999999997413</v>
      </c>
      <c r="G10" s="14">
        <v>4.2430642213581307E-14</v>
      </c>
      <c r="H10" s="14">
        <v>0.99999999999995659</v>
      </c>
      <c r="I10" s="14">
        <v>4.3377116745046367E-14</v>
      </c>
      <c r="J10" s="14">
        <v>2.041926604386071E-3</v>
      </c>
      <c r="K10" s="14">
        <v>0.99825637121343069</v>
      </c>
      <c r="L10" s="14">
        <v>1.8940138516619911E-3</v>
      </c>
      <c r="M10" s="14">
        <v>0.99810598614833801</v>
      </c>
      <c r="N10" s="15" t="s">
        <v>217</v>
      </c>
    </row>
    <row r="11" spans="1:14" x14ac:dyDescent="0.35">
      <c r="A11" s="14" t="s">
        <v>21</v>
      </c>
      <c r="B11" s="14">
        <v>3.2352956527301337E-2</v>
      </c>
      <c r="C11" s="14">
        <v>0.9727441946983314</v>
      </c>
      <c r="D11" s="14">
        <v>2.975234282021488E-2</v>
      </c>
      <c r="E11" s="14">
        <v>0.97024765717978512</v>
      </c>
      <c r="F11" s="14">
        <v>0.99901426546769834</v>
      </c>
      <c r="G11" s="14">
        <v>1.220373200575612E-3</v>
      </c>
      <c r="H11" s="14">
        <v>0.99889467490842754</v>
      </c>
      <c r="I11" s="14">
        <v>1.1053250915724509E-3</v>
      </c>
      <c r="J11" s="14">
        <v>1</v>
      </c>
      <c r="K11" s="14">
        <v>6.5877487841799034E-35</v>
      </c>
      <c r="L11" s="14">
        <v>1</v>
      </c>
      <c r="M11" s="14">
        <v>1.5573420261936339E-34</v>
      </c>
      <c r="N11" s="15" t="s">
        <v>217</v>
      </c>
    </row>
    <row r="12" spans="1:14" x14ac:dyDescent="0.35">
      <c r="A12" s="14" t="s">
        <v>22</v>
      </c>
      <c r="B12" s="14">
        <v>1.240624711943028E-13</v>
      </c>
      <c r="C12" s="14">
        <v>0.99999999999993028</v>
      </c>
      <c r="D12" s="14">
        <v>1.318944953254686E-13</v>
      </c>
      <c r="E12" s="14">
        <v>0.99999999999986811</v>
      </c>
      <c r="F12" s="14">
        <v>0.1068727673786477</v>
      </c>
      <c r="G12" s="14">
        <v>0.90441242068569194</v>
      </c>
      <c r="H12" s="14">
        <v>0.1011274711774712</v>
      </c>
      <c r="I12" s="14">
        <v>0.89887252882252877</v>
      </c>
      <c r="J12" s="14">
        <v>1</v>
      </c>
      <c r="K12" s="14">
        <v>3.495489225533287E-23</v>
      </c>
      <c r="L12" s="14">
        <v>1</v>
      </c>
      <c r="M12" s="14">
        <v>4.4285062990526597E-23</v>
      </c>
      <c r="N12" s="15" t="s">
        <v>217</v>
      </c>
    </row>
    <row r="13" spans="1:14" x14ac:dyDescent="0.35">
      <c r="A13" s="16" t="s">
        <v>23</v>
      </c>
      <c r="B13" s="16">
        <v>0.15443289176760841</v>
      </c>
      <c r="C13" s="16">
        <v>0.86280388643582817</v>
      </c>
      <c r="D13" s="16">
        <v>0.14564642380890641</v>
      </c>
      <c r="E13" s="16">
        <v>0.85435357619109364</v>
      </c>
      <c r="F13" s="16">
        <v>1.087998784664854E-5</v>
      </c>
      <c r="G13" s="16">
        <v>0.99999183995244467</v>
      </c>
      <c r="H13" s="16">
        <v>9.6966388571928519E-6</v>
      </c>
      <c r="I13" s="16">
        <v>0.99999030336114281</v>
      </c>
      <c r="J13" s="16">
        <v>4.3467742682115106E-3</v>
      </c>
      <c r="K13" s="16">
        <v>0.99624587658145713</v>
      </c>
      <c r="L13" s="16">
        <v>4.0504696881099589E-3</v>
      </c>
      <c r="M13" s="16">
        <v>0.99594953031189004</v>
      </c>
      <c r="N13" s="17" t="s">
        <v>218</v>
      </c>
    </row>
    <row r="14" spans="1:14" x14ac:dyDescent="0.35">
      <c r="A14" s="16" t="s">
        <v>24</v>
      </c>
      <c r="B14" s="16">
        <v>7.7224614927399764E-19</v>
      </c>
      <c r="C14" s="16">
        <v>1</v>
      </c>
      <c r="D14" s="16">
        <v>0</v>
      </c>
      <c r="E14" s="16">
        <v>1</v>
      </c>
      <c r="F14" s="16">
        <v>0.99999999924530059</v>
      </c>
      <c r="G14" s="16">
        <v>1.122486815198918E-9</v>
      </c>
      <c r="H14" s="16">
        <v>0.99999999897137581</v>
      </c>
      <c r="I14" s="16">
        <v>1.028624201103832E-9</v>
      </c>
      <c r="J14" s="16">
        <v>9.4491744232742963E-23</v>
      </c>
      <c r="K14" s="16">
        <v>1</v>
      </c>
      <c r="L14" s="16">
        <v>0</v>
      </c>
      <c r="M14" s="16">
        <v>1</v>
      </c>
      <c r="N14" s="17" t="s">
        <v>218</v>
      </c>
    </row>
    <row r="15" spans="1:14" x14ac:dyDescent="0.35">
      <c r="A15" s="16" t="s">
        <v>25</v>
      </c>
      <c r="B15" s="16">
        <v>0.57522490634277323</v>
      </c>
      <c r="C15" s="16">
        <v>0.50000000000000067</v>
      </c>
      <c r="D15" s="16">
        <v>0.53780914653439471</v>
      </c>
      <c r="E15" s="16">
        <v>0.46219085346560529</v>
      </c>
      <c r="F15" s="16">
        <v>0.99768685303905225</v>
      </c>
      <c r="G15" s="16">
        <v>4.7711057129327383E-3</v>
      </c>
      <c r="H15" s="16">
        <v>0.99644818180012895</v>
      </c>
      <c r="I15" s="16">
        <v>3.5518181998710611E-3</v>
      </c>
      <c r="J15" s="16">
        <v>0.99843719446686263</v>
      </c>
      <c r="K15" s="16">
        <v>2.7680125819489068E-3</v>
      </c>
      <c r="L15" s="16">
        <v>0.99781943847317967</v>
      </c>
      <c r="M15" s="16">
        <v>2.1805615268203158E-3</v>
      </c>
      <c r="N15" s="17" t="s">
        <v>218</v>
      </c>
    </row>
    <row r="16" spans="1:14" x14ac:dyDescent="0.35">
      <c r="A16" s="16" t="s">
        <v>26</v>
      </c>
      <c r="B16" s="16">
        <v>7.0771444478710852E-2</v>
      </c>
      <c r="C16" s="16">
        <v>0.93888725506558557</v>
      </c>
      <c r="D16" s="16">
        <v>6.583400801140693E-2</v>
      </c>
      <c r="E16" s="16">
        <v>0.93416599198859307</v>
      </c>
      <c r="F16" s="16">
        <v>0.46190782651296952</v>
      </c>
      <c r="G16" s="16">
        <v>0.56331564741138507</v>
      </c>
      <c r="H16" s="16">
        <v>0.44926626532927483</v>
      </c>
      <c r="I16" s="16">
        <v>0.55073373467072517</v>
      </c>
      <c r="J16" s="16">
        <v>0.99999999999999989</v>
      </c>
      <c r="K16" s="16">
        <v>1.2634210790090489E-16</v>
      </c>
      <c r="L16" s="16">
        <v>0.99999999999999989</v>
      </c>
      <c r="M16" s="16">
        <v>1.295734013874816E-16</v>
      </c>
      <c r="N16" s="17" t="s">
        <v>218</v>
      </c>
    </row>
    <row r="17" spans="1:14" x14ac:dyDescent="0.35">
      <c r="A17" s="16" t="s">
        <v>27</v>
      </c>
      <c r="B17" s="16">
        <v>1.168289654423001E-12</v>
      </c>
      <c r="C17" s="16">
        <v>0.99999999999932698</v>
      </c>
      <c r="D17" s="16">
        <v>1.190381127003093E-12</v>
      </c>
      <c r="E17" s="16">
        <v>0.99999999999880962</v>
      </c>
      <c r="F17" s="16">
        <v>0.999943745209251</v>
      </c>
      <c r="G17" s="16">
        <v>7.2961666211235574E-5</v>
      </c>
      <c r="H17" s="16">
        <v>0.99993473600977689</v>
      </c>
      <c r="I17" s="16">
        <v>6.5263990223053878E-5</v>
      </c>
      <c r="J17" s="16">
        <v>8.746227021178405E-3</v>
      </c>
      <c r="K17" s="16">
        <v>0.99236104546294235</v>
      </c>
      <c r="L17" s="16">
        <v>8.189197777302204E-3</v>
      </c>
      <c r="M17" s="16">
        <v>0.9918108022226978</v>
      </c>
      <c r="N17" s="17" t="s">
        <v>218</v>
      </c>
    </row>
    <row r="18" spans="1:14" x14ac:dyDescent="0.35">
      <c r="A18" s="18" t="s">
        <v>28</v>
      </c>
      <c r="B18" s="18">
        <v>7.7224614927399764E-19</v>
      </c>
      <c r="C18" s="18">
        <v>1</v>
      </c>
      <c r="D18" s="18">
        <v>0</v>
      </c>
      <c r="E18" s="18">
        <v>1</v>
      </c>
      <c r="F18" s="18">
        <v>0.99999902574657795</v>
      </c>
      <c r="G18" s="18">
        <v>1.335807115945141E-6</v>
      </c>
      <c r="H18" s="18">
        <v>0.99999880952351938</v>
      </c>
      <c r="I18" s="18">
        <v>1.1904764806035691E-6</v>
      </c>
      <c r="J18" s="18">
        <v>0.83887463348315316</v>
      </c>
      <c r="K18" s="18">
        <v>0.17351992282908349</v>
      </c>
      <c r="L18" s="18">
        <v>0.83275219080784302</v>
      </c>
      <c r="M18" s="18">
        <v>0.16724780919215701</v>
      </c>
      <c r="N18" s="19" t="s">
        <v>219</v>
      </c>
    </row>
    <row r="19" spans="1:14" x14ac:dyDescent="0.35">
      <c r="A19" s="18" t="s">
        <v>29</v>
      </c>
      <c r="B19" s="18">
        <v>5.5654150471749074E-9</v>
      </c>
      <c r="C19" s="18">
        <v>0.99999999645551363</v>
      </c>
      <c r="D19" s="18">
        <v>5.0596956624460176E-9</v>
      </c>
      <c r="E19" s="18">
        <v>0.99999999494030434</v>
      </c>
      <c r="F19" s="18">
        <v>1</v>
      </c>
      <c r="G19" s="18">
        <v>1.167662653626995E-42</v>
      </c>
      <c r="H19" s="18">
        <v>1</v>
      </c>
      <c r="I19" s="18">
        <v>1.4807805662734379E-41</v>
      </c>
      <c r="J19" s="18">
        <v>1.4509042313489029E-131</v>
      </c>
      <c r="K19" s="18">
        <v>1</v>
      </c>
      <c r="L19" s="18">
        <v>0</v>
      </c>
      <c r="M19" s="18">
        <v>1</v>
      </c>
      <c r="N19" s="19" t="s">
        <v>219</v>
      </c>
    </row>
    <row r="20" spans="1:14" x14ac:dyDescent="0.35">
      <c r="A20" s="18" t="s">
        <v>30</v>
      </c>
      <c r="B20" s="18">
        <v>0.76301913543624389</v>
      </c>
      <c r="C20" s="18">
        <v>0.26086961327395092</v>
      </c>
      <c r="D20" s="18">
        <v>0.7512411119350052</v>
      </c>
      <c r="E20" s="18">
        <v>0.2487588880649948</v>
      </c>
      <c r="F20" s="18">
        <v>1</v>
      </c>
      <c r="G20" s="18">
        <v>1.095340488195752E-140</v>
      </c>
      <c r="H20" s="18">
        <v>1</v>
      </c>
      <c r="I20" s="18">
        <v>2.5883088775877841E-125</v>
      </c>
      <c r="J20" s="18">
        <v>4.3688962072540114E-46</v>
      </c>
      <c r="K20" s="18">
        <v>1</v>
      </c>
      <c r="L20" s="18">
        <v>0</v>
      </c>
      <c r="M20" s="18">
        <v>1</v>
      </c>
      <c r="N20" s="19" t="s">
        <v>219</v>
      </c>
    </row>
    <row r="21" spans="1:14" x14ac:dyDescent="0.35">
      <c r="A21" s="18" t="s">
        <v>31</v>
      </c>
      <c r="B21" s="18">
        <v>0.99999999999978073</v>
      </c>
      <c r="C21" s="18">
        <v>3.853245326059999E-13</v>
      </c>
      <c r="D21" s="18">
        <v>0.99999999999959921</v>
      </c>
      <c r="E21" s="18">
        <v>4.0076178309946868E-13</v>
      </c>
      <c r="F21" s="18">
        <v>1</v>
      </c>
      <c r="G21" s="18">
        <v>6.2023749905363909E-99</v>
      </c>
      <c r="H21" s="18">
        <v>1</v>
      </c>
      <c r="I21" s="18">
        <v>1.07027530703275E-91</v>
      </c>
      <c r="J21" s="18">
        <v>1</v>
      </c>
      <c r="K21" s="18">
        <v>5.4530208150703044E-40</v>
      </c>
      <c r="L21" s="18">
        <v>1</v>
      </c>
      <c r="M21" s="18">
        <v>1.8610250495345619E-39</v>
      </c>
      <c r="N21" s="19" t="s">
        <v>219</v>
      </c>
    </row>
    <row r="22" spans="1:14" x14ac:dyDescent="0.35">
      <c r="A22" s="18" t="s">
        <v>32</v>
      </c>
      <c r="B22" s="18">
        <v>9.9948438318163314E-12</v>
      </c>
      <c r="C22" s="18">
        <v>0.99999999999410327</v>
      </c>
      <c r="D22" s="18">
        <v>9.8231422995809226E-12</v>
      </c>
      <c r="E22" s="18">
        <v>0.99999999999017686</v>
      </c>
      <c r="F22" s="18">
        <v>3.3237267859549253E-8</v>
      </c>
      <c r="G22" s="18">
        <v>0.99999997681351793</v>
      </c>
      <c r="H22" s="18">
        <v>2.9899348996664799E-8</v>
      </c>
      <c r="I22" s="18">
        <v>0.999999970100651</v>
      </c>
      <c r="J22" s="18">
        <v>1</v>
      </c>
      <c r="K22" s="18">
        <v>2.2396742060803381E-290</v>
      </c>
      <c r="L22" s="18">
        <v>1</v>
      </c>
      <c r="M22" s="18">
        <v>5.7787981076509506E-249</v>
      </c>
      <c r="N22" s="19" t="s">
        <v>219</v>
      </c>
    </row>
    <row r="23" spans="1:14" x14ac:dyDescent="0.35">
      <c r="A23" s="20" t="s">
        <v>33</v>
      </c>
      <c r="B23" s="20">
        <v>0.99766543951883324</v>
      </c>
      <c r="C23" s="20">
        <v>2.9486412910011898E-3</v>
      </c>
      <c r="D23" s="20">
        <v>0.99735628298165491</v>
      </c>
      <c r="E23" s="20">
        <v>2.6437170183450541E-3</v>
      </c>
      <c r="F23" s="20">
        <v>1</v>
      </c>
      <c r="G23" s="20">
        <v>4.0798102447988199E-27</v>
      </c>
      <c r="H23" s="20">
        <v>1</v>
      </c>
      <c r="I23" s="20">
        <v>8.9525413614958281E-27</v>
      </c>
      <c r="J23" s="20">
        <v>0.99999998936383228</v>
      </c>
      <c r="K23" s="20">
        <v>1.4153773632414361E-8</v>
      </c>
      <c r="L23" s="20">
        <v>0.99999998710671689</v>
      </c>
      <c r="M23" s="20">
        <v>1.2893283078141211E-8</v>
      </c>
      <c r="N23" s="21" t="s">
        <v>220</v>
      </c>
    </row>
    <row r="24" spans="1:14" x14ac:dyDescent="0.35">
      <c r="A24" s="20" t="s">
        <v>34</v>
      </c>
      <c r="B24" s="20">
        <v>0.99999999999961464</v>
      </c>
      <c r="C24" s="20">
        <v>6.7296703835153783E-13</v>
      </c>
      <c r="D24" s="20">
        <v>0.99999999999930733</v>
      </c>
      <c r="E24" s="20">
        <v>6.9263282631854555E-13</v>
      </c>
      <c r="F24" s="20">
        <v>0.99999999924530059</v>
      </c>
      <c r="G24" s="20">
        <v>1.122486815198918E-9</v>
      </c>
      <c r="H24" s="20">
        <v>0.99999999897137581</v>
      </c>
      <c r="I24" s="20">
        <v>1.028624201103832E-9</v>
      </c>
      <c r="J24" s="20">
        <v>0.99999992530876447</v>
      </c>
      <c r="K24" s="20">
        <v>9.7721362431371429E-8</v>
      </c>
      <c r="L24" s="20">
        <v>0.9999999112260689</v>
      </c>
      <c r="M24" s="20">
        <v>8.8773931058982239E-8</v>
      </c>
      <c r="N24" s="21" t="s">
        <v>220</v>
      </c>
    </row>
    <row r="25" spans="1:14" x14ac:dyDescent="0.35">
      <c r="A25" s="20" t="s">
        <v>35</v>
      </c>
      <c r="B25" s="20">
        <v>1</v>
      </c>
      <c r="C25" s="20">
        <v>9.692158585558598E-39</v>
      </c>
      <c r="D25" s="20">
        <v>1</v>
      </c>
      <c r="E25" s="20">
        <v>1.798186331341236E-37</v>
      </c>
      <c r="F25" s="20">
        <v>0.99936422855090112</v>
      </c>
      <c r="G25" s="20">
        <v>7.9316601342255938E-4</v>
      </c>
      <c r="H25" s="20">
        <v>0.99928340882733779</v>
      </c>
      <c r="I25" s="20">
        <v>7.1659117266223329E-4</v>
      </c>
      <c r="J25" s="20">
        <v>0.99999839724999251</v>
      </c>
      <c r="K25" s="20">
        <v>2.037306704992248E-6</v>
      </c>
      <c r="L25" s="20">
        <v>0.99999814966743983</v>
      </c>
      <c r="M25" s="20">
        <v>1.850332560117049E-6</v>
      </c>
      <c r="N25" s="21" t="s">
        <v>220</v>
      </c>
    </row>
    <row r="26" spans="1:14" x14ac:dyDescent="0.35">
      <c r="A26" s="20" t="s">
        <v>36</v>
      </c>
      <c r="B26" s="20">
        <v>1</v>
      </c>
      <c r="C26" s="20">
        <v>5.4870066049419023E-24</v>
      </c>
      <c r="D26" s="20">
        <v>1</v>
      </c>
      <c r="E26" s="20">
        <v>1.262508831201369E-23</v>
      </c>
      <c r="F26" s="20">
        <v>1</v>
      </c>
      <c r="G26" s="20">
        <v>4.5612915321525122E-21</v>
      </c>
      <c r="H26" s="20">
        <v>1</v>
      </c>
      <c r="I26" s="20">
        <v>6.4751975228547708E-21</v>
      </c>
      <c r="J26" s="20">
        <v>2.1925707043259681E-54</v>
      </c>
      <c r="K26" s="20">
        <v>1</v>
      </c>
      <c r="L26" s="20">
        <v>0</v>
      </c>
      <c r="M26" s="20">
        <v>1</v>
      </c>
      <c r="N26" s="21" t="s">
        <v>220</v>
      </c>
    </row>
    <row r="27" spans="1:14" x14ac:dyDescent="0.35">
      <c r="A27" s="20" t="s">
        <v>37</v>
      </c>
      <c r="B27" s="20">
        <v>3.0305948869746912E-18</v>
      </c>
      <c r="C27" s="20">
        <v>1</v>
      </c>
      <c r="D27" s="20">
        <v>0</v>
      </c>
      <c r="E27" s="20">
        <v>1</v>
      </c>
      <c r="F27" s="20">
        <v>0.99161859979378952</v>
      </c>
      <c r="G27" s="20">
        <v>9.9553397341197985E-3</v>
      </c>
      <c r="H27" s="20">
        <v>0.99083870753316072</v>
      </c>
      <c r="I27" s="20">
        <v>9.1612924668393256E-3</v>
      </c>
      <c r="J27" s="20">
        <v>1</v>
      </c>
      <c r="K27" s="20">
        <v>1.8081972249351491E-41</v>
      </c>
      <c r="L27" s="20">
        <v>1</v>
      </c>
      <c r="M27" s="20">
        <v>6.9429308280555704E-41</v>
      </c>
      <c r="N27" s="21" t="s">
        <v>220</v>
      </c>
    </row>
    <row r="28" spans="1:14" x14ac:dyDescent="0.35">
      <c r="A28" s="22" t="s">
        <v>38</v>
      </c>
      <c r="B28" s="22">
        <v>1.2949402305475899E-50</v>
      </c>
      <c r="C28" s="22">
        <v>1</v>
      </c>
      <c r="D28" s="22">
        <v>0</v>
      </c>
      <c r="E28" s="22">
        <v>1</v>
      </c>
      <c r="F28" s="22">
        <v>4.4484760729544887E-154</v>
      </c>
      <c r="G28" s="22">
        <v>1</v>
      </c>
      <c r="H28" s="22">
        <v>0</v>
      </c>
      <c r="I28" s="22">
        <v>1</v>
      </c>
      <c r="J28" s="22">
        <v>1</v>
      </c>
      <c r="K28" s="22">
        <v>9.0866539402055044E-176</v>
      </c>
      <c r="L28" s="22">
        <v>1</v>
      </c>
      <c r="M28" s="22">
        <v>2.0437318155402129E-161</v>
      </c>
      <c r="N28" s="23" t="s">
        <v>221</v>
      </c>
    </row>
    <row r="29" spans="1:14" x14ac:dyDescent="0.35">
      <c r="A29" s="22" t="s">
        <v>39</v>
      </c>
      <c r="B29" s="22">
        <v>1.6840591736383231E-11</v>
      </c>
      <c r="C29" s="22">
        <v>0.99999999999000511</v>
      </c>
      <c r="D29" s="22">
        <v>1.6418755244274049E-11</v>
      </c>
      <c r="E29" s="22">
        <v>0.99999999998358124</v>
      </c>
      <c r="F29" s="22">
        <v>1.270882463829253E-79</v>
      </c>
      <c r="G29" s="22">
        <v>1</v>
      </c>
      <c r="H29" s="22">
        <v>0</v>
      </c>
      <c r="I29" s="22">
        <v>1</v>
      </c>
      <c r="J29" s="22">
        <v>1</v>
      </c>
      <c r="K29" s="22">
        <v>3.9131088482958679E-277</v>
      </c>
      <c r="L29" s="22">
        <v>1</v>
      </c>
      <c r="M29" s="22">
        <v>1.2336015213384869E-239</v>
      </c>
      <c r="N29" s="23" t="s">
        <v>221</v>
      </c>
    </row>
    <row r="30" spans="1:14" x14ac:dyDescent="0.35">
      <c r="A30" s="22" t="s">
        <v>40</v>
      </c>
      <c r="B30" s="22">
        <v>2.0160533626992649E-12</v>
      </c>
      <c r="C30" s="22">
        <v>0.99999999999883171</v>
      </c>
      <c r="D30" s="22">
        <v>2.0345947149280619E-12</v>
      </c>
      <c r="E30" s="22">
        <v>0.99999999999796541</v>
      </c>
      <c r="F30" s="22">
        <v>1</v>
      </c>
      <c r="G30" s="22">
        <v>3.0794260643292591E-18</v>
      </c>
      <c r="H30" s="22">
        <v>1</v>
      </c>
      <c r="I30" s="22">
        <v>3.7405438955005461E-18</v>
      </c>
      <c r="J30" s="22">
        <v>1</v>
      </c>
      <c r="K30" s="22">
        <v>1.2301873450623459E-34</v>
      </c>
      <c r="L30" s="22">
        <v>1</v>
      </c>
      <c r="M30" s="22">
        <v>2.8564067518692372E-34</v>
      </c>
      <c r="N30" s="23" t="s">
        <v>221</v>
      </c>
    </row>
    <row r="31" spans="1:14" x14ac:dyDescent="0.35">
      <c r="A31" s="22" t="s">
        <v>41</v>
      </c>
      <c r="B31" s="22">
        <v>2.9727623726529142E-4</v>
      </c>
      <c r="C31" s="22">
        <v>0.99977576233067644</v>
      </c>
      <c r="D31" s="22">
        <v>2.6277871913638062E-4</v>
      </c>
      <c r="E31" s="22">
        <v>0.99973722128086362</v>
      </c>
      <c r="F31" s="22">
        <v>7.9316601342255938E-4</v>
      </c>
      <c r="G31" s="22">
        <v>0.99936422855090112</v>
      </c>
      <c r="H31" s="22">
        <v>7.1659117266220651E-4</v>
      </c>
      <c r="I31" s="22">
        <v>0.99928340882733779</v>
      </c>
      <c r="J31" s="22">
        <v>4.204662274469072E-128</v>
      </c>
      <c r="K31" s="22">
        <v>1</v>
      </c>
      <c r="L31" s="22">
        <v>0</v>
      </c>
      <c r="M31" s="22">
        <v>1</v>
      </c>
      <c r="N31" s="23" t="s">
        <v>221</v>
      </c>
    </row>
    <row r="32" spans="1:14" x14ac:dyDescent="0.35">
      <c r="A32" s="22" t="s">
        <v>42</v>
      </c>
      <c r="B32" s="22">
        <v>1.83008522618505E-47</v>
      </c>
      <c r="C32" s="22">
        <v>1</v>
      </c>
      <c r="D32" s="22">
        <v>0</v>
      </c>
      <c r="E32" s="22">
        <v>1</v>
      </c>
      <c r="F32" s="22">
        <v>2.603731892635298E-102</v>
      </c>
      <c r="G32" s="22">
        <v>1</v>
      </c>
      <c r="H32" s="22">
        <v>0</v>
      </c>
      <c r="I32" s="22">
        <v>1</v>
      </c>
      <c r="J32" s="22">
        <v>1</v>
      </c>
      <c r="K32" s="22">
        <v>1.7773806725459211E-263</v>
      </c>
      <c r="L32" s="22">
        <v>1</v>
      </c>
      <c r="M32" s="22">
        <v>8.6552518412246206E-230</v>
      </c>
      <c r="N32" s="23" t="s">
        <v>221</v>
      </c>
    </row>
    <row r="33" spans="1:14" x14ac:dyDescent="0.35">
      <c r="A33" s="24" t="s">
        <v>43</v>
      </c>
      <c r="B33" s="24">
        <v>1.6840591736383231E-11</v>
      </c>
      <c r="C33" s="24">
        <v>0.99999999999000511</v>
      </c>
      <c r="D33" s="24">
        <v>1.6418755244274049E-11</v>
      </c>
      <c r="E33" s="24">
        <v>0.99999999998358124</v>
      </c>
      <c r="F33" s="24">
        <v>0.76827702061238412</v>
      </c>
      <c r="G33" s="24">
        <v>0.2516124661191218</v>
      </c>
      <c r="H33" s="24">
        <v>0.75845281988422231</v>
      </c>
      <c r="I33" s="24">
        <v>0.24154718011577769</v>
      </c>
      <c r="J33" s="24">
        <v>1</v>
      </c>
      <c r="K33" s="24">
        <v>1.171700795460138E-93</v>
      </c>
      <c r="L33" s="24">
        <v>1</v>
      </c>
      <c r="M33" s="24">
        <v>6.8744328397494916E-90</v>
      </c>
      <c r="N33" s="25" t="s">
        <v>222</v>
      </c>
    </row>
    <row r="34" spans="1:14" x14ac:dyDescent="0.35">
      <c r="A34" s="24" t="s">
        <v>44</v>
      </c>
      <c r="B34" s="24">
        <v>4.6298355537997774E-3</v>
      </c>
      <c r="C34" s="24">
        <v>0.99629541745891781</v>
      </c>
      <c r="D34" s="24">
        <v>4.1670722889086687E-3</v>
      </c>
      <c r="E34" s="24">
        <v>0.99583292771109133</v>
      </c>
      <c r="F34" s="24">
        <v>8.6172191085540611E-17</v>
      </c>
      <c r="G34" s="24">
        <v>1</v>
      </c>
      <c r="H34" s="24">
        <v>1.110223024625157E-16</v>
      </c>
      <c r="I34" s="24">
        <v>0.99999999999999989</v>
      </c>
      <c r="J34" s="24">
        <v>1</v>
      </c>
      <c r="K34" s="24">
        <v>3.793131348916651E-132</v>
      </c>
      <c r="L34" s="24">
        <v>1</v>
      </c>
      <c r="M34" s="24">
        <v>2.7619979428426959E-124</v>
      </c>
      <c r="N34" s="25" t="s">
        <v>222</v>
      </c>
    </row>
    <row r="35" spans="1:14" x14ac:dyDescent="0.35">
      <c r="A35" s="24" t="s">
        <v>45</v>
      </c>
      <c r="B35" s="24">
        <v>4.9504061134201882E-6</v>
      </c>
      <c r="C35" s="24">
        <v>0.99999652535152628</v>
      </c>
      <c r="D35" s="24">
        <v>4.3479729709972048E-6</v>
      </c>
      <c r="E35" s="24">
        <v>0.999995652027029</v>
      </c>
      <c r="F35" s="24">
        <v>1.3452860879497699E-25</v>
      </c>
      <c r="G35" s="24">
        <v>1</v>
      </c>
      <c r="H35" s="24">
        <v>0</v>
      </c>
      <c r="I35" s="24">
        <v>1</v>
      </c>
      <c r="J35" s="24">
        <v>0.16112536651684689</v>
      </c>
      <c r="K35" s="24">
        <v>0.85067685735514165</v>
      </c>
      <c r="L35" s="24">
        <v>0.15515054999576311</v>
      </c>
      <c r="M35" s="24">
        <v>0.84484945000423695</v>
      </c>
      <c r="N35" s="25" t="s">
        <v>222</v>
      </c>
    </row>
    <row r="36" spans="1:14" x14ac:dyDescent="0.35">
      <c r="A36" s="24" t="s">
        <v>46</v>
      </c>
      <c r="B36" s="24">
        <v>7.3853968232725039E-8</v>
      </c>
      <c r="C36" s="24">
        <v>0.99999995130455599</v>
      </c>
      <c r="D36" s="24">
        <v>6.5855741970821668E-8</v>
      </c>
      <c r="E36" s="24">
        <v>0.99999993414425803</v>
      </c>
      <c r="F36" s="24">
        <v>7.2961666211235574E-5</v>
      </c>
      <c r="G36" s="24">
        <v>0.999943745209251</v>
      </c>
      <c r="H36" s="24">
        <v>6.5263990223107804E-5</v>
      </c>
      <c r="I36" s="24">
        <v>0.99993473600977689</v>
      </c>
      <c r="J36" s="24">
        <v>0.9787965056724921</v>
      </c>
      <c r="K36" s="24">
        <v>2.385267667127133E-2</v>
      </c>
      <c r="L36" s="24">
        <v>0.97748824579366611</v>
      </c>
      <c r="M36" s="24">
        <v>2.2511754206333931E-2</v>
      </c>
      <c r="N36" s="25" t="s">
        <v>222</v>
      </c>
    </row>
    <row r="37" spans="1:14" x14ac:dyDescent="0.35">
      <c r="A37" s="24" t="s">
        <v>47</v>
      </c>
      <c r="B37" s="24">
        <v>7.773941077768152E-11</v>
      </c>
      <c r="C37" s="24">
        <v>0.99999999995303379</v>
      </c>
      <c r="D37" s="24">
        <v>7.414890923485018E-11</v>
      </c>
      <c r="E37" s="24">
        <v>0.99999999992585109</v>
      </c>
      <c r="F37" s="24">
        <v>1</v>
      </c>
      <c r="G37" s="24">
        <v>4.8164523614397783E-79</v>
      </c>
      <c r="H37" s="24">
        <v>1</v>
      </c>
      <c r="I37" s="24">
        <v>1.3689097047500251E-74</v>
      </c>
      <c r="J37" s="24">
        <v>1</v>
      </c>
      <c r="K37" s="24">
        <v>4.5904208527323692E-19</v>
      </c>
      <c r="L37" s="24">
        <v>1</v>
      </c>
      <c r="M37" s="24">
        <v>5.0336193513219928E-19</v>
      </c>
      <c r="N37" s="25" t="s">
        <v>222</v>
      </c>
    </row>
    <row r="38" spans="1:14" x14ac:dyDescent="0.35">
      <c r="A38" s="26" t="s">
        <v>48</v>
      </c>
      <c r="B38" s="26">
        <v>8.6880052469512098E-9</v>
      </c>
      <c r="C38" s="26">
        <v>0.99999999443458498</v>
      </c>
      <c r="D38" s="26">
        <v>7.8680845172485192E-9</v>
      </c>
      <c r="E38" s="26">
        <v>0.99999999213191548</v>
      </c>
      <c r="F38" s="26">
        <v>4.2965263759612453E-56</v>
      </c>
      <c r="G38" s="26">
        <v>1</v>
      </c>
      <c r="H38" s="26">
        <v>0</v>
      </c>
      <c r="I38" s="26">
        <v>1</v>
      </c>
      <c r="J38" s="26">
        <v>1</v>
      </c>
      <c r="K38" s="26">
        <v>0</v>
      </c>
      <c r="L38" s="26">
        <v>1</v>
      </c>
      <c r="M38" s="26">
        <v>1.2047746639628231E-282</v>
      </c>
      <c r="N38" s="27" t="s">
        <v>223</v>
      </c>
    </row>
    <row r="39" spans="1:14" x14ac:dyDescent="0.35">
      <c r="A39" s="26" t="s">
        <v>49</v>
      </c>
      <c r="B39" s="26">
        <v>2.4113559914503591E-34</v>
      </c>
      <c r="C39" s="26">
        <v>1</v>
      </c>
      <c r="D39" s="26">
        <v>0</v>
      </c>
      <c r="E39" s="26">
        <v>1</v>
      </c>
      <c r="F39" s="26">
        <v>9.0847750432330793E-92</v>
      </c>
      <c r="G39" s="26">
        <v>1</v>
      </c>
      <c r="H39" s="26">
        <v>0</v>
      </c>
      <c r="I39" s="26">
        <v>1</v>
      </c>
      <c r="J39" s="26">
        <v>1</v>
      </c>
      <c r="K39" s="26">
        <v>3.3069844796833391E-271</v>
      </c>
      <c r="L39" s="26">
        <v>1</v>
      </c>
      <c r="M39" s="26">
        <v>2.1699086731189961E-235</v>
      </c>
      <c r="N39" s="27" t="s">
        <v>223</v>
      </c>
    </row>
    <row r="40" spans="1:14" x14ac:dyDescent="0.35">
      <c r="A40" s="26" t="s">
        <v>50</v>
      </c>
      <c r="B40" s="26">
        <v>1</v>
      </c>
      <c r="C40" s="26">
        <v>2.9522028872401471E-30</v>
      </c>
      <c r="D40" s="26">
        <v>1</v>
      </c>
      <c r="E40" s="26">
        <v>1.4312180335167479E-29</v>
      </c>
      <c r="F40" s="26">
        <v>0.99901426546769834</v>
      </c>
      <c r="G40" s="26">
        <v>1.220373200575612E-3</v>
      </c>
      <c r="H40" s="26">
        <v>0.99889467490842754</v>
      </c>
      <c r="I40" s="26">
        <v>1.1053250915724509E-3</v>
      </c>
      <c r="J40" s="26">
        <v>0.36450981315316999</v>
      </c>
      <c r="K40" s="26">
        <v>0.6539182261478429</v>
      </c>
      <c r="L40" s="26">
        <v>0.35524740597000543</v>
      </c>
      <c r="M40" s="26">
        <v>0.64475259402999463</v>
      </c>
      <c r="N40" s="27" t="s">
        <v>223</v>
      </c>
    </row>
    <row r="41" spans="1:14" x14ac:dyDescent="0.35">
      <c r="A41" s="26" t="s">
        <v>51</v>
      </c>
      <c r="B41" s="26">
        <v>1</v>
      </c>
      <c r="C41" s="26">
        <v>5.2525601200730668E-42</v>
      </c>
      <c r="D41" s="26">
        <v>1</v>
      </c>
      <c r="E41" s="26">
        <v>1.810530513421601E-40</v>
      </c>
      <c r="F41" s="26">
        <v>0.99999999999997413</v>
      </c>
      <c r="G41" s="26">
        <v>4.2430642213581307E-14</v>
      </c>
      <c r="H41" s="26">
        <v>0.99999999999995659</v>
      </c>
      <c r="I41" s="26">
        <v>4.3377116745046367E-14</v>
      </c>
      <c r="J41" s="26">
        <v>0.99999999865547318</v>
      </c>
      <c r="K41" s="26">
        <v>1.8199675955030971E-9</v>
      </c>
      <c r="L41" s="26">
        <v>0.99999999833375142</v>
      </c>
      <c r="M41" s="26">
        <v>1.6662486285905281E-9</v>
      </c>
      <c r="N41" s="27" t="s">
        <v>223</v>
      </c>
    </row>
    <row r="42" spans="1:14" x14ac:dyDescent="0.35">
      <c r="A42" s="26" t="s">
        <v>52</v>
      </c>
      <c r="B42" s="26">
        <v>2.6866680931156952E-57</v>
      </c>
      <c r="C42" s="26">
        <v>1</v>
      </c>
      <c r="D42" s="26">
        <v>0</v>
      </c>
      <c r="E42" s="26">
        <v>1</v>
      </c>
      <c r="F42" s="26">
        <v>6.5066924147814262E-113</v>
      </c>
      <c r="G42" s="26">
        <v>1</v>
      </c>
      <c r="H42" s="26">
        <v>0</v>
      </c>
      <c r="I42" s="26">
        <v>1</v>
      </c>
      <c r="J42" s="26">
        <v>1</v>
      </c>
      <c r="K42" s="26">
        <v>9.6560641264066681E-259</v>
      </c>
      <c r="L42" s="26">
        <v>1</v>
      </c>
      <c r="M42" s="26">
        <v>2.530830328500947E-226</v>
      </c>
      <c r="N42" s="27" t="s">
        <v>223</v>
      </c>
    </row>
    <row r="43" spans="1:14" x14ac:dyDescent="0.35">
      <c r="A43" s="24" t="s">
        <v>53</v>
      </c>
      <c r="B43" s="24">
        <v>1.113695060809213E-7</v>
      </c>
      <c r="C43" s="24">
        <v>0.99999992614603173</v>
      </c>
      <c r="D43" s="24">
        <v>9.9071855386156926E-8</v>
      </c>
      <c r="E43" s="24">
        <v>0.99999990092814461</v>
      </c>
      <c r="F43" s="24">
        <v>4.8911942996628134E-3</v>
      </c>
      <c r="G43" s="24">
        <v>0.99594302973241455</v>
      </c>
      <c r="H43" s="24">
        <v>4.4736068869172252E-3</v>
      </c>
      <c r="I43" s="24">
        <v>0.99552639311308277</v>
      </c>
      <c r="J43" s="24">
        <v>1</v>
      </c>
      <c r="K43" s="24">
        <v>5.6752387818882788E-117</v>
      </c>
      <c r="L43" s="24">
        <v>1</v>
      </c>
      <c r="M43" s="24">
        <v>6.6420875238608557E-111</v>
      </c>
      <c r="N43" s="25" t="s">
        <v>224</v>
      </c>
    </row>
    <row r="44" spans="1:14" x14ac:dyDescent="0.35">
      <c r="A44" s="24" t="s">
        <v>54</v>
      </c>
      <c r="B44" s="24">
        <v>8.9801460878349132E-66</v>
      </c>
      <c r="C44" s="24">
        <v>1</v>
      </c>
      <c r="D44" s="24">
        <v>0</v>
      </c>
      <c r="E44" s="24">
        <v>1</v>
      </c>
      <c r="F44" s="24">
        <v>2.969449419363383E-12</v>
      </c>
      <c r="G44" s="24">
        <v>0.9999999999981164</v>
      </c>
      <c r="H44" s="24">
        <v>2.87259105391513E-12</v>
      </c>
      <c r="I44" s="24">
        <v>0.99999999999712741</v>
      </c>
      <c r="J44" s="24">
        <v>1</v>
      </c>
      <c r="K44" s="24">
        <v>1.0678135706374589E-124</v>
      </c>
      <c r="L44" s="24">
        <v>1</v>
      </c>
      <c r="M44" s="24">
        <v>9.5629276796409726E-118</v>
      </c>
      <c r="N44" s="25" t="s">
        <v>224</v>
      </c>
    </row>
    <row r="45" spans="1:14" x14ac:dyDescent="0.35">
      <c r="A45" s="24" t="s">
        <v>55</v>
      </c>
      <c r="B45" s="24">
        <v>0.63275715045003333</v>
      </c>
      <c r="C45" s="24">
        <v>0.39596959597855169</v>
      </c>
      <c r="D45" s="24">
        <v>0.61848769972350237</v>
      </c>
      <c r="E45" s="24">
        <v>0.38151230027649757</v>
      </c>
      <c r="F45" s="24">
        <v>1</v>
      </c>
      <c r="G45" s="24">
        <v>4.2965263759612453E-56</v>
      </c>
      <c r="H45" s="24">
        <v>1</v>
      </c>
      <c r="I45" s="24">
        <v>5.1950533597932512E-54</v>
      </c>
      <c r="J45" s="24">
        <v>0.98529972709649205</v>
      </c>
      <c r="K45" s="24">
        <v>1.6645800222075399E-2</v>
      </c>
      <c r="L45" s="24">
        <v>0.9843371793613741</v>
      </c>
      <c r="M45" s="24">
        <v>1.5662820638625879E-2</v>
      </c>
      <c r="N45" s="25" t="s">
        <v>224</v>
      </c>
    </row>
    <row r="46" spans="1:14" x14ac:dyDescent="0.35">
      <c r="A46" s="24" t="s">
        <v>56</v>
      </c>
      <c r="B46" s="24">
        <v>1</v>
      </c>
      <c r="C46" s="24">
        <v>2.521374157347619E-28</v>
      </c>
      <c r="D46" s="24">
        <v>1</v>
      </c>
      <c r="E46" s="24">
        <v>9.5016663618946908E-28</v>
      </c>
      <c r="F46" s="24">
        <v>1</v>
      </c>
      <c r="G46" s="24">
        <v>5.2351459613256976E-88</v>
      </c>
      <c r="H46" s="24">
        <v>1</v>
      </c>
      <c r="I46" s="24">
        <v>2.1979466828496919E-82</v>
      </c>
      <c r="J46" s="24">
        <v>0.16112536651684689</v>
      </c>
      <c r="K46" s="24">
        <v>0.85067685735514165</v>
      </c>
      <c r="L46" s="24">
        <v>0.15515054999576311</v>
      </c>
      <c r="M46" s="24">
        <v>0.84484945000423695</v>
      </c>
      <c r="N46" s="25" t="s">
        <v>224</v>
      </c>
    </row>
    <row r="47" spans="1:14" x14ac:dyDescent="0.35">
      <c r="A47" s="24" t="s">
        <v>57</v>
      </c>
      <c r="B47" s="24">
        <v>2.089901580498296E-165</v>
      </c>
      <c r="C47" s="24">
        <v>1</v>
      </c>
      <c r="D47" s="24">
        <v>0</v>
      </c>
      <c r="E47" s="24">
        <v>1</v>
      </c>
      <c r="F47" s="24">
        <v>6.6144919240883313E-65</v>
      </c>
      <c r="G47" s="24">
        <v>1</v>
      </c>
      <c r="H47" s="24">
        <v>0</v>
      </c>
      <c r="I47" s="24">
        <v>1</v>
      </c>
      <c r="J47" s="24">
        <v>9.8484234329583541E-7</v>
      </c>
      <c r="K47" s="24">
        <v>0.99999923076979891</v>
      </c>
      <c r="L47" s="24">
        <v>8.940869178353239E-7</v>
      </c>
      <c r="M47" s="24">
        <v>0.99999910591308216</v>
      </c>
      <c r="N47" s="25" t="s">
        <v>224</v>
      </c>
    </row>
    <row r="48" spans="1:14" x14ac:dyDescent="0.35">
      <c r="A48" s="28" t="s">
        <v>58</v>
      </c>
      <c r="B48" s="28">
        <v>1.885928027292221E-31</v>
      </c>
      <c r="C48" s="28">
        <v>1</v>
      </c>
      <c r="D48" s="28">
        <v>0</v>
      </c>
      <c r="E48" s="28">
        <v>1</v>
      </c>
      <c r="F48" s="28">
        <v>2.0650291391172052E-15</v>
      </c>
      <c r="G48" s="28">
        <v>0.99999999999999878</v>
      </c>
      <c r="H48" s="28">
        <v>2.2204460492503131E-15</v>
      </c>
      <c r="I48" s="28">
        <v>0.99999999999999778</v>
      </c>
      <c r="J48" s="28">
        <v>0.99997562887262159</v>
      </c>
      <c r="K48" s="28">
        <v>3.010788026116728E-5</v>
      </c>
      <c r="L48" s="28">
        <v>0.99997253743390035</v>
      </c>
      <c r="M48" s="28">
        <v>2.7462566099614579E-5</v>
      </c>
      <c r="N48" s="29" t="s">
        <v>225</v>
      </c>
    </row>
    <row r="49" spans="1:14" x14ac:dyDescent="0.35">
      <c r="A49" s="28" t="s">
        <v>59</v>
      </c>
      <c r="B49" s="28">
        <v>0.99999999999999811</v>
      </c>
      <c r="C49" s="28">
        <v>3.5800149477577373E-15</v>
      </c>
      <c r="D49" s="28">
        <v>0.99999999999999589</v>
      </c>
      <c r="E49" s="28">
        <v>4.1172859136787213E-15</v>
      </c>
      <c r="F49" s="28">
        <v>2.4526280867415511E-9</v>
      </c>
      <c r="G49" s="28">
        <v>0.99999999833735431</v>
      </c>
      <c r="H49" s="28">
        <v>2.2361313911645202E-9</v>
      </c>
      <c r="I49" s="28">
        <v>0.99999999776386861</v>
      </c>
      <c r="J49" s="28">
        <v>1</v>
      </c>
      <c r="K49" s="28">
        <v>6.4445094715207362E-73</v>
      </c>
      <c r="L49" s="28">
        <v>1</v>
      </c>
      <c r="M49" s="28">
        <v>9.7684246699680762E-71</v>
      </c>
      <c r="N49" s="29" t="s">
        <v>225</v>
      </c>
    </row>
    <row r="50" spans="1:14" x14ac:dyDescent="0.35">
      <c r="A50" s="28" t="s">
        <v>60</v>
      </c>
      <c r="B50" s="28">
        <v>0.68790182259992472</v>
      </c>
      <c r="C50" s="28">
        <v>0.33924030681285811</v>
      </c>
      <c r="D50" s="28">
        <v>0.67446168296108322</v>
      </c>
      <c r="E50" s="28">
        <v>0.32553831703891678</v>
      </c>
      <c r="F50" s="28">
        <v>0.91479567364157521</v>
      </c>
      <c r="G50" s="28">
        <v>9.5587579314308072E-2</v>
      </c>
      <c r="H50" s="28">
        <v>0.90970019175303807</v>
      </c>
      <c r="I50" s="28">
        <v>9.0299808246961932E-2</v>
      </c>
      <c r="J50" s="28">
        <v>1.6583364418153789E-80</v>
      </c>
      <c r="K50" s="28">
        <v>1</v>
      </c>
      <c r="L50" s="28">
        <v>0</v>
      </c>
      <c r="M50" s="28">
        <v>1</v>
      </c>
      <c r="N50" s="29" t="s">
        <v>225</v>
      </c>
    </row>
    <row r="51" spans="1:14" x14ac:dyDescent="0.35">
      <c r="A51" s="28" t="s">
        <v>61</v>
      </c>
      <c r="B51" s="28">
        <v>6.0128866720584896E-28</v>
      </c>
      <c r="C51" s="28">
        <v>1</v>
      </c>
      <c r="D51" s="28">
        <v>0</v>
      </c>
      <c r="E51" s="28">
        <v>1</v>
      </c>
      <c r="F51" s="28">
        <v>0.99161859979378952</v>
      </c>
      <c r="G51" s="28">
        <v>9.9553397341197985E-3</v>
      </c>
      <c r="H51" s="28">
        <v>0.99083870753316072</v>
      </c>
      <c r="I51" s="28">
        <v>9.1612924668393256E-3</v>
      </c>
      <c r="J51" s="28">
        <v>0.72370613686326046</v>
      </c>
      <c r="K51" s="28">
        <v>0.29308490894709688</v>
      </c>
      <c r="L51" s="28">
        <v>0.71537638418824623</v>
      </c>
      <c r="M51" s="28">
        <v>0.28462361581175383</v>
      </c>
      <c r="N51" s="29" t="s">
        <v>225</v>
      </c>
    </row>
    <row r="52" spans="1:14" x14ac:dyDescent="0.35">
      <c r="A52" s="28" t="s">
        <v>62</v>
      </c>
      <c r="B52" s="28">
        <v>6.6978574091944809E-160</v>
      </c>
      <c r="C52" s="28">
        <v>1</v>
      </c>
      <c r="D52" s="28">
        <v>0</v>
      </c>
      <c r="E52" s="28">
        <v>1</v>
      </c>
      <c r="F52" s="28">
        <v>2.8244471163600462E-100</v>
      </c>
      <c r="G52" s="28">
        <v>1</v>
      </c>
      <c r="H52" s="28">
        <v>0</v>
      </c>
      <c r="I52" s="28">
        <v>1</v>
      </c>
      <c r="J52" s="28">
        <v>4.6028370679034483E-244</v>
      </c>
      <c r="K52" s="28">
        <v>1</v>
      </c>
      <c r="L52" s="28">
        <v>0</v>
      </c>
      <c r="M52" s="28">
        <v>1</v>
      </c>
      <c r="N52" s="29" t="s">
        <v>225</v>
      </c>
    </row>
    <row r="53" spans="1:14" x14ac:dyDescent="0.35">
      <c r="A53" s="20" t="s">
        <v>63</v>
      </c>
      <c r="B53" s="20">
        <v>1.1598697554267099E-17</v>
      </c>
      <c r="C53" s="20">
        <v>1</v>
      </c>
      <c r="D53" s="20">
        <v>0</v>
      </c>
      <c r="E53" s="20">
        <v>1</v>
      </c>
      <c r="F53" s="20">
        <v>9.9592948151581392E-270</v>
      </c>
      <c r="G53" s="20">
        <v>1</v>
      </c>
      <c r="H53" s="20">
        <v>0</v>
      </c>
      <c r="I53" s="20">
        <v>1</v>
      </c>
      <c r="J53" s="20">
        <v>1</v>
      </c>
      <c r="K53" s="20">
        <v>8.85319379897486E-232</v>
      </c>
      <c r="L53" s="20">
        <v>1</v>
      </c>
      <c r="M53" s="20">
        <v>4.3774748977971711E-206</v>
      </c>
      <c r="N53" s="21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mnet_v3_small_Class_0_all</vt:lpstr>
      <vt:lpstr>mnet_v3_small_Class_1_all</vt:lpstr>
      <vt:lpstr>mnet_v3_small_Class_2_all</vt:lpstr>
      <vt:lpstr>mnet_v3_small_Class_0_bg</vt:lpstr>
      <vt:lpstr>mnet_v3_small_Class_1_bg</vt:lpstr>
      <vt:lpstr>mnet_v3_small_Class_2_bg</vt:lpstr>
      <vt:lpstr>mnet_v3_small_Class_0_coat</vt:lpstr>
      <vt:lpstr>mnet_v3_small_Class_1_coat</vt:lpstr>
      <vt:lpstr>mnet_v3_small_Class_2_coat</vt:lpstr>
      <vt:lpstr>mnet_v3_small_Class_0_face</vt:lpstr>
      <vt:lpstr>mnet_v3_small_Class_1_face</vt:lpstr>
      <vt:lpstr>mnet_v3_small_Class_2_face</vt:lpstr>
      <vt:lpstr>mnet_v3_small_Class_0_legs</vt:lpstr>
      <vt:lpstr>mnet_v3_small_Class_1_legs</vt:lpstr>
      <vt:lpstr>mnet_v3_small_Class_2_legs</vt:lpstr>
      <vt:lpstr>Summary</vt:lpstr>
      <vt:lpstr>PValue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2026-02-01T13:54:15Z</dcterms:created>
  <dcterms:modified xsi:type="dcterms:W3CDTF">2026-02-01T16:42:27Z</dcterms:modified>
</cp:coreProperties>
</file>