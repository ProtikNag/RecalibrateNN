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rikant1\ONEDRI~1\DOCUME~1\MobaXterm\slash\srikant1_soc5cg44242y1\RemoteFiles\4003332_2_10\"/>
    </mc:Choice>
  </mc:AlternateContent>
  <xr:revisionPtr revIDLastSave="0" documentId="13_ncr:1_{0507BC2B-93C0-4847-8E23-9A430F4A8DBA}" xr6:coauthVersionLast="47" xr6:coauthVersionMax="47" xr10:uidLastSave="{00000000-0000-0000-0000-000000000000}"/>
  <bookViews>
    <workbookView xWindow="-110" yWindow="-110" windowWidth="19420" windowHeight="11500" firstSheet="3" activeTab="4" xr2:uid="{00000000-000D-0000-FFFF-FFFF00000000}"/>
  </bookViews>
  <sheets>
    <sheet name="rnet50_Class_0_all" sheetId="1" state="hidden" r:id="rId1"/>
    <sheet name="rnet50_Class_1_all" sheetId="2" state="hidden" r:id="rId2"/>
    <sheet name="rnet50_Class_2_all" sheetId="3" state="hidden" r:id="rId3"/>
    <sheet name="Summary" sheetId="16" r:id="rId4"/>
    <sheet name="PValue" sheetId="17" r:id="rId5"/>
    <sheet name="rnet50_Class_0_bg" sheetId="4" r:id="rId6"/>
    <sheet name="rnet50_Class_1_bg" sheetId="5" r:id="rId7"/>
    <sheet name="rnet50_Class_2_bg" sheetId="6" r:id="rId8"/>
    <sheet name="rnet50_Class_0_coat" sheetId="7" r:id="rId9"/>
    <sheet name="rnet50_Class_1_coat" sheetId="8" r:id="rId10"/>
    <sheet name="rnet50_Class_2_coat" sheetId="9" r:id="rId11"/>
    <sheet name="rnet50_Class_0_face" sheetId="10" r:id="rId12"/>
    <sheet name="rnet50_Class_1_face" sheetId="11" r:id="rId13"/>
    <sheet name="rnet50_Class_2_face" sheetId="12" r:id="rId14"/>
    <sheet name="rnet50_Class_0_legs" sheetId="13" r:id="rId15"/>
    <sheet name="rnet50_Class_1_legs" sheetId="14" r:id="rId16"/>
    <sheet name="rnet50_Class_2_legs" sheetId="15" r:id="rId17"/>
  </sheets>
  <definedNames>
    <definedName name="_xlnm._FilterDatabase" localSheetId="4" hidden="1">PValue!$A$1:$BJ$55</definedName>
    <definedName name="_xlnm._FilterDatabase" localSheetId="3" hidden="1">Summary!$E$1:$H$55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5" i="16" l="1"/>
  <c r="Q54" i="16"/>
  <c r="Q53" i="16"/>
  <c r="Q52" i="16"/>
  <c r="Q51" i="16"/>
  <c r="Q50" i="16"/>
  <c r="Q49" i="16"/>
  <c r="Q48" i="16"/>
  <c r="Q47" i="16"/>
  <c r="Q46" i="16"/>
  <c r="Q45" i="16"/>
  <c r="Q44" i="16"/>
  <c r="Q43" i="16"/>
  <c r="Q42" i="16"/>
  <c r="Q41" i="16"/>
  <c r="Q40" i="16"/>
  <c r="Q39" i="16"/>
  <c r="Q38" i="16"/>
  <c r="Q37" i="16"/>
  <c r="Q36" i="16"/>
  <c r="Q35" i="16"/>
  <c r="Q34" i="16"/>
  <c r="Q33" i="16"/>
  <c r="Q32" i="16"/>
  <c r="Q31" i="16"/>
  <c r="Q30" i="16"/>
  <c r="Q29" i="16"/>
  <c r="Q28" i="16"/>
  <c r="Q27" i="16"/>
  <c r="Q26" i="16"/>
  <c r="Q25" i="16"/>
  <c r="Q24" i="16"/>
  <c r="Q23" i="16"/>
  <c r="Q22" i="16"/>
  <c r="Q21" i="16"/>
  <c r="Q20" i="16"/>
  <c r="Q19" i="16"/>
  <c r="Q18" i="16"/>
  <c r="Q17" i="16"/>
  <c r="Q16" i="16"/>
  <c r="Q15" i="16"/>
  <c r="Q14" i="16"/>
  <c r="Q13" i="16"/>
  <c r="Q12" i="16"/>
  <c r="Q11" i="16"/>
  <c r="Q10" i="16"/>
  <c r="Q9" i="16"/>
  <c r="Q8" i="16"/>
  <c r="Q7" i="16"/>
  <c r="Q6" i="16"/>
  <c r="Q5" i="16"/>
  <c r="Q4" i="16"/>
  <c r="Q3" i="16"/>
  <c r="Q2" i="16"/>
  <c r="P62" i="16"/>
  <c r="O62" i="16"/>
  <c r="N62" i="16"/>
  <c r="M62" i="16"/>
  <c r="L62" i="16"/>
  <c r="K62" i="16"/>
  <c r="J62" i="16"/>
  <c r="I62" i="16"/>
  <c r="H62" i="16"/>
  <c r="G62" i="16"/>
  <c r="F62" i="16"/>
  <c r="E62" i="16"/>
  <c r="D62" i="16"/>
  <c r="C62" i="16"/>
  <c r="C60" i="16"/>
  <c r="C59" i="16"/>
  <c r="C58" i="16"/>
  <c r="B62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P59" i="16"/>
  <c r="O59" i="16"/>
  <c r="N59" i="16"/>
  <c r="M59" i="16"/>
  <c r="L59" i="16"/>
  <c r="K59" i="16"/>
  <c r="J59" i="16"/>
  <c r="I59" i="16"/>
  <c r="H59" i="16"/>
  <c r="G59" i="16"/>
  <c r="F59" i="16"/>
  <c r="E59" i="16"/>
  <c r="D59" i="16"/>
  <c r="P58" i="16"/>
  <c r="O58" i="16"/>
  <c r="N58" i="16"/>
  <c r="M58" i="16"/>
  <c r="L58" i="16"/>
  <c r="K58" i="16"/>
  <c r="J58" i="16"/>
  <c r="I58" i="16"/>
  <c r="I64" i="16" s="1"/>
  <c r="H58" i="16"/>
  <c r="G58" i="16"/>
  <c r="F58" i="16"/>
  <c r="E58" i="16"/>
  <c r="D58" i="16"/>
  <c r="B60" i="16"/>
  <c r="B59" i="16"/>
  <c r="B58" i="16"/>
  <c r="E63" i="16" l="1"/>
  <c r="F63" i="16"/>
  <c r="G61" i="16"/>
  <c r="H61" i="16"/>
  <c r="D61" i="16"/>
  <c r="B63" i="16"/>
  <c r="O61" i="16"/>
  <c r="J64" i="16"/>
  <c r="K61" i="16"/>
  <c r="L61" i="16"/>
  <c r="M61" i="16"/>
  <c r="N61" i="16"/>
  <c r="P61" i="16"/>
  <c r="E61" i="16"/>
  <c r="F64" i="16"/>
  <c r="G63" i="16"/>
  <c r="K64" i="16"/>
  <c r="F61" i="16"/>
  <c r="G64" i="16"/>
  <c r="H63" i="16"/>
  <c r="H64" i="16"/>
  <c r="I63" i="16"/>
  <c r="J63" i="16"/>
  <c r="I61" i="16"/>
  <c r="K63" i="16"/>
  <c r="J61" i="16"/>
  <c r="L63" i="16"/>
  <c r="B61" i="16"/>
  <c r="L64" i="16"/>
  <c r="M63" i="16"/>
  <c r="M64" i="16"/>
  <c r="N63" i="16"/>
  <c r="B64" i="16"/>
  <c r="N64" i="16"/>
  <c r="O63" i="16"/>
  <c r="C64" i="16"/>
  <c r="O64" i="16"/>
  <c r="P63" i="16"/>
  <c r="P64" i="16"/>
  <c r="D64" i="16"/>
  <c r="D63" i="16"/>
  <c r="E64" i="16"/>
  <c r="C61" i="16"/>
  <c r="C63" i="16"/>
</calcChain>
</file>

<file path=xl/sharedStrings.xml><?xml version="1.0" encoding="utf-8"?>
<sst xmlns="http://schemas.openxmlformats.org/spreadsheetml/2006/main" count="3357" uniqueCount="242">
  <si>
    <t>Layer</t>
  </si>
  <si>
    <t>Positive Sensitivity</t>
  </si>
  <si>
    <t>Negative Sensitivity</t>
  </si>
  <si>
    <t>Proportion of Positive Sensitivity</t>
  </si>
  <si>
    <t>Binomial P-value (Positive)</t>
  </si>
  <si>
    <t>Binomial P-value (Negative)</t>
  </si>
  <si>
    <t>Binomial P-value (Two-sided)</t>
  </si>
  <si>
    <t>Z-test P-value (Positive)</t>
  </si>
  <si>
    <t>Z-test P-value (Negative)</t>
  </si>
  <si>
    <t>Z-test P-value (Two-sided)</t>
  </si>
  <si>
    <t>Hypothesis Test Result</t>
  </si>
  <si>
    <t>conv1</t>
  </si>
  <si>
    <t>Approximation sensitive</t>
  </si>
  <si>
    <t>maxpool</t>
  </si>
  <si>
    <t>layer1.0.conv1</t>
  </si>
  <si>
    <t>layer1.0.conv2</t>
  </si>
  <si>
    <t>layer1.0.conv3</t>
  </si>
  <si>
    <t>layer1.0.downsample.0</t>
  </si>
  <si>
    <t>layer1.1.conv1</t>
  </si>
  <si>
    <t>layer1.1.conv2</t>
  </si>
  <si>
    <t>layer1.1.conv3</t>
  </si>
  <si>
    <t>layer1.2.conv1</t>
  </si>
  <si>
    <t>layer1.2.conv2</t>
  </si>
  <si>
    <t>layer1.2.conv3</t>
  </si>
  <si>
    <t>layer2.0.conv1</t>
  </si>
  <si>
    <t>layer2.0.conv2</t>
  </si>
  <si>
    <t>layer2.0.conv3</t>
  </si>
  <si>
    <t>layer2.0.downsample.0</t>
  </si>
  <si>
    <t>layer2.1.conv1</t>
  </si>
  <si>
    <t>layer2.1.conv2</t>
  </si>
  <si>
    <t>layer2.1.conv3</t>
  </si>
  <si>
    <t>layer2.2.conv1</t>
  </si>
  <si>
    <t>layer2.2.conv2</t>
  </si>
  <si>
    <t>layer2.2.conv3</t>
  </si>
  <si>
    <t>layer2.3.conv1</t>
  </si>
  <si>
    <t>layer2.3.conv2</t>
  </si>
  <si>
    <t>layer2.3.conv3</t>
  </si>
  <si>
    <t>layer3.0.conv1</t>
  </si>
  <si>
    <t>layer3.0.conv2</t>
  </si>
  <si>
    <t>layer3.0.conv3</t>
  </si>
  <si>
    <t>layer3.0.downsample.0</t>
  </si>
  <si>
    <t>layer3.1.conv1</t>
  </si>
  <si>
    <t>layer3.1.conv2</t>
  </si>
  <si>
    <t>layer3.1.conv3</t>
  </si>
  <si>
    <t>layer3.2.conv1</t>
  </si>
  <si>
    <t>layer3.2.conv2</t>
  </si>
  <si>
    <t>layer3.2.conv3</t>
  </si>
  <si>
    <t>layer3.3.conv1</t>
  </si>
  <si>
    <t>layer3.3.conv2</t>
  </si>
  <si>
    <t>layer3.3.conv3</t>
  </si>
  <si>
    <t>layer3.4.conv1</t>
  </si>
  <si>
    <t>layer3.4.conv2</t>
  </si>
  <si>
    <t>layer3.4.conv3</t>
  </si>
  <si>
    <t>layer3.5.conv1</t>
  </si>
  <si>
    <t>layer3.5.conv2</t>
  </si>
  <si>
    <t>layer3.5.conv3</t>
  </si>
  <si>
    <t>layer4.0.conv1</t>
  </si>
  <si>
    <t>layer4.0.conv2</t>
  </si>
  <si>
    <t>layer4.0.conv3</t>
  </si>
  <si>
    <t>layer4.0.downsample.0</t>
  </si>
  <si>
    <t>layer4.1.conv1</t>
  </si>
  <si>
    <t>layer4.1.conv2</t>
  </si>
  <si>
    <t>layer4.1.conv3</t>
  </si>
  <si>
    <t>layer4.2.conv1</t>
  </si>
  <si>
    <t>layer4.2.conv2</t>
  </si>
  <si>
    <t>layer4.2.conv3</t>
  </si>
  <si>
    <t>Class_0_all_Hypothesis Test Result</t>
  </si>
  <si>
    <t>Class_1_all_Hypothesis Test Result</t>
  </si>
  <si>
    <t>Class_2_all_Hypothesis Test Result</t>
  </si>
  <si>
    <t>Class_0_bg_Hypothesis Test Result</t>
  </si>
  <si>
    <t>Class_1_bg_Hypothesis Test Result</t>
  </si>
  <si>
    <t>Class_2_bg_Hypothesis Test Result</t>
  </si>
  <si>
    <t>Class_0_coat_Hypothesis Test Result</t>
  </si>
  <si>
    <t>Class_1_coat_Hypothesis Test Result</t>
  </si>
  <si>
    <t>Class_2_coat_Hypothesis Test Result</t>
  </si>
  <si>
    <t>Class_0_face_Hypothesis Test Result</t>
  </si>
  <si>
    <t>Class_1_face_Hypothesis Test Result</t>
  </si>
  <si>
    <t>Class_2_face_Hypothesis Test Result</t>
  </si>
  <si>
    <t>Class_0_legs_Hypothesis Test Result</t>
  </si>
  <si>
    <t>Class_1_legs_Hypothesis Test Result</t>
  </si>
  <si>
    <t>Class_2_legs_Hypothesis Test Result</t>
  </si>
  <si>
    <t>Class_0_all_Binomial P-value (Positive)</t>
  </si>
  <si>
    <t>Class_0_all_Binomial P-value (Negative)</t>
  </si>
  <si>
    <t>Class_0_all_Z-test P-value (Positive)</t>
  </si>
  <si>
    <t>Class_0_all_Z-test P-value (Negative)</t>
  </si>
  <si>
    <t>Class_1_all_Binomial P-value (Positive)</t>
  </si>
  <si>
    <t>Class_1_all_Binomial P-value (Negative)</t>
  </si>
  <si>
    <t>Class_1_all_Z-test P-value (Positive)</t>
  </si>
  <si>
    <t>Class_1_all_Z-test P-value (Negative)</t>
  </si>
  <si>
    <t>Class_2_all_Binomial P-value (Positive)</t>
  </si>
  <si>
    <t>Class_2_all_Binomial P-value (Negative)</t>
  </si>
  <si>
    <t>Class_2_all_Z-test P-value (Positive)</t>
  </si>
  <si>
    <t>Class_2_all_Z-test P-value (Negative)</t>
  </si>
  <si>
    <t>Class_0_bg_Binomial P-value (Positive)</t>
  </si>
  <si>
    <t>Class_0_bg_Binomial P-value (Negative)</t>
  </si>
  <si>
    <t>Class_0_bg_Z-test P-value (Positive)</t>
  </si>
  <si>
    <t>Class_0_bg_Z-test P-value (Negative)</t>
  </si>
  <si>
    <t>Class_1_bg_Binomial P-value (Positive)</t>
  </si>
  <si>
    <t>Class_1_bg_Binomial P-value (Negative)</t>
  </si>
  <si>
    <t>Class_1_bg_Z-test P-value (Positive)</t>
  </si>
  <si>
    <t>Class_1_bg_Z-test P-value (Negative)</t>
  </si>
  <si>
    <t>Class_2_bg_Binomial P-value (Positive)</t>
  </si>
  <si>
    <t>Class_2_bg_Binomial P-value (Negative)</t>
  </si>
  <si>
    <t>Class_2_bg_Z-test P-value (Positive)</t>
  </si>
  <si>
    <t>Class_2_bg_Z-test P-value (Negative)</t>
  </si>
  <si>
    <t>Class_0_coat_Binomial P-value (Positive)</t>
  </si>
  <si>
    <t>Class_0_coat_Binomial P-value (Negative)</t>
  </si>
  <si>
    <t>Class_0_coat_Z-test P-value (Positive)</t>
  </si>
  <si>
    <t>Class_0_coat_Z-test P-value (Negative)</t>
  </si>
  <si>
    <t>Class_1_coat_Binomial P-value (Positive)</t>
  </si>
  <si>
    <t>Class_1_coat_Binomial P-value (Negative)</t>
  </si>
  <si>
    <t>Class_1_coat_Z-test P-value (Positive)</t>
  </si>
  <si>
    <t>Class_1_coat_Z-test P-value (Negative)</t>
  </si>
  <si>
    <t>Class_2_coat_Binomial P-value (Positive)</t>
  </si>
  <si>
    <t>Class_2_coat_Binomial P-value (Negative)</t>
  </si>
  <si>
    <t>Class_2_coat_Z-test P-value (Positive)</t>
  </si>
  <si>
    <t>Class_2_coat_Z-test P-value (Negative)</t>
  </si>
  <si>
    <t>Class_0_face_Binomial P-value (Positive)</t>
  </si>
  <si>
    <t>Class_0_face_Binomial P-value (Negative)</t>
  </si>
  <si>
    <t>Class_0_face_Z-test P-value (Positive)</t>
  </si>
  <si>
    <t>Class_0_face_Z-test P-value (Negative)</t>
  </si>
  <si>
    <t>Class_1_face_Binomial P-value (Positive)</t>
  </si>
  <si>
    <t>Class_1_face_Binomial P-value (Negative)</t>
  </si>
  <si>
    <t>Class_1_face_Z-test P-value (Positive)</t>
  </si>
  <si>
    <t>Class_1_face_Z-test P-value (Negative)</t>
  </si>
  <si>
    <t>Class_2_face_Binomial P-value (Positive)</t>
  </si>
  <si>
    <t>Class_2_face_Binomial P-value (Negative)</t>
  </si>
  <si>
    <t>Class_2_face_Z-test P-value (Positive)</t>
  </si>
  <si>
    <t>Class_2_face_Z-test P-value (Negative)</t>
  </si>
  <si>
    <t>Class_0_legs_Binomial P-value (Positive)</t>
  </si>
  <si>
    <t>Class_0_legs_Binomial P-value (Negative)</t>
  </si>
  <si>
    <t>Class_0_legs_Z-test P-value (Positive)</t>
  </si>
  <si>
    <t>Class_0_legs_Z-test P-value (Negative)</t>
  </si>
  <si>
    <t>Class_1_legs_Binomial P-value (Positive)</t>
  </si>
  <si>
    <t>Class_1_legs_Binomial P-value (Negative)</t>
  </si>
  <si>
    <t>Class_1_legs_Z-test P-value (Positive)</t>
  </si>
  <si>
    <t>Class_1_legs_Z-test P-value (Negative)</t>
  </si>
  <si>
    <t>Class_2_legs_Binomial P-value (Positive)</t>
  </si>
  <si>
    <t>Class_2_legs_Binomial P-value (Negative)</t>
  </si>
  <si>
    <t>Class_2_legs_Z-test P-value (Positive)</t>
  </si>
  <si>
    <t>Class_2_legs_Z-test P-value (Negative)</t>
  </si>
  <si>
    <t>Purity Index</t>
  </si>
  <si>
    <t>CSI</t>
  </si>
  <si>
    <t>Sum</t>
  </si>
  <si>
    <t>Rows</t>
  </si>
  <si>
    <t>Conv2d</t>
  </si>
  <si>
    <t>Stage1</t>
  </si>
  <si>
    <t>bn1</t>
  </si>
  <si>
    <t>BatchNorm2d</t>
  </si>
  <si>
    <t>relu</t>
  </si>
  <si>
    <t>ReLU</t>
  </si>
  <si>
    <t>MaxPool2d</t>
  </si>
  <si>
    <t>Stage2</t>
  </si>
  <si>
    <t>layer1.0.bn1</t>
  </si>
  <si>
    <t>layer1.0.relu</t>
  </si>
  <si>
    <t>layer1.0.bn2</t>
  </si>
  <si>
    <t>layer1.0.bn3</t>
  </si>
  <si>
    <t>layer1.0.downsample.1</t>
  </si>
  <si>
    <t>layer1.1.bn1</t>
  </si>
  <si>
    <t>layer1.1.relu</t>
  </si>
  <si>
    <t>layer1.1.bn2</t>
  </si>
  <si>
    <t>layer1.1.bn3</t>
  </si>
  <si>
    <t>layer1.1</t>
  </si>
  <si>
    <t>Bottleneck</t>
  </si>
  <si>
    <t>layer1.2.bn1</t>
  </si>
  <si>
    <t>layer1.2.relu</t>
  </si>
  <si>
    <t>layer1.2.bn2</t>
  </si>
  <si>
    <t>layer1.2.bn3</t>
  </si>
  <si>
    <t>layer1.2</t>
  </si>
  <si>
    <t>Stage3</t>
  </si>
  <si>
    <t>layer2.0.bn1</t>
  </si>
  <si>
    <t>layer2.0.relu</t>
  </si>
  <si>
    <t>layer2.0.bn2</t>
  </si>
  <si>
    <t>layer2.0.bn3</t>
  </si>
  <si>
    <t>layer2.0.downsample.1</t>
  </si>
  <si>
    <t>layer2.0</t>
  </si>
  <si>
    <t>layer2.1.bn1</t>
  </si>
  <si>
    <t>layer2.1.relu</t>
  </si>
  <si>
    <t>layer2.1.bn2</t>
  </si>
  <si>
    <t>layer2.1.bn3</t>
  </si>
  <si>
    <t>layer2.1</t>
  </si>
  <si>
    <t>layer2.2.bn1</t>
  </si>
  <si>
    <t>layer2.2.relu</t>
  </si>
  <si>
    <t>layer2.2.bn2</t>
  </si>
  <si>
    <t>layer2.2.bn3</t>
  </si>
  <si>
    <t>layer2.2</t>
  </si>
  <si>
    <t>layer2.3.bn1</t>
  </si>
  <si>
    <t>layer2.3.relu</t>
  </si>
  <si>
    <t>layer2.3.bn2</t>
  </si>
  <si>
    <t>layer2.3.bn3</t>
  </si>
  <si>
    <t>layer2.3</t>
  </si>
  <si>
    <t>Stage4</t>
  </si>
  <si>
    <t>layer3.0.bn1</t>
  </si>
  <si>
    <t>layer3.0.relu</t>
  </si>
  <si>
    <t>layer3.0.bn2</t>
  </si>
  <si>
    <t>layer3.0.bn3</t>
  </si>
  <si>
    <t>layer3.0.downsample.1</t>
  </si>
  <si>
    <t>layer3.0</t>
  </si>
  <si>
    <t>layer3.1.bn1</t>
  </si>
  <si>
    <t>layer3.1.relu</t>
  </si>
  <si>
    <t>layer3.1.bn2</t>
  </si>
  <si>
    <t>layer3.1.bn3</t>
  </si>
  <si>
    <t>layer3.1</t>
  </si>
  <si>
    <t>layer3.2.bn1</t>
  </si>
  <si>
    <t>layer3.2.relu</t>
  </si>
  <si>
    <t>layer3.2.bn2</t>
  </si>
  <si>
    <t>layer3.2.bn3</t>
  </si>
  <si>
    <t>layer3.2</t>
  </si>
  <si>
    <t>layer3.3.bn1</t>
  </si>
  <si>
    <t>layer3.3.relu</t>
  </si>
  <si>
    <t>layer3.3.bn2</t>
  </si>
  <si>
    <t>layer3.3.bn3</t>
  </si>
  <si>
    <t>layer3.3</t>
  </si>
  <si>
    <t>layer3.4.bn1</t>
  </si>
  <si>
    <t>layer3.4.relu</t>
  </si>
  <si>
    <t>layer3.4.bn2</t>
  </si>
  <si>
    <t>layer3.4.bn3</t>
  </si>
  <si>
    <t>layer3.4</t>
  </si>
  <si>
    <t>layer3.5.bn1</t>
  </si>
  <si>
    <t>layer3.5.relu</t>
  </si>
  <si>
    <t>layer3.5.bn2</t>
  </si>
  <si>
    <t>layer3.5.bn3</t>
  </si>
  <si>
    <t>layer3.5</t>
  </si>
  <si>
    <t>Stage5</t>
  </si>
  <si>
    <t>layer4.0.bn1</t>
  </si>
  <si>
    <t>layer4.0.relu</t>
  </si>
  <si>
    <t>layer4.0.bn2</t>
  </si>
  <si>
    <t>layer4.0.bn3</t>
  </si>
  <si>
    <t>layer4.0.downsample.1</t>
  </si>
  <si>
    <t>layer4.0</t>
  </si>
  <si>
    <t>layer4.1.bn1</t>
  </si>
  <si>
    <t>layer4.1.relu</t>
  </si>
  <si>
    <t>layer4.1.bn2</t>
  </si>
  <si>
    <t>layer4.1.bn3</t>
  </si>
  <si>
    <t>layer4.1</t>
  </si>
  <si>
    <t>layer4.2.bn1</t>
  </si>
  <si>
    <t>layer4.2.relu</t>
  </si>
  <si>
    <t>layer4.2.bn2</t>
  </si>
  <si>
    <t>layer4.2.bn3</t>
  </si>
  <si>
    <t>layer4.2</t>
  </si>
  <si>
    <t>avgpool</t>
  </si>
  <si>
    <t>AdaptiveAvgPool2d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</si>
</sst>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5" borderId="0" xfId="0" applyFill="1"/>
    <xf numFmtId="0" fontId="0" fillId="6" borderId="0" xfId="0" applyFill="1" applyAlignment="1">
      <alignment horizontal="left"/>
    </xf>
    <xf numFmtId="0" fontId="0" fillId="6" borderId="0" xfId="0" applyFill="1"/>
    <xf numFmtId="0" fontId="0" fillId="7" borderId="0" xfId="0" applyFill="1" applyAlignment="1">
      <alignment horizontal="left"/>
    </xf>
    <xf numFmtId="0" fontId="0" fillId="7" borderId="0" xfId="0" applyFill="1"/>
    <xf numFmtId="0" fontId="0" fillId="2" borderId="0" xfId="0" applyFill="1" applyAlignment="1">
      <alignment horizontal="left"/>
    </xf>
    <xf numFmtId="11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workbookViewId="0"/>
  </sheetViews>
  <sheetFormatPr defaultRowHeight="14.5" x14ac:dyDescent="0.35"/>
  <cols>
    <col min="1" max="1" width="23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351</v>
      </c>
      <c r="C2" s="2">
        <v>353</v>
      </c>
      <c r="D2" s="2">
        <v>0.49857954545454553</v>
      </c>
      <c r="E2" s="2">
        <v>0.54500593559208865</v>
      </c>
      <c r="F2" s="2">
        <v>0.4849696355118181</v>
      </c>
      <c r="G2" s="2">
        <v>0.9699392710236362</v>
      </c>
      <c r="H2" s="2">
        <v>0.53004295338662577</v>
      </c>
      <c r="I2" s="2">
        <v>0.46995704661337417</v>
      </c>
      <c r="J2" s="2">
        <v>0.93991409322674846</v>
      </c>
      <c r="K2" s="2" t="s">
        <v>12</v>
      </c>
    </row>
    <row r="3" spans="1:11" x14ac:dyDescent="0.35">
      <c r="A3" s="2" t="s">
        <v>13</v>
      </c>
      <c r="B3" s="2">
        <v>355</v>
      </c>
      <c r="C3" s="2">
        <v>349</v>
      </c>
      <c r="D3" s="2">
        <v>0.50426136363636365</v>
      </c>
      <c r="E3" s="2">
        <v>0.42527252356759487</v>
      </c>
      <c r="F3" s="2">
        <v>0.60403040402144836</v>
      </c>
      <c r="G3" s="2">
        <v>0.85054504713518975</v>
      </c>
      <c r="H3" s="2">
        <v>0.41054879177597958</v>
      </c>
      <c r="I3" s="2">
        <v>0.58945120822402042</v>
      </c>
      <c r="J3" s="2">
        <v>0.82109758355195916</v>
      </c>
      <c r="K3" s="2" t="s">
        <v>12</v>
      </c>
    </row>
    <row r="4" spans="1:11" x14ac:dyDescent="0.35">
      <c r="A4" s="2" t="s">
        <v>14</v>
      </c>
      <c r="B4" s="2">
        <v>314</v>
      </c>
      <c r="C4" s="2">
        <v>390</v>
      </c>
      <c r="D4" s="2">
        <v>0.44602272727272729</v>
      </c>
      <c r="E4" s="2">
        <v>0.99816142786523809</v>
      </c>
      <c r="F4" s="2">
        <v>2.334560481166707E-3</v>
      </c>
      <c r="G4" s="2">
        <v>4.669120962333414E-3</v>
      </c>
      <c r="H4" s="2">
        <v>0.99791072121591673</v>
      </c>
      <c r="I4" s="2">
        <v>2.0892787840832449E-3</v>
      </c>
      <c r="J4" s="2">
        <v>4.178557568166541E-3</v>
      </c>
      <c r="K4" s="2" t="s">
        <v>2</v>
      </c>
    </row>
    <row r="5" spans="1:11" x14ac:dyDescent="0.35">
      <c r="A5" s="2" t="s">
        <v>15</v>
      </c>
      <c r="B5" s="2">
        <v>353</v>
      </c>
      <c r="C5" s="2">
        <v>351</v>
      </c>
      <c r="D5" s="2">
        <v>0.50142045454545459</v>
      </c>
      <c r="E5" s="2">
        <v>0.4849696355118181</v>
      </c>
      <c r="F5" s="2">
        <v>0.54500593559208865</v>
      </c>
      <c r="G5" s="2">
        <v>0.9699392710236362</v>
      </c>
      <c r="H5" s="2">
        <v>0.46995704661337301</v>
      </c>
      <c r="I5" s="2">
        <v>0.53004295338662699</v>
      </c>
      <c r="J5" s="2">
        <v>0.93991409322674602</v>
      </c>
      <c r="K5" s="2" t="s">
        <v>12</v>
      </c>
    </row>
    <row r="6" spans="1:11" x14ac:dyDescent="0.35">
      <c r="A6" s="2" t="s">
        <v>16</v>
      </c>
      <c r="B6" s="2">
        <v>370</v>
      </c>
      <c r="C6" s="2">
        <v>334</v>
      </c>
      <c r="D6" s="2">
        <v>0.52556818181818177</v>
      </c>
      <c r="E6" s="2">
        <v>0.1067839002741523</v>
      </c>
      <c r="F6" s="2">
        <v>0.90645347017408007</v>
      </c>
      <c r="G6" s="2">
        <v>0.21356780054830449</v>
      </c>
      <c r="H6" s="2">
        <v>8.7422216805207897E-2</v>
      </c>
      <c r="I6" s="2">
        <v>0.9125777831947921</v>
      </c>
      <c r="J6" s="2">
        <v>0.17484443361041579</v>
      </c>
      <c r="K6" s="2" t="s">
        <v>12</v>
      </c>
    </row>
    <row r="7" spans="1:11" x14ac:dyDescent="0.35">
      <c r="A7" s="2" t="s">
        <v>17</v>
      </c>
      <c r="B7" s="2">
        <v>365</v>
      </c>
      <c r="C7" s="2">
        <v>339</v>
      </c>
      <c r="D7" s="2">
        <v>0.51846590909090906</v>
      </c>
      <c r="E7" s="2">
        <v>0.17304251071291021</v>
      </c>
      <c r="F7" s="2">
        <v>0.84556710823239156</v>
      </c>
      <c r="G7" s="2">
        <v>0.34608502142582048</v>
      </c>
      <c r="H7" s="2">
        <v>0.16356481161757741</v>
      </c>
      <c r="I7" s="2">
        <v>0.83643518838242259</v>
      </c>
      <c r="J7" s="2">
        <v>0.32712962323515482</v>
      </c>
      <c r="K7" s="2" t="s">
        <v>12</v>
      </c>
    </row>
    <row r="8" spans="1:11" x14ac:dyDescent="0.35">
      <c r="A8" s="2" t="s">
        <v>18</v>
      </c>
      <c r="B8" s="2">
        <v>297</v>
      </c>
      <c r="C8" s="2">
        <v>407</v>
      </c>
      <c r="D8" s="2">
        <v>0.421875</v>
      </c>
      <c r="E8" s="2">
        <v>0.99998615736150531</v>
      </c>
      <c r="F8" s="2">
        <v>1.9285241824994172E-5</v>
      </c>
      <c r="G8" s="2">
        <v>3.8570483649988343E-5</v>
      </c>
      <c r="H8" s="2">
        <v>0.99998306712934337</v>
      </c>
      <c r="I8" s="2">
        <v>1.6932870656650061E-5</v>
      </c>
      <c r="J8" s="2">
        <v>3.3865741313254823E-5</v>
      </c>
      <c r="K8" s="2" t="s">
        <v>2</v>
      </c>
    </row>
    <row r="9" spans="1:11" x14ac:dyDescent="0.35">
      <c r="A9" s="2" t="s">
        <v>19</v>
      </c>
      <c r="B9" s="2">
        <v>321</v>
      </c>
      <c r="C9" s="2">
        <v>383</v>
      </c>
      <c r="D9" s="2">
        <v>0.45596590909090912</v>
      </c>
      <c r="E9" s="2">
        <v>0.99124236032330704</v>
      </c>
      <c r="F9" s="2">
        <v>1.07186411397128E-2</v>
      </c>
      <c r="G9" s="2">
        <v>2.143728227942561E-2</v>
      </c>
      <c r="H9" s="2">
        <v>0.99027294186738102</v>
      </c>
      <c r="I9" s="2">
        <v>9.7270581326189907E-3</v>
      </c>
      <c r="J9" s="2">
        <v>1.9454116265237961E-2</v>
      </c>
      <c r="K9" s="2" t="s">
        <v>2</v>
      </c>
    </row>
    <row r="10" spans="1:11" x14ac:dyDescent="0.35">
      <c r="A10" s="2" t="s">
        <v>20</v>
      </c>
      <c r="B10" s="2">
        <v>334</v>
      </c>
      <c r="C10" s="2">
        <v>370</v>
      </c>
      <c r="D10" s="2">
        <v>0.47443181818181818</v>
      </c>
      <c r="E10" s="2">
        <v>0.91843865693126425</v>
      </c>
      <c r="F10" s="2">
        <v>9.3546529825919919E-2</v>
      </c>
      <c r="G10" s="2">
        <v>0.18709305965183981</v>
      </c>
      <c r="H10" s="2">
        <v>0.91257778319479266</v>
      </c>
      <c r="I10" s="2">
        <v>8.7422216805207342E-2</v>
      </c>
      <c r="J10" s="2">
        <v>0.17484443361041471</v>
      </c>
      <c r="K10" s="2" t="s">
        <v>12</v>
      </c>
    </row>
    <row r="11" spans="1:11" x14ac:dyDescent="0.35">
      <c r="A11" s="2" t="s">
        <v>21</v>
      </c>
      <c r="B11" s="2">
        <v>352</v>
      </c>
      <c r="C11" s="2">
        <v>352</v>
      </c>
      <c r="D11" s="2">
        <v>0.5</v>
      </c>
      <c r="E11" s="2">
        <v>0.51503036448818196</v>
      </c>
      <c r="F11" s="2">
        <v>0.51503036448818196</v>
      </c>
      <c r="G11" s="2">
        <v>1</v>
      </c>
      <c r="H11" s="2">
        <v>0.5</v>
      </c>
      <c r="I11" s="2">
        <v>0.5</v>
      </c>
      <c r="J11" s="2">
        <v>1</v>
      </c>
      <c r="K11" s="2" t="s">
        <v>12</v>
      </c>
    </row>
    <row r="12" spans="1:11" x14ac:dyDescent="0.35">
      <c r="A12" s="2" t="s">
        <v>22</v>
      </c>
      <c r="B12" s="2">
        <v>467</v>
      </c>
      <c r="C12" s="2">
        <v>237</v>
      </c>
      <c r="D12" s="2">
        <v>0.66335227272727271</v>
      </c>
      <c r="E12" s="2">
        <v>1.5346390564693779E-18</v>
      </c>
      <c r="F12" s="2">
        <v>1</v>
      </c>
      <c r="G12" s="2">
        <v>3.0692781129387559E-18</v>
      </c>
      <c r="H12" s="2">
        <v>0</v>
      </c>
      <c r="I12" s="2">
        <v>1</v>
      </c>
      <c r="J12" s="2">
        <v>0</v>
      </c>
      <c r="K12" s="2" t="s">
        <v>1</v>
      </c>
    </row>
    <row r="13" spans="1:11" x14ac:dyDescent="0.35">
      <c r="A13" s="2" t="s">
        <v>23</v>
      </c>
      <c r="B13" s="2">
        <v>566</v>
      </c>
      <c r="C13" s="2">
        <v>138</v>
      </c>
      <c r="D13" s="2">
        <v>0.80397727272727271</v>
      </c>
      <c r="E13" s="2">
        <v>1.1679391231761289E-62</v>
      </c>
      <c r="F13" s="2">
        <v>1</v>
      </c>
      <c r="G13" s="2">
        <v>2.3358782463522569E-62</v>
      </c>
      <c r="H13" s="2">
        <v>0</v>
      </c>
      <c r="I13" s="2">
        <v>1</v>
      </c>
      <c r="J13" s="2">
        <v>0</v>
      </c>
      <c r="K13" s="2" t="s">
        <v>1</v>
      </c>
    </row>
    <row r="14" spans="1:11" x14ac:dyDescent="0.35">
      <c r="A14" s="2" t="s">
        <v>24</v>
      </c>
      <c r="B14" s="2">
        <v>375</v>
      </c>
      <c r="C14" s="2">
        <v>329</v>
      </c>
      <c r="D14" s="2">
        <v>0.53267045454545459</v>
      </c>
      <c r="E14" s="2">
        <v>4.4907133435382003E-2</v>
      </c>
      <c r="F14" s="2">
        <v>0.96178842758226124</v>
      </c>
      <c r="G14" s="2">
        <v>8.9814266870763992E-2</v>
      </c>
      <c r="H14" s="2">
        <v>4.1486530362206182E-2</v>
      </c>
      <c r="I14" s="2">
        <v>0.95851346963779382</v>
      </c>
      <c r="J14" s="2">
        <v>8.2973060724412351E-2</v>
      </c>
      <c r="K14" s="2" t="s">
        <v>1</v>
      </c>
    </row>
    <row r="15" spans="1:11" x14ac:dyDescent="0.35">
      <c r="A15" s="2" t="s">
        <v>25</v>
      </c>
      <c r="B15" s="2">
        <v>469</v>
      </c>
      <c r="C15" s="2">
        <v>235</v>
      </c>
      <c r="D15" s="2">
        <v>0.66619318181818177</v>
      </c>
      <c r="E15" s="2">
        <v>7.7224614927399764E-19</v>
      </c>
      <c r="F15" s="2">
        <v>1</v>
      </c>
      <c r="G15" s="2">
        <v>1.5444922985479951E-18</v>
      </c>
      <c r="H15" s="2">
        <v>0</v>
      </c>
      <c r="I15" s="2">
        <v>1</v>
      </c>
      <c r="J15" s="2">
        <v>0</v>
      </c>
      <c r="K15" s="2" t="s">
        <v>1</v>
      </c>
    </row>
    <row r="16" spans="1:11" x14ac:dyDescent="0.35">
      <c r="A16" s="2" t="s">
        <v>26</v>
      </c>
      <c r="B16" s="2">
        <v>470</v>
      </c>
      <c r="C16" s="2">
        <v>234</v>
      </c>
      <c r="D16" s="2">
        <v>0.66761363636363635</v>
      </c>
      <c r="E16" s="2">
        <v>1.918859589311014E-19</v>
      </c>
      <c r="F16" s="2">
        <v>1</v>
      </c>
      <c r="G16" s="2">
        <v>3.837719178622028E-19</v>
      </c>
      <c r="H16" s="2">
        <v>0</v>
      </c>
      <c r="I16" s="2">
        <v>1</v>
      </c>
      <c r="J16" s="2">
        <v>0</v>
      </c>
      <c r="K16" s="2" t="s">
        <v>1</v>
      </c>
    </row>
    <row r="17" spans="1:11" x14ac:dyDescent="0.35">
      <c r="A17" s="2" t="s">
        <v>27</v>
      </c>
      <c r="B17" s="2">
        <v>458</v>
      </c>
      <c r="C17" s="2">
        <v>246</v>
      </c>
      <c r="D17" s="2">
        <v>0.65056818181818177</v>
      </c>
      <c r="E17" s="2">
        <v>1.045738419167208E-15</v>
      </c>
      <c r="F17" s="2">
        <v>0.99999999999999944</v>
      </c>
      <c r="G17" s="2">
        <v>2.0914768383344149E-15</v>
      </c>
      <c r="H17" s="2">
        <v>6.6613381477509392E-16</v>
      </c>
      <c r="I17" s="2">
        <v>0.99999999999999933</v>
      </c>
      <c r="J17" s="2">
        <v>1.332267629550188E-15</v>
      </c>
      <c r="K17" s="2" t="s">
        <v>1</v>
      </c>
    </row>
    <row r="18" spans="1:11" x14ac:dyDescent="0.35">
      <c r="A18" s="2" t="s">
        <v>28</v>
      </c>
      <c r="B18" s="2">
        <v>400</v>
      </c>
      <c r="C18" s="2">
        <v>304</v>
      </c>
      <c r="D18" s="2">
        <v>0.56818181818181823</v>
      </c>
      <c r="E18" s="2">
        <v>1.682231284959967E-4</v>
      </c>
      <c r="F18" s="2">
        <v>0.99987448795888501</v>
      </c>
      <c r="G18" s="2">
        <v>3.3644625699199351E-4</v>
      </c>
      <c r="H18" s="2">
        <v>1.4836615564661759E-4</v>
      </c>
      <c r="I18" s="2">
        <v>0.99985163384435338</v>
      </c>
      <c r="J18" s="2">
        <v>2.9673231129323518E-4</v>
      </c>
      <c r="K18" s="2" t="s">
        <v>1</v>
      </c>
    </row>
    <row r="19" spans="1:11" x14ac:dyDescent="0.35">
      <c r="A19" s="2" t="s">
        <v>29</v>
      </c>
      <c r="B19" s="2">
        <v>368</v>
      </c>
      <c r="C19" s="2">
        <v>336</v>
      </c>
      <c r="D19" s="2">
        <v>0.52272727272727271</v>
      </c>
      <c r="E19" s="2">
        <v>0.12132136960569349</v>
      </c>
      <c r="F19" s="2">
        <v>0.8932160997258477</v>
      </c>
      <c r="G19" s="2">
        <v>0.24264273921138699</v>
      </c>
      <c r="H19" s="2">
        <v>0.11389999699411479</v>
      </c>
      <c r="I19" s="2">
        <v>0.88610000300588521</v>
      </c>
      <c r="J19" s="2">
        <v>0.22779999398822959</v>
      </c>
      <c r="K19" s="2" t="s">
        <v>12</v>
      </c>
    </row>
    <row r="20" spans="1:11" x14ac:dyDescent="0.35">
      <c r="A20" s="2" t="s">
        <v>30</v>
      </c>
      <c r="B20" s="2">
        <v>363</v>
      </c>
      <c r="C20" s="2">
        <v>341</v>
      </c>
      <c r="D20" s="2">
        <v>0.515625</v>
      </c>
      <c r="E20" s="2">
        <v>0.21434594520575251</v>
      </c>
      <c r="F20" s="2">
        <v>0.80697951600757256</v>
      </c>
      <c r="G20" s="2">
        <v>0.42869189041150513</v>
      </c>
      <c r="H20" s="2">
        <v>0.20350801363568721</v>
      </c>
      <c r="I20" s="2">
        <v>0.79649198636431284</v>
      </c>
      <c r="J20" s="2">
        <v>0.40701602727137431</v>
      </c>
      <c r="K20" s="2" t="s">
        <v>12</v>
      </c>
    </row>
    <row r="21" spans="1:11" x14ac:dyDescent="0.35">
      <c r="A21" s="2" t="s">
        <v>31</v>
      </c>
      <c r="B21" s="2">
        <v>367</v>
      </c>
      <c r="C21" s="2">
        <v>337</v>
      </c>
      <c r="D21" s="2">
        <v>0.52130681818181823</v>
      </c>
      <c r="E21" s="2">
        <v>0.1371961135641718</v>
      </c>
      <c r="F21" s="2">
        <v>0.87867863039430649</v>
      </c>
      <c r="G21" s="2">
        <v>0.27439222712834371</v>
      </c>
      <c r="H21" s="2">
        <v>0.12909752379197201</v>
      </c>
      <c r="I21" s="2">
        <v>0.87090247620802796</v>
      </c>
      <c r="J21" s="2">
        <v>0.25819504758394413</v>
      </c>
      <c r="K21" s="2" t="s">
        <v>12</v>
      </c>
    </row>
    <row r="22" spans="1:11" x14ac:dyDescent="0.35">
      <c r="A22" s="2" t="s">
        <v>32</v>
      </c>
      <c r="B22" s="2">
        <v>383</v>
      </c>
      <c r="C22" s="2">
        <v>321</v>
      </c>
      <c r="D22" s="2">
        <v>0.54403409090909094</v>
      </c>
      <c r="E22" s="2">
        <v>1.07186411397128E-2</v>
      </c>
      <c r="F22" s="2">
        <v>0.99124236032330704</v>
      </c>
      <c r="G22" s="2">
        <v>2.143728227942561E-2</v>
      </c>
      <c r="H22" s="2">
        <v>9.727058132618871E-3</v>
      </c>
      <c r="I22" s="2">
        <v>0.99027294186738113</v>
      </c>
      <c r="J22" s="2">
        <v>1.9454116265237738E-2</v>
      </c>
      <c r="K22" s="2" t="s">
        <v>1</v>
      </c>
    </row>
    <row r="23" spans="1:11" x14ac:dyDescent="0.35">
      <c r="A23" s="2" t="s">
        <v>33</v>
      </c>
      <c r="B23" s="2">
        <v>437</v>
      </c>
      <c r="C23" s="2">
        <v>267</v>
      </c>
      <c r="D23" s="2">
        <v>0.62073863636363635</v>
      </c>
      <c r="E23" s="2">
        <v>7.773941077768152E-11</v>
      </c>
      <c r="F23" s="2">
        <v>0.99999999995303379</v>
      </c>
      <c r="G23" s="2">
        <v>1.5547882155536299E-10</v>
      </c>
      <c r="H23" s="2">
        <v>7.414890923485018E-11</v>
      </c>
      <c r="I23" s="2">
        <v>0.99999999992585109</v>
      </c>
      <c r="J23" s="2">
        <v>1.4829781846970041E-10</v>
      </c>
      <c r="K23" s="2" t="s">
        <v>1</v>
      </c>
    </row>
    <row r="24" spans="1:11" x14ac:dyDescent="0.35">
      <c r="A24" s="2" t="s">
        <v>34</v>
      </c>
      <c r="B24" s="2">
        <v>393</v>
      </c>
      <c r="C24" s="2">
        <v>311</v>
      </c>
      <c r="D24" s="2">
        <v>0.55823863636363635</v>
      </c>
      <c r="E24" s="2">
        <v>1.122218591755879E-3</v>
      </c>
      <c r="F24" s="2">
        <v>0.99913027169606761</v>
      </c>
      <c r="G24" s="2">
        <v>2.244437183511758E-3</v>
      </c>
      <c r="H24" s="2">
        <v>9.9912835415094658E-4</v>
      </c>
      <c r="I24" s="2">
        <v>0.99900087164584905</v>
      </c>
      <c r="J24" s="2">
        <v>1.9982567083018932E-3</v>
      </c>
      <c r="K24" s="2" t="s">
        <v>1</v>
      </c>
    </row>
    <row r="25" spans="1:11" x14ac:dyDescent="0.35">
      <c r="A25" s="2" t="s">
        <v>35</v>
      </c>
      <c r="B25" s="2">
        <v>404</v>
      </c>
      <c r="C25" s="2">
        <v>300</v>
      </c>
      <c r="D25" s="2">
        <v>0.57386363636363635</v>
      </c>
      <c r="E25" s="2">
        <v>5.0438205584933382E-5</v>
      </c>
      <c r="F25" s="2">
        <v>0.99996318795309103</v>
      </c>
      <c r="G25" s="2">
        <v>1.008764111698668E-4</v>
      </c>
      <c r="H25" s="2">
        <v>4.4339291497941247E-5</v>
      </c>
      <c r="I25" s="2">
        <v>0.99995566070850206</v>
      </c>
      <c r="J25" s="2">
        <v>8.8678582995882493E-5</v>
      </c>
      <c r="K25" s="2" t="s">
        <v>1</v>
      </c>
    </row>
    <row r="26" spans="1:11" x14ac:dyDescent="0.35">
      <c r="A26" s="2" t="s">
        <v>36</v>
      </c>
      <c r="B26" s="2">
        <v>425</v>
      </c>
      <c r="C26" s="2">
        <v>279</v>
      </c>
      <c r="D26" s="2">
        <v>0.60369318181818177</v>
      </c>
      <c r="E26" s="2">
        <v>3.1923094571434119E-8</v>
      </c>
      <c r="F26" s="2">
        <v>0.99999997919254269</v>
      </c>
      <c r="G26" s="2">
        <v>6.3846189142868239E-8</v>
      </c>
      <c r="H26" s="2">
        <v>1.87134486795415E-8</v>
      </c>
      <c r="I26" s="2">
        <v>0.99999998128655132</v>
      </c>
      <c r="J26" s="2">
        <v>3.7426897359083E-8</v>
      </c>
      <c r="K26" s="2" t="s">
        <v>1</v>
      </c>
    </row>
    <row r="27" spans="1:11" x14ac:dyDescent="0.35">
      <c r="A27" s="2" t="s">
        <v>37</v>
      </c>
      <c r="B27" s="2">
        <v>444</v>
      </c>
      <c r="C27" s="2">
        <v>260</v>
      </c>
      <c r="D27" s="2">
        <v>0.63068181818181823</v>
      </c>
      <c r="E27" s="2">
        <v>2.0160533626992649E-12</v>
      </c>
      <c r="F27" s="2">
        <v>0.99999999999883171</v>
      </c>
      <c r="G27" s="2">
        <v>4.0321067253985298E-12</v>
      </c>
      <c r="H27" s="2">
        <v>2.0345947149280619E-12</v>
      </c>
      <c r="I27" s="2">
        <v>0.99999999999796541</v>
      </c>
      <c r="J27" s="2">
        <v>4.0691894298561238E-12</v>
      </c>
      <c r="K27" s="2" t="s">
        <v>1</v>
      </c>
    </row>
    <row r="28" spans="1:11" x14ac:dyDescent="0.35">
      <c r="A28" s="2" t="s">
        <v>38</v>
      </c>
      <c r="B28" s="2">
        <v>422</v>
      </c>
      <c r="C28" s="2">
        <v>282</v>
      </c>
      <c r="D28" s="2">
        <v>0.59943181818181823</v>
      </c>
      <c r="E28" s="2">
        <v>7.3853968232725039E-8</v>
      </c>
      <c r="F28" s="2">
        <v>0.99999995130455599</v>
      </c>
      <c r="G28" s="2">
        <v>1.477079364654501E-7</v>
      </c>
      <c r="H28" s="2">
        <v>6.5855741970821668E-8</v>
      </c>
      <c r="I28" s="2">
        <v>0.99999993414425803</v>
      </c>
      <c r="J28" s="2">
        <v>1.3171148394164331E-7</v>
      </c>
      <c r="K28" s="2" t="s">
        <v>1</v>
      </c>
    </row>
    <row r="29" spans="1:11" x14ac:dyDescent="0.35">
      <c r="A29" s="2" t="s">
        <v>39</v>
      </c>
      <c r="B29" s="2">
        <v>335</v>
      </c>
      <c r="C29" s="2">
        <v>369</v>
      </c>
      <c r="D29" s="2">
        <v>0.47585227272727271</v>
      </c>
      <c r="E29" s="2">
        <v>0.90645347017408007</v>
      </c>
      <c r="F29" s="2">
        <v>0.1067839002741523</v>
      </c>
      <c r="G29" s="2">
        <v>0.21356780054830449</v>
      </c>
      <c r="H29" s="2">
        <v>0.89997747274533557</v>
      </c>
      <c r="I29" s="2">
        <v>0.1000225272546645</v>
      </c>
      <c r="J29" s="2">
        <v>0.20004505450932891</v>
      </c>
      <c r="K29" s="2" t="s">
        <v>12</v>
      </c>
    </row>
    <row r="30" spans="1:11" x14ac:dyDescent="0.35">
      <c r="A30" s="2" t="s">
        <v>40</v>
      </c>
      <c r="B30" s="2">
        <v>558</v>
      </c>
      <c r="C30" s="2">
        <v>146</v>
      </c>
      <c r="D30" s="2">
        <v>0.79261363636363635</v>
      </c>
      <c r="E30" s="2">
        <v>7.0562677454433879E-58</v>
      </c>
      <c r="F30" s="2">
        <v>1</v>
      </c>
      <c r="G30" s="2">
        <v>1.4112535490886779E-57</v>
      </c>
      <c r="H30" s="2">
        <v>0</v>
      </c>
      <c r="I30" s="2">
        <v>1</v>
      </c>
      <c r="J30" s="2">
        <v>0</v>
      </c>
      <c r="K30" s="2" t="s">
        <v>1</v>
      </c>
    </row>
    <row r="31" spans="1:11" x14ac:dyDescent="0.35">
      <c r="A31" s="2" t="s">
        <v>41</v>
      </c>
      <c r="B31" s="2">
        <v>109</v>
      </c>
      <c r="C31" s="2">
        <v>595</v>
      </c>
      <c r="D31" s="2">
        <v>0.15482954545454539</v>
      </c>
      <c r="E31" s="2">
        <v>1</v>
      </c>
      <c r="F31" s="2">
        <v>6.5456300674276173E-83</v>
      </c>
      <c r="G31" s="2">
        <v>1.309126013485523E-82</v>
      </c>
      <c r="H31" s="2">
        <v>1</v>
      </c>
      <c r="I31" s="2">
        <v>3.0383797633722828E-75</v>
      </c>
      <c r="J31" s="2">
        <v>0</v>
      </c>
      <c r="K31" s="2" t="s">
        <v>2</v>
      </c>
    </row>
    <row r="32" spans="1:11" x14ac:dyDescent="0.35">
      <c r="A32" s="2" t="s">
        <v>42</v>
      </c>
      <c r="B32" s="2">
        <v>123</v>
      </c>
      <c r="C32" s="2">
        <v>581</v>
      </c>
      <c r="D32" s="2">
        <v>0.17471590909090909</v>
      </c>
      <c r="E32" s="2">
        <v>1</v>
      </c>
      <c r="F32" s="2">
        <v>2.6395519188984468E-72</v>
      </c>
      <c r="G32" s="2">
        <v>5.2791038377968947E-72</v>
      </c>
      <c r="H32" s="2">
        <v>1</v>
      </c>
      <c r="I32" s="2">
        <v>4.5829395087811819E-67</v>
      </c>
      <c r="J32" s="2">
        <v>0</v>
      </c>
      <c r="K32" s="2" t="s">
        <v>2</v>
      </c>
    </row>
    <row r="33" spans="1:11" x14ac:dyDescent="0.35">
      <c r="A33" s="2" t="s">
        <v>43</v>
      </c>
      <c r="B33" s="2">
        <v>185</v>
      </c>
      <c r="C33" s="2">
        <v>519</v>
      </c>
      <c r="D33" s="2">
        <v>0.26278409090909088</v>
      </c>
      <c r="E33" s="2">
        <v>1</v>
      </c>
      <c r="F33" s="2">
        <v>2.755242345259783E-38</v>
      </c>
      <c r="G33" s="2">
        <v>5.510484690519566E-38</v>
      </c>
      <c r="H33" s="2">
        <v>1</v>
      </c>
      <c r="I33" s="2">
        <v>1.2275805840685049E-36</v>
      </c>
      <c r="J33" s="2">
        <v>0</v>
      </c>
      <c r="K33" s="2" t="s">
        <v>2</v>
      </c>
    </row>
    <row r="34" spans="1:11" x14ac:dyDescent="0.35">
      <c r="A34" s="2" t="s">
        <v>44</v>
      </c>
      <c r="B34" s="2">
        <v>195</v>
      </c>
      <c r="C34" s="2">
        <v>509</v>
      </c>
      <c r="D34" s="2">
        <v>0.27698863636363641</v>
      </c>
      <c r="E34" s="2">
        <v>1</v>
      </c>
      <c r="F34" s="2">
        <v>1.6755297730258412E-33</v>
      </c>
      <c r="G34" s="2">
        <v>3.3510595460516823E-33</v>
      </c>
      <c r="H34" s="2">
        <v>1</v>
      </c>
      <c r="I34" s="2">
        <v>1.2971835151858049E-32</v>
      </c>
      <c r="J34" s="2">
        <v>0</v>
      </c>
      <c r="K34" s="2" t="s">
        <v>2</v>
      </c>
    </row>
    <row r="35" spans="1:11" x14ac:dyDescent="0.35">
      <c r="A35" s="2" t="s">
        <v>45</v>
      </c>
      <c r="B35" s="2">
        <v>276</v>
      </c>
      <c r="C35" s="2">
        <v>428</v>
      </c>
      <c r="D35" s="2">
        <v>0.39204545454545447</v>
      </c>
      <c r="E35" s="2">
        <v>0.99999999645551363</v>
      </c>
      <c r="F35" s="2">
        <v>5.5654150471749074E-9</v>
      </c>
      <c r="G35" s="2">
        <v>1.113083009434981E-8</v>
      </c>
      <c r="H35" s="2">
        <v>0.99999999494030434</v>
      </c>
      <c r="I35" s="2">
        <v>5.0596957075444564E-9</v>
      </c>
      <c r="J35" s="2">
        <v>1.011939132489204E-8</v>
      </c>
      <c r="K35" s="2" t="s">
        <v>2</v>
      </c>
    </row>
    <row r="36" spans="1:11" x14ac:dyDescent="0.35">
      <c r="A36" s="2" t="s">
        <v>46</v>
      </c>
      <c r="B36" s="2">
        <v>258</v>
      </c>
      <c r="C36" s="2">
        <v>446</v>
      </c>
      <c r="D36" s="2">
        <v>0.36647727272727271</v>
      </c>
      <c r="E36" s="2">
        <v>0.99999999999961464</v>
      </c>
      <c r="F36" s="2">
        <v>6.7296703835153783E-13</v>
      </c>
      <c r="G36" s="2">
        <v>1.3459340767030761E-12</v>
      </c>
      <c r="H36" s="2">
        <v>0.99999999999930733</v>
      </c>
      <c r="I36" s="2">
        <v>6.9263282631854555E-13</v>
      </c>
      <c r="J36" s="2">
        <v>1.3853362901272699E-12</v>
      </c>
      <c r="K36" s="2" t="s">
        <v>2</v>
      </c>
    </row>
    <row r="37" spans="1:11" x14ac:dyDescent="0.35">
      <c r="A37" s="2" t="s">
        <v>47</v>
      </c>
      <c r="B37" s="2">
        <v>375</v>
      </c>
      <c r="C37" s="2">
        <v>329</v>
      </c>
      <c r="D37" s="2">
        <v>0.53267045454545459</v>
      </c>
      <c r="E37" s="2">
        <v>4.4907133435382003E-2</v>
      </c>
      <c r="F37" s="2">
        <v>0.96178842758226124</v>
      </c>
      <c r="G37" s="2">
        <v>8.9814266870763992E-2</v>
      </c>
      <c r="H37" s="2">
        <v>4.1486530362206182E-2</v>
      </c>
      <c r="I37" s="2">
        <v>0.95851346963779382</v>
      </c>
      <c r="J37" s="2">
        <v>8.2973060724412351E-2</v>
      </c>
      <c r="K37" s="2" t="s">
        <v>1</v>
      </c>
    </row>
    <row r="38" spans="1:11" x14ac:dyDescent="0.35">
      <c r="A38" s="2" t="s">
        <v>48</v>
      </c>
      <c r="B38" s="2">
        <v>278</v>
      </c>
      <c r="C38" s="2">
        <v>426</v>
      </c>
      <c r="D38" s="2">
        <v>0.39488636363636359</v>
      </c>
      <c r="E38" s="2">
        <v>0.9999999913119948</v>
      </c>
      <c r="F38" s="2">
        <v>1.348421393509673E-8</v>
      </c>
      <c r="G38" s="2">
        <v>2.6968427870193469E-8</v>
      </c>
      <c r="H38" s="2">
        <v>0.99999998783221156</v>
      </c>
      <c r="I38" s="2">
        <v>1.2167788454856519E-8</v>
      </c>
      <c r="J38" s="2">
        <v>2.4335576886969079E-8</v>
      </c>
      <c r="K38" s="2" t="s">
        <v>2</v>
      </c>
    </row>
    <row r="39" spans="1:11" x14ac:dyDescent="0.35">
      <c r="A39" s="2" t="s">
        <v>49</v>
      </c>
      <c r="B39" s="2">
        <v>314</v>
      </c>
      <c r="C39" s="2">
        <v>390</v>
      </c>
      <c r="D39" s="2">
        <v>0.44602272727272729</v>
      </c>
      <c r="E39" s="2">
        <v>0.99816142786523809</v>
      </c>
      <c r="F39" s="2">
        <v>2.334560481166707E-3</v>
      </c>
      <c r="G39" s="2">
        <v>4.669120962333414E-3</v>
      </c>
      <c r="H39" s="2">
        <v>0.99791072121591673</v>
      </c>
      <c r="I39" s="2">
        <v>2.0892787840832449E-3</v>
      </c>
      <c r="J39" s="2">
        <v>4.178557568166541E-3</v>
      </c>
      <c r="K39" s="2" t="s">
        <v>2</v>
      </c>
    </row>
    <row r="40" spans="1:11" x14ac:dyDescent="0.35">
      <c r="A40" s="2" t="s">
        <v>50</v>
      </c>
      <c r="B40" s="2">
        <v>197</v>
      </c>
      <c r="C40" s="2">
        <v>507</v>
      </c>
      <c r="D40" s="2">
        <v>0.27982954545454553</v>
      </c>
      <c r="E40" s="2">
        <v>1</v>
      </c>
      <c r="F40" s="2">
        <v>1.131901841898363E-32</v>
      </c>
      <c r="G40" s="2">
        <v>2.2638036837967261E-32</v>
      </c>
      <c r="H40" s="2">
        <v>1</v>
      </c>
      <c r="I40" s="2">
        <v>7.7335210701039428E-32</v>
      </c>
      <c r="J40" s="2">
        <v>0</v>
      </c>
      <c r="K40" s="2" t="s">
        <v>2</v>
      </c>
    </row>
    <row r="41" spans="1:11" x14ac:dyDescent="0.35">
      <c r="A41" s="2" t="s">
        <v>51</v>
      </c>
      <c r="B41" s="2">
        <v>151</v>
      </c>
      <c r="C41" s="2">
        <v>553</v>
      </c>
      <c r="D41" s="2">
        <v>0.21448863636363641</v>
      </c>
      <c r="E41" s="2">
        <v>1</v>
      </c>
      <c r="F41" s="2">
        <v>5.1856979116479421E-55</v>
      </c>
      <c r="G41" s="2">
        <v>1.037139582329588E-54</v>
      </c>
      <c r="H41" s="2">
        <v>1</v>
      </c>
      <c r="I41" s="2">
        <v>3.7342438086888599E-52</v>
      </c>
      <c r="J41" s="2">
        <v>0</v>
      </c>
      <c r="K41" s="2" t="s">
        <v>2</v>
      </c>
    </row>
    <row r="42" spans="1:11" x14ac:dyDescent="0.35">
      <c r="A42" s="2" t="s">
        <v>52</v>
      </c>
      <c r="B42" s="2">
        <v>95</v>
      </c>
      <c r="C42" s="2">
        <v>609</v>
      </c>
      <c r="D42" s="2">
        <v>0.1349431818181818</v>
      </c>
      <c r="E42" s="2">
        <v>1</v>
      </c>
      <c r="F42" s="2">
        <v>5.8457810095231113E-93</v>
      </c>
      <c r="G42" s="2">
        <v>1.1691562019046219E-92</v>
      </c>
      <c r="H42" s="2">
        <v>1</v>
      </c>
      <c r="I42" s="2">
        <v>6.6360936160072326E-84</v>
      </c>
      <c r="J42" s="2">
        <v>0</v>
      </c>
      <c r="K42" s="2" t="s">
        <v>2</v>
      </c>
    </row>
    <row r="43" spans="1:11" x14ac:dyDescent="0.35">
      <c r="A43" s="2" t="s">
        <v>53</v>
      </c>
      <c r="B43" s="2">
        <v>67</v>
      </c>
      <c r="C43" s="2">
        <v>637</v>
      </c>
      <c r="D43" s="2">
        <v>9.5170454545454544E-2</v>
      </c>
      <c r="E43" s="2">
        <v>1</v>
      </c>
      <c r="F43" s="2">
        <v>8.6963136015925153E-118</v>
      </c>
      <c r="G43" s="2">
        <v>1.7392627203185031E-117</v>
      </c>
      <c r="H43" s="2">
        <v>1</v>
      </c>
      <c r="I43" s="2">
        <v>1.1303164683487641E-102</v>
      </c>
      <c r="J43" s="2">
        <v>0</v>
      </c>
      <c r="K43" s="2" t="s">
        <v>2</v>
      </c>
    </row>
    <row r="44" spans="1:11" x14ac:dyDescent="0.35">
      <c r="A44" s="2" t="s">
        <v>54</v>
      </c>
      <c r="B44" s="2">
        <v>25</v>
      </c>
      <c r="C44" s="2">
        <v>679</v>
      </c>
      <c r="D44" s="2">
        <v>3.551136363636364E-2</v>
      </c>
      <c r="E44" s="2">
        <v>1</v>
      </c>
      <c r="F44" s="2">
        <v>7.9899061529616995E-167</v>
      </c>
      <c r="G44" s="2">
        <v>1.5979812305923399E-166</v>
      </c>
      <c r="H44" s="2">
        <v>1</v>
      </c>
      <c r="I44" s="2">
        <v>1.9070133733283601E-134</v>
      </c>
      <c r="J44" s="2">
        <v>0</v>
      </c>
      <c r="K44" s="2" t="s">
        <v>2</v>
      </c>
    </row>
    <row r="45" spans="1:11" x14ac:dyDescent="0.35">
      <c r="A45" s="2" t="s">
        <v>55</v>
      </c>
      <c r="B45" s="2">
        <v>5</v>
      </c>
      <c r="C45" s="2">
        <v>699</v>
      </c>
      <c r="D45" s="2">
        <v>7.102272727272727E-3</v>
      </c>
      <c r="E45" s="2">
        <v>1</v>
      </c>
      <c r="F45" s="2">
        <v>1.7001674144718879E-200</v>
      </c>
      <c r="G45" s="2">
        <v>3.4003348289437747E-200</v>
      </c>
      <c r="H45" s="2">
        <v>1</v>
      </c>
      <c r="I45" s="2">
        <v>4.1990093046712578E-151</v>
      </c>
      <c r="J45" s="2">
        <v>0</v>
      </c>
      <c r="K45" s="2" t="s">
        <v>2</v>
      </c>
    </row>
    <row r="46" spans="1:11" x14ac:dyDescent="0.35">
      <c r="A46" s="2" t="s">
        <v>56</v>
      </c>
      <c r="B46" s="2">
        <v>530</v>
      </c>
      <c r="C46" s="2">
        <v>174</v>
      </c>
      <c r="D46" s="2">
        <v>0.75284090909090906</v>
      </c>
      <c r="E46" s="2">
        <v>5.727499916965907E-43</v>
      </c>
      <c r="F46" s="2">
        <v>1</v>
      </c>
      <c r="G46" s="2">
        <v>1.1454999833931809E-42</v>
      </c>
      <c r="H46" s="2">
        <v>0</v>
      </c>
      <c r="I46" s="2">
        <v>1</v>
      </c>
      <c r="J46" s="2">
        <v>0</v>
      </c>
      <c r="K46" s="2" t="s">
        <v>1</v>
      </c>
    </row>
    <row r="47" spans="1:11" x14ac:dyDescent="0.35">
      <c r="A47" s="2" t="s">
        <v>57</v>
      </c>
      <c r="B47" s="2">
        <v>662</v>
      </c>
      <c r="C47" s="2">
        <v>42</v>
      </c>
      <c r="D47" s="2">
        <v>0.94034090909090906</v>
      </c>
      <c r="E47" s="2">
        <v>1.027366975828463E-144</v>
      </c>
      <c r="F47" s="2">
        <v>1</v>
      </c>
      <c r="G47" s="2">
        <v>2.0547339516569251E-144</v>
      </c>
      <c r="H47" s="2">
        <v>0</v>
      </c>
      <c r="I47" s="2">
        <v>1</v>
      </c>
      <c r="J47" s="2">
        <v>0</v>
      </c>
      <c r="K47" s="2" t="s">
        <v>1</v>
      </c>
    </row>
    <row r="48" spans="1:11" x14ac:dyDescent="0.35">
      <c r="A48" s="2" t="s">
        <v>58</v>
      </c>
      <c r="B48" s="2">
        <v>542</v>
      </c>
      <c r="C48" s="2">
        <v>162</v>
      </c>
      <c r="D48" s="2">
        <v>0.76988636363636365</v>
      </c>
      <c r="E48" s="2">
        <v>5.0459623456448502E-49</v>
      </c>
      <c r="F48" s="2">
        <v>1</v>
      </c>
      <c r="G48" s="2">
        <v>1.00919246912897E-48</v>
      </c>
      <c r="H48" s="2">
        <v>0</v>
      </c>
      <c r="I48" s="2">
        <v>1</v>
      </c>
      <c r="J48" s="2">
        <v>0</v>
      </c>
      <c r="K48" s="2" t="s">
        <v>1</v>
      </c>
    </row>
    <row r="49" spans="1:11" x14ac:dyDescent="0.35">
      <c r="A49" s="2" t="s">
        <v>59</v>
      </c>
      <c r="B49" s="2">
        <v>376</v>
      </c>
      <c r="C49" s="2">
        <v>328</v>
      </c>
      <c r="D49" s="2">
        <v>0.53409090909090906</v>
      </c>
      <c r="E49" s="2">
        <v>3.8211572417738697E-2</v>
      </c>
      <c r="F49" s="2">
        <v>0.9676470434726987</v>
      </c>
      <c r="G49" s="2">
        <v>7.6423144835477408E-2</v>
      </c>
      <c r="H49" s="2">
        <v>3.5220214636044078E-2</v>
      </c>
      <c r="I49" s="2">
        <v>0.96477978536395592</v>
      </c>
      <c r="J49" s="2">
        <v>7.0440429272088156E-2</v>
      </c>
      <c r="K49" s="2" t="s">
        <v>1</v>
      </c>
    </row>
    <row r="50" spans="1:11" x14ac:dyDescent="0.35">
      <c r="A50" s="2" t="s">
        <v>60</v>
      </c>
      <c r="B50" s="2">
        <v>402</v>
      </c>
      <c r="C50" s="2">
        <v>302</v>
      </c>
      <c r="D50" s="2">
        <v>0.57102272727272729</v>
      </c>
      <c r="E50" s="2">
        <v>9.3132563399741616E-5</v>
      </c>
      <c r="F50" s="2">
        <v>0.99993127286383343</v>
      </c>
      <c r="G50" s="2">
        <v>1.8626512679948321E-4</v>
      </c>
      <c r="H50" s="2">
        <v>8.1986969491132378E-5</v>
      </c>
      <c r="I50" s="2">
        <v>0.99991801303050887</v>
      </c>
      <c r="J50" s="2">
        <v>1.6397393898226481E-4</v>
      </c>
      <c r="K50" s="2" t="s">
        <v>1</v>
      </c>
    </row>
    <row r="51" spans="1:11" x14ac:dyDescent="0.35">
      <c r="A51" s="2" t="s">
        <v>61</v>
      </c>
      <c r="B51" s="2">
        <v>225</v>
      </c>
      <c r="C51" s="2">
        <v>479</v>
      </c>
      <c r="D51" s="2">
        <v>0.31960227272727271</v>
      </c>
      <c r="E51" s="2">
        <v>1</v>
      </c>
      <c r="F51" s="2">
        <v>2.66113438101818E-22</v>
      </c>
      <c r="G51" s="2">
        <v>5.3222687620363591E-22</v>
      </c>
      <c r="H51" s="2">
        <v>1</v>
      </c>
      <c r="I51" s="2">
        <v>5.1931293277504298E-22</v>
      </c>
      <c r="J51" s="2">
        <v>0</v>
      </c>
      <c r="K51" s="2" t="s">
        <v>2</v>
      </c>
    </row>
    <row r="52" spans="1:11" x14ac:dyDescent="0.35">
      <c r="A52" s="2" t="s">
        <v>62</v>
      </c>
      <c r="B52" s="2">
        <v>654</v>
      </c>
      <c r="C52" s="2">
        <v>50</v>
      </c>
      <c r="D52" s="2">
        <v>0.92897727272727271</v>
      </c>
      <c r="E52" s="2">
        <v>1.7013931268919171E-135</v>
      </c>
      <c r="F52" s="2">
        <v>1</v>
      </c>
      <c r="G52" s="2">
        <v>3.4027862537838329E-135</v>
      </c>
      <c r="H52" s="2">
        <v>0</v>
      </c>
      <c r="I52" s="2">
        <v>1</v>
      </c>
      <c r="J52" s="2">
        <v>0</v>
      </c>
      <c r="K52" s="2" t="s">
        <v>1</v>
      </c>
    </row>
    <row r="53" spans="1:11" x14ac:dyDescent="0.35">
      <c r="A53" s="2" t="s">
        <v>63</v>
      </c>
      <c r="B53" s="2">
        <v>81</v>
      </c>
      <c r="C53" s="2">
        <v>623</v>
      </c>
      <c r="D53" s="2">
        <v>0.1150568181818182</v>
      </c>
      <c r="E53" s="2">
        <v>1</v>
      </c>
      <c r="F53" s="2">
        <v>8.8247572463066848E-105</v>
      </c>
      <c r="G53" s="2">
        <v>1.764951449261337E-104</v>
      </c>
      <c r="H53" s="2">
        <v>1</v>
      </c>
      <c r="I53" s="2">
        <v>4.7731738252445284E-93</v>
      </c>
      <c r="J53" s="2">
        <v>0</v>
      </c>
      <c r="K53" s="2" t="s">
        <v>2</v>
      </c>
    </row>
    <row r="54" spans="1:11" x14ac:dyDescent="0.35">
      <c r="A54" s="2" t="s">
        <v>64</v>
      </c>
      <c r="B54" s="2">
        <v>594</v>
      </c>
      <c r="C54" s="2">
        <v>110</v>
      </c>
      <c r="D54" s="2">
        <v>0.84375</v>
      </c>
      <c r="E54" s="2">
        <v>1.945343773751816E-81</v>
      </c>
      <c r="F54" s="2">
        <v>1</v>
      </c>
      <c r="G54" s="2">
        <v>3.890687547503632E-81</v>
      </c>
      <c r="H54" s="2">
        <v>0</v>
      </c>
      <c r="I54" s="2">
        <v>1</v>
      </c>
      <c r="J54" s="2">
        <v>0</v>
      </c>
      <c r="K54" s="2" t="s">
        <v>1</v>
      </c>
    </row>
    <row r="55" spans="1:11" x14ac:dyDescent="0.35">
      <c r="A55" s="2" t="s">
        <v>65</v>
      </c>
      <c r="B55" s="2">
        <v>704</v>
      </c>
      <c r="C55" s="2">
        <v>0</v>
      </c>
      <c r="D55" s="2">
        <v>1</v>
      </c>
      <c r="E55" s="2">
        <v>1.1881822289344749E-212</v>
      </c>
      <c r="F55" s="2">
        <v>1</v>
      </c>
      <c r="G55" s="2">
        <v>2.3763644578689498E-212</v>
      </c>
      <c r="H55" s="2">
        <v>0</v>
      </c>
      <c r="I55" s="2">
        <v>1</v>
      </c>
      <c r="J55" s="2">
        <v>0</v>
      </c>
      <c r="K55" s="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5"/>
  <sheetViews>
    <sheetView workbookViewId="0"/>
  </sheetViews>
  <sheetFormatPr defaultRowHeight="14.5" x14ac:dyDescent="0.35"/>
  <cols>
    <col min="1" max="1" width="23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364</v>
      </c>
      <c r="C2" s="2">
        <v>340</v>
      </c>
      <c r="D2" s="2">
        <v>0.51704545454545459</v>
      </c>
      <c r="E2" s="2">
        <v>0.19302048399242741</v>
      </c>
      <c r="F2" s="2">
        <v>0.82695748928708979</v>
      </c>
      <c r="G2" s="2">
        <v>0.38604096798485482</v>
      </c>
      <c r="H2" s="2">
        <v>0.18285614814075599</v>
      </c>
      <c r="I2" s="2">
        <v>0.81714385185924399</v>
      </c>
      <c r="J2" s="2">
        <v>0.36571229628151197</v>
      </c>
      <c r="K2" s="2" t="s">
        <v>12</v>
      </c>
    </row>
    <row r="3" spans="1:11" x14ac:dyDescent="0.35">
      <c r="A3" s="2" t="s">
        <v>13</v>
      </c>
      <c r="B3" s="2">
        <v>612</v>
      </c>
      <c r="C3" s="2">
        <v>92</v>
      </c>
      <c r="D3" s="2">
        <v>0.86931818181818177</v>
      </c>
      <c r="E3" s="2">
        <v>2.1142922395084159E-95</v>
      </c>
      <c r="F3" s="2">
        <v>1</v>
      </c>
      <c r="G3" s="2">
        <v>4.2285844790168312E-95</v>
      </c>
      <c r="H3" s="2">
        <v>0</v>
      </c>
      <c r="I3" s="2">
        <v>1</v>
      </c>
      <c r="J3" s="2">
        <v>0</v>
      </c>
      <c r="K3" s="2" t="s">
        <v>1</v>
      </c>
    </row>
    <row r="4" spans="1:11" x14ac:dyDescent="0.35">
      <c r="A4" s="2" t="s">
        <v>14</v>
      </c>
      <c r="B4" s="2">
        <v>625</v>
      </c>
      <c r="C4" s="2">
        <v>79</v>
      </c>
      <c r="D4" s="2">
        <v>0.88778409090909094</v>
      </c>
      <c r="E4" s="2">
        <v>1.460229168655794E-106</v>
      </c>
      <c r="F4" s="2">
        <v>1</v>
      </c>
      <c r="G4" s="2">
        <v>2.9204583373115889E-106</v>
      </c>
      <c r="H4" s="2">
        <v>0</v>
      </c>
      <c r="I4" s="2">
        <v>1</v>
      </c>
      <c r="J4" s="2">
        <v>0</v>
      </c>
      <c r="K4" s="2" t="s">
        <v>1</v>
      </c>
    </row>
    <row r="5" spans="1:11" x14ac:dyDescent="0.35">
      <c r="A5" s="2" t="s">
        <v>15</v>
      </c>
      <c r="B5" s="2">
        <v>577</v>
      </c>
      <c r="C5" s="2">
        <v>127</v>
      </c>
      <c r="D5" s="2">
        <v>0.81960227272727271</v>
      </c>
      <c r="E5" s="2">
        <v>1.2129767875644901E-69</v>
      </c>
      <c r="F5" s="2">
        <v>1</v>
      </c>
      <c r="G5" s="2">
        <v>2.4259535751289792E-69</v>
      </c>
      <c r="H5" s="2">
        <v>0</v>
      </c>
      <c r="I5" s="2">
        <v>1</v>
      </c>
      <c r="J5" s="2">
        <v>0</v>
      </c>
      <c r="K5" s="2" t="s">
        <v>1</v>
      </c>
    </row>
    <row r="6" spans="1:11" x14ac:dyDescent="0.35">
      <c r="A6" s="2" t="s">
        <v>16</v>
      </c>
      <c r="B6" s="2">
        <v>458</v>
      </c>
      <c r="C6" s="2">
        <v>246</v>
      </c>
      <c r="D6" s="2">
        <v>0.65056818181818177</v>
      </c>
      <c r="E6" s="2">
        <v>1.045738419167208E-15</v>
      </c>
      <c r="F6" s="2">
        <v>0.99999999999999944</v>
      </c>
      <c r="G6" s="2">
        <v>2.0914768383344149E-15</v>
      </c>
      <c r="H6" s="2">
        <v>6.6613381477509392E-16</v>
      </c>
      <c r="I6" s="2">
        <v>0.99999999999999933</v>
      </c>
      <c r="J6" s="2">
        <v>1.332267629550188E-15</v>
      </c>
      <c r="K6" s="2" t="s">
        <v>1</v>
      </c>
    </row>
    <row r="7" spans="1:11" x14ac:dyDescent="0.35">
      <c r="A7" s="2" t="s">
        <v>17</v>
      </c>
      <c r="B7" s="2">
        <v>578</v>
      </c>
      <c r="C7" s="2">
        <v>126</v>
      </c>
      <c r="D7" s="2">
        <v>0.82102272727272729</v>
      </c>
      <c r="E7" s="2">
        <v>2.6580516062331328E-70</v>
      </c>
      <c r="F7" s="2">
        <v>1</v>
      </c>
      <c r="G7" s="2">
        <v>5.3161032124662657E-70</v>
      </c>
      <c r="H7" s="2">
        <v>0</v>
      </c>
      <c r="I7" s="2">
        <v>1</v>
      </c>
      <c r="J7" s="2">
        <v>0</v>
      </c>
      <c r="K7" s="2" t="s">
        <v>1</v>
      </c>
    </row>
    <row r="8" spans="1:11" x14ac:dyDescent="0.35">
      <c r="A8" s="2" t="s">
        <v>18</v>
      </c>
      <c r="B8" s="2">
        <v>485</v>
      </c>
      <c r="C8" s="2">
        <v>219</v>
      </c>
      <c r="D8" s="2">
        <v>0.68892045454545459</v>
      </c>
      <c r="E8" s="2">
        <v>2.475632071390249E-24</v>
      </c>
      <c r="F8" s="2">
        <v>1</v>
      </c>
      <c r="G8" s="2">
        <v>4.9512641427804987E-24</v>
      </c>
      <c r="H8" s="2">
        <v>0</v>
      </c>
      <c r="I8" s="2">
        <v>1</v>
      </c>
      <c r="J8" s="2">
        <v>0</v>
      </c>
      <c r="K8" s="2" t="s">
        <v>1</v>
      </c>
    </row>
    <row r="9" spans="1:11" x14ac:dyDescent="0.35">
      <c r="A9" s="2" t="s">
        <v>19</v>
      </c>
      <c r="B9" s="2">
        <v>483</v>
      </c>
      <c r="C9" s="2">
        <v>221</v>
      </c>
      <c r="D9" s="2">
        <v>0.68607954545454541</v>
      </c>
      <c r="E9" s="2">
        <v>1.208205309470976E-23</v>
      </c>
      <c r="F9" s="2">
        <v>1</v>
      </c>
      <c r="G9" s="2">
        <v>2.4164106189419519E-23</v>
      </c>
      <c r="H9" s="2">
        <v>0</v>
      </c>
      <c r="I9" s="2">
        <v>1</v>
      </c>
      <c r="J9" s="2">
        <v>0</v>
      </c>
      <c r="K9" s="2" t="s">
        <v>1</v>
      </c>
    </row>
    <row r="10" spans="1:11" x14ac:dyDescent="0.35">
      <c r="A10" s="2" t="s">
        <v>20</v>
      </c>
      <c r="B10" s="2">
        <v>481</v>
      </c>
      <c r="C10" s="2">
        <v>223</v>
      </c>
      <c r="D10" s="2">
        <v>0.68323863636363635</v>
      </c>
      <c r="E10" s="2">
        <v>5.7444478971644066E-23</v>
      </c>
      <c r="F10" s="2">
        <v>1</v>
      </c>
      <c r="G10" s="2">
        <v>1.1488895794328811E-22</v>
      </c>
      <c r="H10" s="2">
        <v>0</v>
      </c>
      <c r="I10" s="2">
        <v>1</v>
      </c>
      <c r="J10" s="2">
        <v>0</v>
      </c>
      <c r="K10" s="2" t="s">
        <v>1</v>
      </c>
    </row>
    <row r="11" spans="1:11" x14ac:dyDescent="0.35">
      <c r="A11" s="2" t="s">
        <v>21</v>
      </c>
      <c r="B11" s="2">
        <v>302</v>
      </c>
      <c r="C11" s="2">
        <v>402</v>
      </c>
      <c r="D11" s="2">
        <v>0.42897727272727271</v>
      </c>
      <c r="E11" s="2">
        <v>0.99993127286383343</v>
      </c>
      <c r="F11" s="2">
        <v>9.3132563399741616E-5</v>
      </c>
      <c r="G11" s="2">
        <v>1.8626512679948321E-4</v>
      </c>
      <c r="H11" s="2">
        <v>0.99991801303050887</v>
      </c>
      <c r="I11" s="2">
        <v>8.1986969491158737E-5</v>
      </c>
      <c r="J11" s="2">
        <v>1.6397393898226481E-4</v>
      </c>
      <c r="K11" s="2" t="s">
        <v>2</v>
      </c>
    </row>
    <row r="12" spans="1:11" x14ac:dyDescent="0.35">
      <c r="A12" s="2" t="s">
        <v>22</v>
      </c>
      <c r="B12" s="2">
        <v>348</v>
      </c>
      <c r="C12" s="2">
        <v>356</v>
      </c>
      <c r="D12" s="2">
        <v>0.49431818181818182</v>
      </c>
      <c r="E12" s="2">
        <v>0.63275715045003333</v>
      </c>
      <c r="F12" s="2">
        <v>0.39596959597855169</v>
      </c>
      <c r="G12" s="2">
        <v>0.79193919195710338</v>
      </c>
      <c r="H12" s="2">
        <v>0.61848769972350237</v>
      </c>
      <c r="I12" s="2">
        <v>0.38151230027649757</v>
      </c>
      <c r="J12" s="2">
        <v>0.76302460055299526</v>
      </c>
      <c r="K12" s="2" t="s">
        <v>12</v>
      </c>
    </row>
    <row r="13" spans="1:11" x14ac:dyDescent="0.35">
      <c r="A13" s="2" t="s">
        <v>23</v>
      </c>
      <c r="B13" s="2">
        <v>404</v>
      </c>
      <c r="C13" s="2">
        <v>300</v>
      </c>
      <c r="D13" s="2">
        <v>0.57386363636363635</v>
      </c>
      <c r="E13" s="2">
        <v>5.0438205584933382E-5</v>
      </c>
      <c r="F13" s="2">
        <v>0.99996318795309103</v>
      </c>
      <c r="G13" s="2">
        <v>1.008764111698668E-4</v>
      </c>
      <c r="H13" s="2">
        <v>4.4339291497941247E-5</v>
      </c>
      <c r="I13" s="2">
        <v>0.99995566070850206</v>
      </c>
      <c r="J13" s="2">
        <v>8.8678582995882493E-5</v>
      </c>
      <c r="K13" s="2" t="s">
        <v>1</v>
      </c>
    </row>
    <row r="14" spans="1:11" x14ac:dyDescent="0.35">
      <c r="A14" s="2" t="s">
        <v>24</v>
      </c>
      <c r="B14" s="2">
        <v>357</v>
      </c>
      <c r="C14" s="2">
        <v>347</v>
      </c>
      <c r="D14" s="2">
        <v>0.50710227272727271</v>
      </c>
      <c r="E14" s="2">
        <v>0.36724284954996672</v>
      </c>
      <c r="F14" s="2">
        <v>0.66075969318714201</v>
      </c>
      <c r="G14" s="2">
        <v>0.73448569909993344</v>
      </c>
      <c r="H14" s="2">
        <v>0.35312798105242671</v>
      </c>
      <c r="I14" s="2">
        <v>0.64687201894757329</v>
      </c>
      <c r="J14" s="2">
        <v>0.70625596210485342</v>
      </c>
      <c r="K14" s="2" t="s">
        <v>12</v>
      </c>
    </row>
    <row r="15" spans="1:11" x14ac:dyDescent="0.35">
      <c r="A15" s="2" t="s">
        <v>25</v>
      </c>
      <c r="B15" s="2">
        <v>552</v>
      </c>
      <c r="C15" s="2">
        <v>152</v>
      </c>
      <c r="D15" s="2">
        <v>0.78409090909090906</v>
      </c>
      <c r="E15" s="2">
        <v>1.8925852581976919E-54</v>
      </c>
      <c r="F15" s="2">
        <v>1</v>
      </c>
      <c r="G15" s="2">
        <v>3.785170516395385E-54</v>
      </c>
      <c r="H15" s="2">
        <v>0</v>
      </c>
      <c r="I15" s="2">
        <v>1</v>
      </c>
      <c r="J15" s="2">
        <v>0</v>
      </c>
      <c r="K15" s="2" t="s">
        <v>1</v>
      </c>
    </row>
    <row r="16" spans="1:11" x14ac:dyDescent="0.35">
      <c r="A16" s="2" t="s">
        <v>26</v>
      </c>
      <c r="B16" s="2">
        <v>321</v>
      </c>
      <c r="C16" s="2">
        <v>383</v>
      </c>
      <c r="D16" s="2">
        <v>0.45596590909090912</v>
      </c>
      <c r="E16" s="2">
        <v>0.99124236032330704</v>
      </c>
      <c r="F16" s="2">
        <v>1.07186411397128E-2</v>
      </c>
      <c r="G16" s="2">
        <v>2.143728227942561E-2</v>
      </c>
      <c r="H16" s="2">
        <v>0.99027294186738102</v>
      </c>
      <c r="I16" s="2">
        <v>9.7270581326189907E-3</v>
      </c>
      <c r="J16" s="2">
        <v>1.9454116265237961E-2</v>
      </c>
      <c r="K16" s="2" t="s">
        <v>2</v>
      </c>
    </row>
    <row r="17" spans="1:11" x14ac:dyDescent="0.35">
      <c r="A17" s="2" t="s">
        <v>27</v>
      </c>
      <c r="B17" s="2">
        <v>621</v>
      </c>
      <c r="C17" s="2">
        <v>83</v>
      </c>
      <c r="D17" s="2">
        <v>0.88210227272727271</v>
      </c>
      <c r="E17" s="2">
        <v>5.0454549307334114E-103</v>
      </c>
      <c r="F17" s="2">
        <v>1</v>
      </c>
      <c r="G17" s="2">
        <v>1.0090909861466821E-102</v>
      </c>
      <c r="H17" s="2">
        <v>0</v>
      </c>
      <c r="I17" s="2">
        <v>1</v>
      </c>
      <c r="J17" s="2">
        <v>0</v>
      </c>
      <c r="K17" s="2" t="s">
        <v>1</v>
      </c>
    </row>
    <row r="18" spans="1:11" x14ac:dyDescent="0.35">
      <c r="A18" s="2" t="s">
        <v>28</v>
      </c>
      <c r="B18" s="2">
        <v>421</v>
      </c>
      <c r="C18" s="2">
        <v>283</v>
      </c>
      <c r="D18" s="2">
        <v>0.59801136363636365</v>
      </c>
      <c r="E18" s="2">
        <v>1.113695060809213E-7</v>
      </c>
      <c r="F18" s="2">
        <v>0.99999992614603173</v>
      </c>
      <c r="G18" s="2">
        <v>2.2273901216184249E-7</v>
      </c>
      <c r="H18" s="2">
        <v>9.9071855386156926E-8</v>
      </c>
      <c r="I18" s="2">
        <v>0.99999990092814461</v>
      </c>
      <c r="J18" s="2">
        <v>1.9814371077231391E-7</v>
      </c>
      <c r="K18" s="2" t="s">
        <v>1</v>
      </c>
    </row>
    <row r="19" spans="1:11" x14ac:dyDescent="0.35">
      <c r="A19" s="2" t="s">
        <v>29</v>
      </c>
      <c r="B19" s="2">
        <v>459</v>
      </c>
      <c r="C19" s="2">
        <v>245</v>
      </c>
      <c r="D19" s="2">
        <v>0.65198863636363635</v>
      </c>
      <c r="E19" s="2">
        <v>2.9804535640973499E-16</v>
      </c>
      <c r="F19" s="2">
        <v>0.99999999999999989</v>
      </c>
      <c r="G19" s="2">
        <v>5.9609071281946999E-16</v>
      </c>
      <c r="H19" s="2">
        <v>3.3306690738754701E-16</v>
      </c>
      <c r="I19" s="2">
        <v>0.99999999999999967</v>
      </c>
      <c r="J19" s="2">
        <v>6.6613381477509392E-16</v>
      </c>
      <c r="K19" s="2" t="s">
        <v>1</v>
      </c>
    </row>
    <row r="20" spans="1:11" x14ac:dyDescent="0.35">
      <c r="A20" s="2" t="s">
        <v>30</v>
      </c>
      <c r="B20" s="2">
        <v>500</v>
      </c>
      <c r="C20" s="2">
        <v>204</v>
      </c>
      <c r="D20" s="2">
        <v>0.71022727272727271</v>
      </c>
      <c r="E20" s="2">
        <v>7.2840856359823728E-30</v>
      </c>
      <c r="F20" s="2">
        <v>1</v>
      </c>
      <c r="G20" s="2">
        <v>1.4568171271964751E-29</v>
      </c>
      <c r="H20" s="2">
        <v>0</v>
      </c>
      <c r="I20" s="2">
        <v>1</v>
      </c>
      <c r="J20" s="2">
        <v>0</v>
      </c>
      <c r="K20" s="2" t="s">
        <v>1</v>
      </c>
    </row>
    <row r="21" spans="1:11" x14ac:dyDescent="0.35">
      <c r="A21" s="2" t="s">
        <v>31</v>
      </c>
      <c r="B21" s="2">
        <v>496</v>
      </c>
      <c r="C21" s="2">
        <v>208</v>
      </c>
      <c r="D21" s="2">
        <v>0.70454545454545459</v>
      </c>
      <c r="E21" s="2">
        <v>2.521374157347619E-28</v>
      </c>
      <c r="F21" s="2">
        <v>1</v>
      </c>
      <c r="G21" s="2">
        <v>5.0427483146952389E-28</v>
      </c>
      <c r="H21" s="2">
        <v>0</v>
      </c>
      <c r="I21" s="2">
        <v>1</v>
      </c>
      <c r="J21" s="2">
        <v>0</v>
      </c>
      <c r="K21" s="2" t="s">
        <v>1</v>
      </c>
    </row>
    <row r="22" spans="1:11" x14ac:dyDescent="0.35">
      <c r="A22" s="2" t="s">
        <v>32</v>
      </c>
      <c r="B22" s="2">
        <v>572</v>
      </c>
      <c r="C22" s="2">
        <v>132</v>
      </c>
      <c r="D22" s="2">
        <v>0.8125</v>
      </c>
      <c r="E22" s="2">
        <v>2.0822370290439729E-66</v>
      </c>
      <c r="F22" s="2">
        <v>1</v>
      </c>
      <c r="G22" s="2">
        <v>4.1644740580879458E-66</v>
      </c>
      <c r="H22" s="2">
        <v>0</v>
      </c>
      <c r="I22" s="2">
        <v>1</v>
      </c>
      <c r="J22" s="2">
        <v>0</v>
      </c>
      <c r="K22" s="2" t="s">
        <v>1</v>
      </c>
    </row>
    <row r="23" spans="1:11" x14ac:dyDescent="0.35">
      <c r="A23" s="2" t="s">
        <v>33</v>
      </c>
      <c r="B23" s="2">
        <v>434</v>
      </c>
      <c r="C23" s="2">
        <v>270</v>
      </c>
      <c r="D23" s="2">
        <v>0.61647727272727271</v>
      </c>
      <c r="E23" s="2">
        <v>3.402815753304427E-10</v>
      </c>
      <c r="F23" s="2">
        <v>0.99999999979075116</v>
      </c>
      <c r="G23" s="2">
        <v>6.8056315066088541E-10</v>
      </c>
      <c r="H23" s="2">
        <v>3.1851921100667369E-10</v>
      </c>
      <c r="I23" s="2">
        <v>0.99999999968148079</v>
      </c>
      <c r="J23" s="2">
        <v>6.3703842201334737E-10</v>
      </c>
      <c r="K23" s="2" t="s">
        <v>1</v>
      </c>
    </row>
    <row r="24" spans="1:11" x14ac:dyDescent="0.35">
      <c r="A24" s="2" t="s">
        <v>34</v>
      </c>
      <c r="B24" s="2">
        <v>401</v>
      </c>
      <c r="C24" s="2">
        <v>303</v>
      </c>
      <c r="D24" s="2">
        <v>0.56960227272727271</v>
      </c>
      <c r="E24" s="2">
        <v>1.2551204111500489E-4</v>
      </c>
      <c r="F24" s="2">
        <v>0.99990686743660029</v>
      </c>
      <c r="G24" s="2">
        <v>2.5102408223000972E-4</v>
      </c>
      <c r="H24" s="2">
        <v>1.105881762928362E-4</v>
      </c>
      <c r="I24" s="2">
        <v>0.99988941182370716</v>
      </c>
      <c r="J24" s="2">
        <v>2.211763525856725E-4</v>
      </c>
      <c r="K24" s="2" t="s">
        <v>1</v>
      </c>
    </row>
    <row r="25" spans="1:11" x14ac:dyDescent="0.35">
      <c r="A25" s="2" t="s">
        <v>35</v>
      </c>
      <c r="B25" s="2">
        <v>423</v>
      </c>
      <c r="C25" s="2">
        <v>281</v>
      </c>
      <c r="D25" s="2">
        <v>0.60085227272727271</v>
      </c>
      <c r="E25" s="2">
        <v>4.8695444035950358E-8</v>
      </c>
      <c r="F25" s="2">
        <v>0.99999996807690539</v>
      </c>
      <c r="G25" s="2">
        <v>9.7390888071900728E-8</v>
      </c>
      <c r="H25" s="2">
        <v>4.3535463345456549E-8</v>
      </c>
      <c r="I25" s="2">
        <v>0.99999995646453665</v>
      </c>
      <c r="J25" s="2">
        <v>8.7070926690913097E-8</v>
      </c>
      <c r="K25" s="2" t="s">
        <v>1</v>
      </c>
    </row>
    <row r="26" spans="1:11" x14ac:dyDescent="0.35">
      <c r="A26" s="2" t="s">
        <v>36</v>
      </c>
      <c r="B26" s="2">
        <v>303</v>
      </c>
      <c r="C26" s="2">
        <v>401</v>
      </c>
      <c r="D26" s="2">
        <v>0.43039772727272729</v>
      </c>
      <c r="E26" s="2">
        <v>0.99990686743660029</v>
      </c>
      <c r="F26" s="2">
        <v>1.2551204111500489E-4</v>
      </c>
      <c r="G26" s="2">
        <v>2.5102408223000972E-4</v>
      </c>
      <c r="H26" s="2">
        <v>0.99988941182370716</v>
      </c>
      <c r="I26" s="2">
        <v>1.1058817629283019E-4</v>
      </c>
      <c r="J26" s="2">
        <v>2.211763525856725E-4</v>
      </c>
      <c r="K26" s="2" t="s">
        <v>2</v>
      </c>
    </row>
    <row r="27" spans="1:11" x14ac:dyDescent="0.35">
      <c r="A27" s="2" t="s">
        <v>37</v>
      </c>
      <c r="B27" s="2">
        <v>418</v>
      </c>
      <c r="C27" s="2">
        <v>286</v>
      </c>
      <c r="D27" s="2">
        <v>0.59375</v>
      </c>
      <c r="E27" s="2">
        <v>3.6900608683083041E-7</v>
      </c>
      <c r="F27" s="2">
        <v>0.99999975106193439</v>
      </c>
      <c r="G27" s="2">
        <v>7.3801217366166082E-7</v>
      </c>
      <c r="H27" s="2">
        <v>3.263440049305899E-7</v>
      </c>
      <c r="I27" s="2">
        <v>0.99999967365599507</v>
      </c>
      <c r="J27" s="2">
        <v>6.5268800986117981E-7</v>
      </c>
      <c r="K27" s="2" t="s">
        <v>1</v>
      </c>
    </row>
    <row r="28" spans="1:11" x14ac:dyDescent="0.35">
      <c r="A28" s="2" t="s">
        <v>38</v>
      </c>
      <c r="B28" s="2">
        <v>533</v>
      </c>
      <c r="C28" s="2">
        <v>171</v>
      </c>
      <c r="D28" s="2">
        <v>0.75710227272727271</v>
      </c>
      <c r="E28" s="2">
        <v>1.948076402871339E-44</v>
      </c>
      <c r="F28" s="2">
        <v>1</v>
      </c>
      <c r="G28" s="2">
        <v>3.8961528057426781E-44</v>
      </c>
      <c r="H28" s="2">
        <v>0</v>
      </c>
      <c r="I28" s="2">
        <v>1</v>
      </c>
      <c r="J28" s="2">
        <v>0</v>
      </c>
      <c r="K28" s="2" t="s">
        <v>1</v>
      </c>
    </row>
    <row r="29" spans="1:11" x14ac:dyDescent="0.35">
      <c r="A29" s="2" t="s">
        <v>39</v>
      </c>
      <c r="B29" s="2">
        <v>475</v>
      </c>
      <c r="C29" s="2">
        <v>229</v>
      </c>
      <c r="D29" s="2">
        <v>0.67471590909090906</v>
      </c>
      <c r="E29" s="2">
        <v>5.285215232807774E-21</v>
      </c>
      <c r="F29" s="2">
        <v>1</v>
      </c>
      <c r="G29" s="2">
        <v>1.057043046561555E-20</v>
      </c>
      <c r="H29" s="2">
        <v>0</v>
      </c>
      <c r="I29" s="2">
        <v>1</v>
      </c>
      <c r="J29" s="2">
        <v>0</v>
      </c>
      <c r="K29" s="2" t="s">
        <v>1</v>
      </c>
    </row>
    <row r="30" spans="1:11" x14ac:dyDescent="0.35">
      <c r="A30" s="2" t="s">
        <v>40</v>
      </c>
      <c r="B30" s="2">
        <v>642</v>
      </c>
      <c r="C30" s="2">
        <v>62</v>
      </c>
      <c r="D30" s="2">
        <v>0.91193181818181823</v>
      </c>
      <c r="E30" s="2">
        <v>9.2972515938927735E-123</v>
      </c>
      <c r="F30" s="2">
        <v>1</v>
      </c>
      <c r="G30" s="2">
        <v>1.859450318778555E-122</v>
      </c>
      <c r="H30" s="2">
        <v>0</v>
      </c>
      <c r="I30" s="2">
        <v>1</v>
      </c>
      <c r="J30" s="2">
        <v>0</v>
      </c>
      <c r="K30" s="2" t="s">
        <v>1</v>
      </c>
    </row>
    <row r="31" spans="1:11" x14ac:dyDescent="0.35">
      <c r="A31" s="2" t="s">
        <v>41</v>
      </c>
      <c r="B31" s="2">
        <v>425</v>
      </c>
      <c r="C31" s="2">
        <v>279</v>
      </c>
      <c r="D31" s="2">
        <v>0.60369318181818177</v>
      </c>
      <c r="E31" s="2">
        <v>3.1923094571434119E-8</v>
      </c>
      <c r="F31" s="2">
        <v>0.99999997919254269</v>
      </c>
      <c r="G31" s="2">
        <v>6.3846189142868239E-8</v>
      </c>
      <c r="H31" s="2">
        <v>1.87134486795415E-8</v>
      </c>
      <c r="I31" s="2">
        <v>0.99999998128655132</v>
      </c>
      <c r="J31" s="2">
        <v>3.7426897359083E-8</v>
      </c>
      <c r="K31" s="2" t="s">
        <v>1</v>
      </c>
    </row>
    <row r="32" spans="1:11" x14ac:dyDescent="0.35">
      <c r="A32" s="2" t="s">
        <v>42</v>
      </c>
      <c r="B32" s="2">
        <v>334</v>
      </c>
      <c r="C32" s="2">
        <v>370</v>
      </c>
      <c r="D32" s="2">
        <v>0.47443181818181818</v>
      </c>
      <c r="E32" s="2">
        <v>0.91843865693126425</v>
      </c>
      <c r="F32" s="2">
        <v>9.3546529825919919E-2</v>
      </c>
      <c r="G32" s="2">
        <v>0.18709305965183981</v>
      </c>
      <c r="H32" s="2">
        <v>0.91257778319479266</v>
      </c>
      <c r="I32" s="2">
        <v>8.7422216805207342E-2</v>
      </c>
      <c r="J32" s="2">
        <v>0.17484443361041471</v>
      </c>
      <c r="K32" s="2" t="s">
        <v>12</v>
      </c>
    </row>
    <row r="33" spans="1:11" x14ac:dyDescent="0.35">
      <c r="A33" s="2" t="s">
        <v>43</v>
      </c>
      <c r="B33" s="2">
        <v>385</v>
      </c>
      <c r="C33" s="2">
        <v>319</v>
      </c>
      <c r="D33" s="2">
        <v>0.546875</v>
      </c>
      <c r="E33" s="2">
        <v>7.1183650161997609E-3</v>
      </c>
      <c r="F33" s="2">
        <v>0.99424414898732705</v>
      </c>
      <c r="G33" s="2">
        <v>1.423673003239952E-2</v>
      </c>
      <c r="H33" s="2">
        <v>6.432790647278086E-3</v>
      </c>
      <c r="I33" s="2">
        <v>0.99356720935272191</v>
      </c>
      <c r="J33" s="2">
        <v>1.286558129455617E-2</v>
      </c>
      <c r="K33" s="2" t="s">
        <v>1</v>
      </c>
    </row>
    <row r="34" spans="1:11" x14ac:dyDescent="0.35">
      <c r="A34" s="2" t="s">
        <v>44</v>
      </c>
      <c r="B34" s="2">
        <v>189</v>
      </c>
      <c r="C34" s="2">
        <v>515</v>
      </c>
      <c r="D34" s="2">
        <v>0.26846590909090912</v>
      </c>
      <c r="E34" s="2">
        <v>1</v>
      </c>
      <c r="F34" s="2">
        <v>4.586218185315306E-36</v>
      </c>
      <c r="G34" s="2">
        <v>9.172436370630612E-36</v>
      </c>
      <c r="H34" s="2">
        <v>1</v>
      </c>
      <c r="I34" s="2">
        <v>5.3462741507641787E-35</v>
      </c>
      <c r="J34" s="2">
        <v>0</v>
      </c>
      <c r="K34" s="2" t="s">
        <v>2</v>
      </c>
    </row>
    <row r="35" spans="1:11" x14ac:dyDescent="0.35">
      <c r="A35" s="2" t="s">
        <v>45</v>
      </c>
      <c r="B35" s="2">
        <v>166</v>
      </c>
      <c r="C35" s="2">
        <v>538</v>
      </c>
      <c r="D35" s="2">
        <v>0.23579545454545461</v>
      </c>
      <c r="E35" s="2">
        <v>1</v>
      </c>
      <c r="F35" s="2">
        <v>5.9628957811031605E-47</v>
      </c>
      <c r="G35" s="2">
        <v>1.1925791562206321E-46</v>
      </c>
      <c r="H35" s="2">
        <v>1</v>
      </c>
      <c r="I35" s="2">
        <v>5.857781257806386E-45</v>
      </c>
      <c r="J35" s="2">
        <v>0</v>
      </c>
      <c r="K35" s="2" t="s">
        <v>2</v>
      </c>
    </row>
    <row r="36" spans="1:11" x14ac:dyDescent="0.35">
      <c r="A36" s="2" t="s">
        <v>46</v>
      </c>
      <c r="B36" s="2">
        <v>173</v>
      </c>
      <c r="C36" s="2">
        <v>531</v>
      </c>
      <c r="D36" s="2">
        <v>0.24573863636363641</v>
      </c>
      <c r="E36" s="2">
        <v>1</v>
      </c>
      <c r="F36" s="2">
        <v>1.869928608147261E-43</v>
      </c>
      <c r="G36" s="2">
        <v>3.739857216294522E-43</v>
      </c>
      <c r="H36" s="2">
        <v>1</v>
      </c>
      <c r="I36" s="2">
        <v>8.6408752887271399E-42</v>
      </c>
      <c r="J36" s="2">
        <v>0</v>
      </c>
      <c r="K36" s="2" t="s">
        <v>2</v>
      </c>
    </row>
    <row r="37" spans="1:11" x14ac:dyDescent="0.35">
      <c r="A37" s="2" t="s">
        <v>47</v>
      </c>
      <c r="B37" s="2">
        <v>327</v>
      </c>
      <c r="C37" s="2">
        <v>377</v>
      </c>
      <c r="D37" s="2">
        <v>0.46448863636363641</v>
      </c>
      <c r="E37" s="2">
        <v>0.9727441946983314</v>
      </c>
      <c r="F37" s="2">
        <v>3.2352956527301337E-2</v>
      </c>
      <c r="G37" s="2">
        <v>6.4705913054602687E-2</v>
      </c>
      <c r="H37" s="2">
        <v>0.97024765717978512</v>
      </c>
      <c r="I37" s="2">
        <v>2.9752342820214911E-2</v>
      </c>
      <c r="J37" s="2">
        <v>5.9504685640429773E-2</v>
      </c>
      <c r="K37" s="2" t="s">
        <v>2</v>
      </c>
    </row>
    <row r="38" spans="1:11" x14ac:dyDescent="0.35">
      <c r="A38" s="2" t="s">
        <v>48</v>
      </c>
      <c r="B38" s="2">
        <v>375</v>
      </c>
      <c r="C38" s="2">
        <v>329</v>
      </c>
      <c r="D38" s="2">
        <v>0.53267045454545459</v>
      </c>
      <c r="E38" s="2">
        <v>4.4907133435382003E-2</v>
      </c>
      <c r="F38" s="2">
        <v>0.96178842758226124</v>
      </c>
      <c r="G38" s="2">
        <v>8.9814266870763992E-2</v>
      </c>
      <c r="H38" s="2">
        <v>4.1486530362206182E-2</v>
      </c>
      <c r="I38" s="2">
        <v>0.95851346963779382</v>
      </c>
      <c r="J38" s="2">
        <v>8.2973060724412351E-2</v>
      </c>
      <c r="K38" s="2" t="s">
        <v>1</v>
      </c>
    </row>
    <row r="39" spans="1:11" x14ac:dyDescent="0.35">
      <c r="A39" s="2" t="s">
        <v>49</v>
      </c>
      <c r="B39" s="2">
        <v>463</v>
      </c>
      <c r="C39" s="2">
        <v>241</v>
      </c>
      <c r="D39" s="2">
        <v>0.65767045454545459</v>
      </c>
      <c r="E39" s="2">
        <v>2.2479212144743419E-17</v>
      </c>
      <c r="F39" s="2">
        <v>1</v>
      </c>
      <c r="G39" s="2">
        <v>4.4958424289486838E-17</v>
      </c>
      <c r="H39" s="2">
        <v>0</v>
      </c>
      <c r="I39" s="2">
        <v>1</v>
      </c>
      <c r="J39" s="2">
        <v>0</v>
      </c>
      <c r="K39" s="2" t="s">
        <v>1</v>
      </c>
    </row>
    <row r="40" spans="1:11" x14ac:dyDescent="0.35">
      <c r="A40" s="2" t="s">
        <v>50</v>
      </c>
      <c r="B40" s="2">
        <v>361</v>
      </c>
      <c r="C40" s="2">
        <v>343</v>
      </c>
      <c r="D40" s="2">
        <v>0.51278409090909094</v>
      </c>
      <c r="E40" s="2">
        <v>0.26086961327395092</v>
      </c>
      <c r="F40" s="2">
        <v>0.76301913543624389</v>
      </c>
      <c r="G40" s="2">
        <v>0.52173922654790184</v>
      </c>
      <c r="H40" s="2">
        <v>0.2487588880649938</v>
      </c>
      <c r="I40" s="2">
        <v>0.7512411119350062</v>
      </c>
      <c r="J40" s="2">
        <v>0.4975177761299876</v>
      </c>
      <c r="K40" s="2" t="s">
        <v>12</v>
      </c>
    </row>
    <row r="41" spans="1:11" x14ac:dyDescent="0.35">
      <c r="A41" s="2" t="s">
        <v>51</v>
      </c>
      <c r="B41" s="2">
        <v>390</v>
      </c>
      <c r="C41" s="2">
        <v>314</v>
      </c>
      <c r="D41" s="2">
        <v>0.55397727272727271</v>
      </c>
      <c r="E41" s="2">
        <v>2.334560481166707E-3</v>
      </c>
      <c r="F41" s="2">
        <v>0.99816142786523809</v>
      </c>
      <c r="G41" s="2">
        <v>4.669120962333414E-3</v>
      </c>
      <c r="H41" s="2">
        <v>2.0892787840832709E-3</v>
      </c>
      <c r="I41" s="2">
        <v>0.99791072121591673</v>
      </c>
      <c r="J41" s="2">
        <v>4.178557568166541E-3</v>
      </c>
      <c r="K41" s="2" t="s">
        <v>1</v>
      </c>
    </row>
    <row r="42" spans="1:11" x14ac:dyDescent="0.35">
      <c r="A42" s="2" t="s">
        <v>52</v>
      </c>
      <c r="B42" s="2">
        <v>487</v>
      </c>
      <c r="C42" s="2">
        <v>217</v>
      </c>
      <c r="D42" s="2">
        <v>0.69176136363636365</v>
      </c>
      <c r="E42" s="2">
        <v>4.9411160066861492E-25</v>
      </c>
      <c r="F42" s="2">
        <v>1</v>
      </c>
      <c r="G42" s="2">
        <v>9.8822320133722983E-25</v>
      </c>
      <c r="H42" s="2">
        <v>0</v>
      </c>
      <c r="I42" s="2">
        <v>1</v>
      </c>
      <c r="J42" s="2">
        <v>0</v>
      </c>
      <c r="K42" s="2" t="s">
        <v>1</v>
      </c>
    </row>
    <row r="43" spans="1:11" x14ac:dyDescent="0.35">
      <c r="A43" s="2" t="s">
        <v>53</v>
      </c>
      <c r="B43" s="2">
        <v>421</v>
      </c>
      <c r="C43" s="2">
        <v>283</v>
      </c>
      <c r="D43" s="2">
        <v>0.59801136363636365</v>
      </c>
      <c r="E43" s="2">
        <v>1.113695060809213E-7</v>
      </c>
      <c r="F43" s="2">
        <v>0.99999992614603173</v>
      </c>
      <c r="G43" s="2">
        <v>2.2273901216184249E-7</v>
      </c>
      <c r="H43" s="2">
        <v>9.9071855386156926E-8</v>
      </c>
      <c r="I43" s="2">
        <v>0.99999990092814461</v>
      </c>
      <c r="J43" s="2">
        <v>1.9814371077231391E-7</v>
      </c>
      <c r="K43" s="2" t="s">
        <v>1</v>
      </c>
    </row>
    <row r="44" spans="1:11" x14ac:dyDescent="0.35">
      <c r="A44" s="2" t="s">
        <v>54</v>
      </c>
      <c r="B44" s="2">
        <v>456</v>
      </c>
      <c r="C44" s="2">
        <v>248</v>
      </c>
      <c r="D44" s="2">
        <v>0.64772727272727271</v>
      </c>
      <c r="E44" s="2">
        <v>1.9408233207544449E-15</v>
      </c>
      <c r="F44" s="2">
        <v>0.999999999999999</v>
      </c>
      <c r="G44" s="2">
        <v>3.8816466415088891E-15</v>
      </c>
      <c r="H44" s="2">
        <v>2.2204460492503131E-15</v>
      </c>
      <c r="I44" s="2">
        <v>0.99999999999999778</v>
      </c>
      <c r="J44" s="2">
        <v>4.4408920985006262E-15</v>
      </c>
      <c r="K44" s="2" t="s">
        <v>1</v>
      </c>
    </row>
    <row r="45" spans="1:11" x14ac:dyDescent="0.35">
      <c r="A45" s="2" t="s">
        <v>55</v>
      </c>
      <c r="B45" s="2">
        <v>410</v>
      </c>
      <c r="C45" s="2">
        <v>294</v>
      </c>
      <c r="D45" s="2">
        <v>0.58238636363636365</v>
      </c>
      <c r="E45" s="2">
        <v>7.0134550586825282E-6</v>
      </c>
      <c r="F45" s="2">
        <v>0.99999504959388663</v>
      </c>
      <c r="G45" s="2">
        <v>1.402691011736506E-5</v>
      </c>
      <c r="H45" s="2">
        <v>6.1580880682532424E-6</v>
      </c>
      <c r="I45" s="2">
        <v>0.99999384191193175</v>
      </c>
      <c r="J45" s="2">
        <v>1.231617613650648E-5</v>
      </c>
      <c r="K45" s="2" t="s">
        <v>1</v>
      </c>
    </row>
    <row r="46" spans="1:11" x14ac:dyDescent="0.35">
      <c r="A46" s="2" t="s">
        <v>56</v>
      </c>
      <c r="B46" s="2">
        <v>651</v>
      </c>
      <c r="C46" s="2">
        <v>53</v>
      </c>
      <c r="D46" s="2">
        <v>0.92471590909090906</v>
      </c>
      <c r="E46" s="2">
        <v>3.3886224594721331E-132</v>
      </c>
      <c r="F46" s="2">
        <v>1</v>
      </c>
      <c r="G46" s="2">
        <v>6.777244918944265E-132</v>
      </c>
      <c r="H46" s="2">
        <v>0</v>
      </c>
      <c r="I46" s="2">
        <v>1</v>
      </c>
      <c r="J46" s="2">
        <v>0</v>
      </c>
      <c r="K46" s="2" t="s">
        <v>1</v>
      </c>
    </row>
    <row r="47" spans="1:11" x14ac:dyDescent="0.35">
      <c r="A47" s="2" t="s">
        <v>57</v>
      </c>
      <c r="B47" s="2">
        <v>657</v>
      </c>
      <c r="C47" s="2">
        <v>47</v>
      </c>
      <c r="D47" s="2">
        <v>0.93323863636363635</v>
      </c>
      <c r="E47" s="2">
        <v>7.0502656550163309E-139</v>
      </c>
      <c r="F47" s="2">
        <v>1</v>
      </c>
      <c r="G47" s="2">
        <v>1.4100531310032659E-138</v>
      </c>
      <c r="H47" s="2">
        <v>0</v>
      </c>
      <c r="I47" s="2">
        <v>1</v>
      </c>
      <c r="J47" s="2">
        <v>0</v>
      </c>
      <c r="K47" s="2" t="s">
        <v>1</v>
      </c>
    </row>
    <row r="48" spans="1:11" x14ac:dyDescent="0.35">
      <c r="A48" s="2" t="s">
        <v>58</v>
      </c>
      <c r="B48" s="2">
        <v>690</v>
      </c>
      <c r="C48" s="2">
        <v>14</v>
      </c>
      <c r="D48" s="2">
        <v>0.98011363636363635</v>
      </c>
      <c r="E48" s="2">
        <v>8.9715612864430663E-184</v>
      </c>
      <c r="F48" s="2">
        <v>1</v>
      </c>
      <c r="G48" s="2">
        <v>1.7943122572886131E-183</v>
      </c>
      <c r="H48" s="2">
        <v>0</v>
      </c>
      <c r="I48" s="2">
        <v>1</v>
      </c>
      <c r="J48" s="2">
        <v>0</v>
      </c>
      <c r="K48" s="2" t="s">
        <v>1</v>
      </c>
    </row>
    <row r="49" spans="1:11" x14ac:dyDescent="0.35">
      <c r="A49" s="2" t="s">
        <v>59</v>
      </c>
      <c r="B49" s="2">
        <v>646</v>
      </c>
      <c r="C49" s="2">
        <v>58</v>
      </c>
      <c r="D49" s="2">
        <v>0.91761363636363635</v>
      </c>
      <c r="E49" s="2">
        <v>7.1606545280970838E-127</v>
      </c>
      <c r="F49" s="2">
        <v>1</v>
      </c>
      <c r="G49" s="2">
        <v>1.4321309056194169E-126</v>
      </c>
      <c r="H49" s="2">
        <v>0</v>
      </c>
      <c r="I49" s="2">
        <v>1</v>
      </c>
      <c r="J49" s="2">
        <v>0</v>
      </c>
      <c r="K49" s="2" t="s">
        <v>1</v>
      </c>
    </row>
    <row r="50" spans="1:11" x14ac:dyDescent="0.35">
      <c r="A50" s="2" t="s">
        <v>60</v>
      </c>
      <c r="B50" s="2">
        <v>553</v>
      </c>
      <c r="C50" s="2">
        <v>151</v>
      </c>
      <c r="D50" s="2">
        <v>0.78551136363636365</v>
      </c>
      <c r="E50" s="2">
        <v>5.1856979116479421E-55</v>
      </c>
      <c r="F50" s="2">
        <v>1</v>
      </c>
      <c r="G50" s="2">
        <v>1.037139582329588E-54</v>
      </c>
      <c r="H50" s="2">
        <v>0</v>
      </c>
      <c r="I50" s="2">
        <v>1</v>
      </c>
      <c r="J50" s="2">
        <v>0</v>
      </c>
      <c r="K50" s="2" t="s">
        <v>1</v>
      </c>
    </row>
    <row r="51" spans="1:11" x14ac:dyDescent="0.35">
      <c r="A51" s="2" t="s">
        <v>61</v>
      </c>
      <c r="B51" s="2">
        <v>362</v>
      </c>
      <c r="C51" s="2">
        <v>342</v>
      </c>
      <c r="D51" s="2">
        <v>0.51420454545454541</v>
      </c>
      <c r="E51" s="2">
        <v>0.23698086456375611</v>
      </c>
      <c r="F51" s="2">
        <v>0.78565405479424744</v>
      </c>
      <c r="G51" s="2">
        <v>0.47396172912751222</v>
      </c>
      <c r="H51" s="2">
        <v>0.225491159634442</v>
      </c>
      <c r="I51" s="2">
        <v>0.774508840365558</v>
      </c>
      <c r="J51" s="2">
        <v>0.45098231926888399</v>
      </c>
      <c r="K51" s="2" t="s">
        <v>12</v>
      </c>
    </row>
    <row r="52" spans="1:11" x14ac:dyDescent="0.35">
      <c r="A52" s="2" t="s">
        <v>62</v>
      </c>
      <c r="B52" s="2">
        <v>704</v>
      </c>
      <c r="C52" s="2">
        <v>0</v>
      </c>
      <c r="D52" s="2">
        <v>1</v>
      </c>
      <c r="E52" s="2">
        <v>1.1881822289344749E-212</v>
      </c>
      <c r="F52" s="2">
        <v>1</v>
      </c>
      <c r="G52" s="2">
        <v>2.3763644578689498E-212</v>
      </c>
      <c r="H52" s="2">
        <v>0</v>
      </c>
      <c r="I52" s="2">
        <v>1</v>
      </c>
      <c r="J52" s="2">
        <v>0</v>
      </c>
      <c r="K52" s="2" t="s">
        <v>1</v>
      </c>
    </row>
    <row r="53" spans="1:11" x14ac:dyDescent="0.35">
      <c r="A53" s="2" t="s">
        <v>63</v>
      </c>
      <c r="B53" s="2">
        <v>678</v>
      </c>
      <c r="C53" s="2">
        <v>26</v>
      </c>
      <c r="D53" s="2">
        <v>0.96306818181818177</v>
      </c>
      <c r="E53" s="2">
        <v>2.089901580498296E-165</v>
      </c>
      <c r="F53" s="2">
        <v>1</v>
      </c>
      <c r="G53" s="2">
        <v>4.179803160996591E-165</v>
      </c>
      <c r="H53" s="2">
        <v>0</v>
      </c>
      <c r="I53" s="2">
        <v>1</v>
      </c>
      <c r="J53" s="2">
        <v>0</v>
      </c>
      <c r="K53" s="2" t="s">
        <v>1</v>
      </c>
    </row>
    <row r="54" spans="1:11" x14ac:dyDescent="0.35">
      <c r="A54" s="2" t="s">
        <v>64</v>
      </c>
      <c r="B54" s="2">
        <v>703</v>
      </c>
      <c r="C54" s="2">
        <v>1</v>
      </c>
      <c r="D54" s="2">
        <v>0.99857954545454541</v>
      </c>
      <c r="E54" s="2">
        <v>8.376684713988048E-210</v>
      </c>
      <c r="F54" s="2">
        <v>1</v>
      </c>
      <c r="G54" s="2">
        <v>1.6753369427976101E-209</v>
      </c>
      <c r="H54" s="2">
        <v>0</v>
      </c>
      <c r="I54" s="2">
        <v>1</v>
      </c>
      <c r="J54" s="2">
        <v>0</v>
      </c>
      <c r="K54" s="2" t="s">
        <v>1</v>
      </c>
    </row>
    <row r="55" spans="1:11" x14ac:dyDescent="0.35">
      <c r="A55" s="2" t="s">
        <v>65</v>
      </c>
      <c r="B55" s="2">
        <v>704</v>
      </c>
      <c r="C55" s="2">
        <v>0</v>
      </c>
      <c r="D55" s="2">
        <v>1</v>
      </c>
      <c r="E55" s="2">
        <v>1.1881822289344749E-212</v>
      </c>
      <c r="F55" s="2">
        <v>1</v>
      </c>
      <c r="G55" s="2">
        <v>2.3763644578689498E-212</v>
      </c>
      <c r="H55" s="2">
        <v>0</v>
      </c>
      <c r="I55" s="2">
        <v>1</v>
      </c>
      <c r="J55" s="2">
        <v>0</v>
      </c>
      <c r="K55" s="2" t="s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5"/>
  <sheetViews>
    <sheetView workbookViewId="0"/>
  </sheetViews>
  <sheetFormatPr defaultRowHeight="14.5" x14ac:dyDescent="0.35"/>
  <cols>
    <col min="1" max="1" width="23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349</v>
      </c>
      <c r="C2" s="2">
        <v>355</v>
      </c>
      <c r="D2" s="2">
        <v>0.49573863636363641</v>
      </c>
      <c r="E2" s="2">
        <v>0.60403040402144836</v>
      </c>
      <c r="F2" s="2">
        <v>0.42527252356759487</v>
      </c>
      <c r="G2" s="2">
        <v>0.85054504713518975</v>
      </c>
      <c r="H2" s="2">
        <v>0.58945120822402042</v>
      </c>
      <c r="I2" s="2">
        <v>0.41054879177597953</v>
      </c>
      <c r="J2" s="2">
        <v>0.82109758355195916</v>
      </c>
      <c r="K2" s="2" t="s">
        <v>12</v>
      </c>
    </row>
    <row r="3" spans="1:11" x14ac:dyDescent="0.35">
      <c r="A3" s="2" t="s">
        <v>13</v>
      </c>
      <c r="B3" s="2">
        <v>182</v>
      </c>
      <c r="C3" s="2">
        <v>522</v>
      </c>
      <c r="D3" s="2">
        <v>0.25852272727272729</v>
      </c>
      <c r="E3" s="2">
        <v>1</v>
      </c>
      <c r="F3" s="2">
        <v>3.3845026632262342E-39</v>
      </c>
      <c r="G3" s="2">
        <v>6.769005326452467E-39</v>
      </c>
      <c r="H3" s="2">
        <v>1</v>
      </c>
      <c r="I3" s="2">
        <v>6.8241372096338507E-38</v>
      </c>
      <c r="J3" s="2">
        <v>0</v>
      </c>
      <c r="K3" s="2" t="s">
        <v>2</v>
      </c>
    </row>
    <row r="4" spans="1:11" x14ac:dyDescent="0.35">
      <c r="A4" s="2" t="s">
        <v>14</v>
      </c>
      <c r="B4" s="2">
        <v>64</v>
      </c>
      <c r="C4" s="2">
        <v>640</v>
      </c>
      <c r="D4" s="2">
        <v>9.0909090909090912E-2</v>
      </c>
      <c r="E4" s="2">
        <v>1</v>
      </c>
      <c r="F4" s="2">
        <v>9.5251136174466824E-121</v>
      </c>
      <c r="G4" s="2">
        <v>1.9050227234893361E-120</v>
      </c>
      <c r="H4" s="2">
        <v>1</v>
      </c>
      <c r="I4" s="2">
        <v>8.4680760900011364E-105</v>
      </c>
      <c r="J4" s="2">
        <v>0</v>
      </c>
      <c r="K4" s="2" t="s">
        <v>2</v>
      </c>
    </row>
    <row r="5" spans="1:11" x14ac:dyDescent="0.35">
      <c r="A5" s="2" t="s">
        <v>15</v>
      </c>
      <c r="B5" s="2">
        <v>111</v>
      </c>
      <c r="C5" s="2">
        <v>593</v>
      </c>
      <c r="D5" s="2">
        <v>0.15767045454545461</v>
      </c>
      <c r="E5" s="2">
        <v>1</v>
      </c>
      <c r="F5" s="2">
        <v>1.043564636923742E-80</v>
      </c>
      <c r="G5" s="2">
        <v>2.0871292738474851E-80</v>
      </c>
      <c r="H5" s="2">
        <v>1</v>
      </c>
      <c r="I5" s="2">
        <v>4.7920336003613243E-74</v>
      </c>
      <c r="J5" s="2">
        <v>0</v>
      </c>
      <c r="K5" s="2" t="s">
        <v>2</v>
      </c>
    </row>
    <row r="6" spans="1:11" x14ac:dyDescent="0.35">
      <c r="A6" s="2" t="s">
        <v>16</v>
      </c>
      <c r="B6" s="2">
        <v>145</v>
      </c>
      <c r="C6" s="2">
        <v>559</v>
      </c>
      <c r="D6" s="2">
        <v>0.20596590909090909</v>
      </c>
      <c r="E6" s="2">
        <v>1</v>
      </c>
      <c r="F6" s="2">
        <v>1.8373954545833421E-58</v>
      </c>
      <c r="G6" s="2">
        <v>3.6747909091666842E-58</v>
      </c>
      <c r="H6" s="2">
        <v>1</v>
      </c>
      <c r="I6" s="2">
        <v>3.4610951267802842E-55</v>
      </c>
      <c r="J6" s="2">
        <v>0</v>
      </c>
      <c r="K6" s="2" t="s">
        <v>2</v>
      </c>
    </row>
    <row r="7" spans="1:11" x14ac:dyDescent="0.35">
      <c r="A7" s="2" t="s">
        <v>17</v>
      </c>
      <c r="B7" s="2">
        <v>388</v>
      </c>
      <c r="C7" s="2">
        <v>316</v>
      </c>
      <c r="D7" s="2">
        <v>0.55113636363636365</v>
      </c>
      <c r="E7" s="2">
        <v>3.7045825410822238E-3</v>
      </c>
      <c r="F7" s="2">
        <v>0.99705135870899886</v>
      </c>
      <c r="G7" s="2">
        <v>7.4091650821644477E-3</v>
      </c>
      <c r="H7" s="2">
        <v>3.3278027414747058E-3</v>
      </c>
      <c r="I7" s="2">
        <v>0.99667219725852529</v>
      </c>
      <c r="J7" s="2">
        <v>6.6556054829494116E-3</v>
      </c>
      <c r="K7" s="2" t="s">
        <v>1</v>
      </c>
    </row>
    <row r="8" spans="1:11" x14ac:dyDescent="0.35">
      <c r="A8" s="2" t="s">
        <v>18</v>
      </c>
      <c r="B8" s="2">
        <v>280</v>
      </c>
      <c r="C8" s="2">
        <v>424</v>
      </c>
      <c r="D8" s="2">
        <v>0.39772727272727271</v>
      </c>
      <c r="E8" s="2">
        <v>0.99999997919254269</v>
      </c>
      <c r="F8" s="2">
        <v>3.1923094571434119E-8</v>
      </c>
      <c r="G8" s="2">
        <v>6.3846189142868239E-8</v>
      </c>
      <c r="H8" s="2">
        <v>0.99999997137818786</v>
      </c>
      <c r="I8" s="2">
        <v>2.8621812133695279E-8</v>
      </c>
      <c r="J8" s="2">
        <v>5.7243624285163719E-8</v>
      </c>
      <c r="K8" s="2" t="s">
        <v>2</v>
      </c>
    </row>
    <row r="9" spans="1:11" x14ac:dyDescent="0.35">
      <c r="A9" s="2" t="s">
        <v>19</v>
      </c>
      <c r="B9" s="2">
        <v>276</v>
      </c>
      <c r="C9" s="2">
        <v>428</v>
      </c>
      <c r="D9" s="2">
        <v>0.39204545454545447</v>
      </c>
      <c r="E9" s="2">
        <v>0.99999999645551363</v>
      </c>
      <c r="F9" s="2">
        <v>5.5654150471749074E-9</v>
      </c>
      <c r="G9" s="2">
        <v>1.113083009434981E-8</v>
      </c>
      <c r="H9" s="2">
        <v>0.99999999494030434</v>
      </c>
      <c r="I9" s="2">
        <v>5.0596957075444564E-9</v>
      </c>
      <c r="J9" s="2">
        <v>1.011939132489204E-8</v>
      </c>
      <c r="K9" s="2" t="s">
        <v>2</v>
      </c>
    </row>
    <row r="10" spans="1:11" x14ac:dyDescent="0.35">
      <c r="A10" s="2" t="s">
        <v>20</v>
      </c>
      <c r="B10" s="2">
        <v>143</v>
      </c>
      <c r="C10" s="2">
        <v>561</v>
      </c>
      <c r="D10" s="2">
        <v>0.203125</v>
      </c>
      <c r="E10" s="2">
        <v>1</v>
      </c>
      <c r="F10" s="2">
        <v>1.213894333138013E-59</v>
      </c>
      <c r="G10" s="2">
        <v>2.4277886662760269E-59</v>
      </c>
      <c r="H10" s="2">
        <v>1</v>
      </c>
      <c r="I10" s="2">
        <v>3.225200149802477E-56</v>
      </c>
      <c r="J10" s="2">
        <v>0</v>
      </c>
      <c r="K10" s="2" t="s">
        <v>2</v>
      </c>
    </row>
    <row r="11" spans="1:11" x14ac:dyDescent="0.35">
      <c r="A11" s="2" t="s">
        <v>21</v>
      </c>
      <c r="B11" s="2">
        <v>284</v>
      </c>
      <c r="C11" s="2">
        <v>420</v>
      </c>
      <c r="D11" s="2">
        <v>0.40340909090909088</v>
      </c>
      <c r="E11" s="2">
        <v>0.99999988863049394</v>
      </c>
      <c r="F11" s="2">
        <v>1.6698232803194559E-7</v>
      </c>
      <c r="G11" s="2">
        <v>3.3396465606389117E-7</v>
      </c>
      <c r="H11" s="2">
        <v>0.99999985177723072</v>
      </c>
      <c r="I11" s="2">
        <v>1.482227692405834E-7</v>
      </c>
      <c r="J11" s="2">
        <v>2.9644553856122968E-7</v>
      </c>
      <c r="K11" s="2" t="s">
        <v>2</v>
      </c>
    </row>
    <row r="12" spans="1:11" x14ac:dyDescent="0.35">
      <c r="A12" s="2" t="s">
        <v>22</v>
      </c>
      <c r="B12" s="2">
        <v>259</v>
      </c>
      <c r="C12" s="2">
        <v>445</v>
      </c>
      <c r="D12" s="2">
        <v>0.36789772727272729</v>
      </c>
      <c r="E12" s="2">
        <v>0.99999999999932698</v>
      </c>
      <c r="F12" s="2">
        <v>1.168289654423001E-12</v>
      </c>
      <c r="G12" s="2">
        <v>2.3365793088460009E-12</v>
      </c>
      <c r="H12" s="2">
        <v>0.99999999999880962</v>
      </c>
      <c r="I12" s="2">
        <v>1.1904094046586059E-12</v>
      </c>
      <c r="J12" s="2">
        <v>2.3807622540061861E-12</v>
      </c>
      <c r="K12" s="2" t="s">
        <v>2</v>
      </c>
    </row>
    <row r="13" spans="1:11" x14ac:dyDescent="0.35">
      <c r="A13" s="2" t="s">
        <v>23</v>
      </c>
      <c r="B13" s="2">
        <v>271</v>
      </c>
      <c r="C13" s="2">
        <v>433</v>
      </c>
      <c r="D13" s="2">
        <v>0.38494318181818182</v>
      </c>
      <c r="E13" s="2">
        <v>0.99999999965971842</v>
      </c>
      <c r="F13" s="2">
        <v>5.5012734621003682E-10</v>
      </c>
      <c r="G13" s="2">
        <v>1.1002546924200741E-9</v>
      </c>
      <c r="H13" s="2">
        <v>0.99999999948793916</v>
      </c>
      <c r="I13" s="2">
        <v>5.1206087656329149E-10</v>
      </c>
      <c r="J13" s="2">
        <v>1.0241216763517971E-9</v>
      </c>
      <c r="K13" s="2" t="s">
        <v>2</v>
      </c>
    </row>
    <row r="14" spans="1:11" x14ac:dyDescent="0.35">
      <c r="A14" s="2" t="s">
        <v>24</v>
      </c>
      <c r="B14" s="2">
        <v>312</v>
      </c>
      <c r="C14" s="2">
        <v>392</v>
      </c>
      <c r="D14" s="2">
        <v>0.44318181818181818</v>
      </c>
      <c r="E14" s="2">
        <v>0.99887778140824413</v>
      </c>
      <c r="F14" s="2">
        <v>1.440259242764247E-3</v>
      </c>
      <c r="G14" s="2">
        <v>2.880518485528494E-3</v>
      </c>
      <c r="H14" s="2">
        <v>0.99871558423648865</v>
      </c>
      <c r="I14" s="2">
        <v>1.284415763511356E-3</v>
      </c>
      <c r="J14" s="2">
        <v>2.5688315270226969E-3</v>
      </c>
      <c r="K14" s="2" t="s">
        <v>2</v>
      </c>
    </row>
    <row r="15" spans="1:11" x14ac:dyDescent="0.35">
      <c r="A15" s="2" t="s">
        <v>25</v>
      </c>
      <c r="B15" s="2">
        <v>280</v>
      </c>
      <c r="C15" s="2">
        <v>424</v>
      </c>
      <c r="D15" s="2">
        <v>0.39772727272727271</v>
      </c>
      <c r="E15" s="2">
        <v>0.99999997919254269</v>
      </c>
      <c r="F15" s="2">
        <v>3.1923094571434119E-8</v>
      </c>
      <c r="G15" s="2">
        <v>6.3846189142868239E-8</v>
      </c>
      <c r="H15" s="2">
        <v>0.99999997137818786</v>
      </c>
      <c r="I15" s="2">
        <v>2.8621812133695279E-8</v>
      </c>
      <c r="J15" s="2">
        <v>5.7243624285163719E-8</v>
      </c>
      <c r="K15" s="2" t="s">
        <v>2</v>
      </c>
    </row>
    <row r="16" spans="1:11" x14ac:dyDescent="0.35">
      <c r="A16" s="2" t="s">
        <v>26</v>
      </c>
      <c r="B16" s="2">
        <v>355</v>
      </c>
      <c r="C16" s="2">
        <v>349</v>
      </c>
      <c r="D16" s="2">
        <v>0.50426136363636365</v>
      </c>
      <c r="E16" s="2">
        <v>0.42527252356759487</v>
      </c>
      <c r="F16" s="2">
        <v>0.60403040402144836</v>
      </c>
      <c r="G16" s="2">
        <v>0.85054504713518975</v>
      </c>
      <c r="H16" s="2">
        <v>0.41054879177597958</v>
      </c>
      <c r="I16" s="2">
        <v>0.58945120822402042</v>
      </c>
      <c r="J16" s="2">
        <v>0.82109758355195916</v>
      </c>
      <c r="K16" s="2" t="s">
        <v>12</v>
      </c>
    </row>
    <row r="17" spans="1:11" x14ac:dyDescent="0.35">
      <c r="A17" s="2" t="s">
        <v>27</v>
      </c>
      <c r="B17" s="2">
        <v>249</v>
      </c>
      <c r="C17" s="2">
        <v>455</v>
      </c>
      <c r="D17" s="2">
        <v>0.35369318181818182</v>
      </c>
      <c r="E17" s="2">
        <v>0.99999999999999811</v>
      </c>
      <c r="F17" s="2">
        <v>3.5800149477577373E-15</v>
      </c>
      <c r="G17" s="2">
        <v>7.160029895515473E-15</v>
      </c>
      <c r="H17" s="2">
        <v>0.99999999999999589</v>
      </c>
      <c r="I17" s="2">
        <v>4.1172859136787213E-15</v>
      </c>
      <c r="J17" s="2">
        <v>8.2156503822261584E-15</v>
      </c>
      <c r="K17" s="2" t="s">
        <v>2</v>
      </c>
    </row>
    <row r="18" spans="1:11" x14ac:dyDescent="0.35">
      <c r="A18" s="2" t="s">
        <v>28</v>
      </c>
      <c r="B18" s="2">
        <v>199</v>
      </c>
      <c r="C18" s="2">
        <v>505</v>
      </c>
      <c r="D18" s="2">
        <v>0.28267045454545447</v>
      </c>
      <c r="E18" s="2">
        <v>1</v>
      </c>
      <c r="F18" s="2">
        <v>7.4354863343056346E-32</v>
      </c>
      <c r="G18" s="2">
        <v>1.4870972668611269E-31</v>
      </c>
      <c r="H18" s="2">
        <v>1</v>
      </c>
      <c r="I18" s="2">
        <v>4.5076699615079748E-31</v>
      </c>
      <c r="J18" s="2">
        <v>0</v>
      </c>
      <c r="K18" s="2" t="s">
        <v>2</v>
      </c>
    </row>
    <row r="19" spans="1:11" x14ac:dyDescent="0.35">
      <c r="A19" s="2" t="s">
        <v>29</v>
      </c>
      <c r="B19" s="2">
        <v>98</v>
      </c>
      <c r="C19" s="2">
        <v>606</v>
      </c>
      <c r="D19" s="2">
        <v>0.13920454545454539</v>
      </c>
      <c r="E19" s="2">
        <v>1</v>
      </c>
      <c r="F19" s="2">
        <v>2.3349270348625991E-91</v>
      </c>
      <c r="G19" s="2">
        <v>4.6698540697251982E-91</v>
      </c>
      <c r="H19" s="2">
        <v>1</v>
      </c>
      <c r="I19" s="2">
        <v>5.2286141792269769E-82</v>
      </c>
      <c r="J19" s="2">
        <v>0</v>
      </c>
      <c r="K19" s="2" t="s">
        <v>2</v>
      </c>
    </row>
    <row r="20" spans="1:11" x14ac:dyDescent="0.35">
      <c r="A20" s="2" t="s">
        <v>30</v>
      </c>
      <c r="B20" s="2">
        <v>42</v>
      </c>
      <c r="C20" s="2">
        <v>662</v>
      </c>
      <c r="D20" s="2">
        <v>5.9659090909090912E-2</v>
      </c>
      <c r="E20" s="2">
        <v>1</v>
      </c>
      <c r="F20" s="2">
        <v>1.027366975828463E-144</v>
      </c>
      <c r="G20" s="2">
        <v>2.0547339516569251E-144</v>
      </c>
      <c r="H20" s="2">
        <v>1</v>
      </c>
      <c r="I20" s="2">
        <v>4.615132912585521E-121</v>
      </c>
      <c r="J20" s="2">
        <v>0</v>
      </c>
      <c r="K20" s="2" t="s">
        <v>2</v>
      </c>
    </row>
    <row r="21" spans="1:11" x14ac:dyDescent="0.35">
      <c r="A21" s="2" t="s">
        <v>31</v>
      </c>
      <c r="B21" s="2">
        <v>303</v>
      </c>
      <c r="C21" s="2">
        <v>401</v>
      </c>
      <c r="D21" s="2">
        <v>0.43039772727272729</v>
      </c>
      <c r="E21" s="2">
        <v>0.99990686743660029</v>
      </c>
      <c r="F21" s="2">
        <v>1.2551204111500489E-4</v>
      </c>
      <c r="G21" s="2">
        <v>2.5102408223000972E-4</v>
      </c>
      <c r="H21" s="2">
        <v>0.99988941182370716</v>
      </c>
      <c r="I21" s="2">
        <v>1.1058817629283019E-4</v>
      </c>
      <c r="J21" s="2">
        <v>2.211763525856725E-4</v>
      </c>
      <c r="K21" s="2" t="s">
        <v>2</v>
      </c>
    </row>
    <row r="22" spans="1:11" x14ac:dyDescent="0.35">
      <c r="A22" s="2" t="s">
        <v>32</v>
      </c>
      <c r="B22" s="2">
        <v>219</v>
      </c>
      <c r="C22" s="2">
        <v>485</v>
      </c>
      <c r="D22" s="2">
        <v>0.31107954545454553</v>
      </c>
      <c r="E22" s="2">
        <v>1</v>
      </c>
      <c r="F22" s="2">
        <v>2.475632071390249E-24</v>
      </c>
      <c r="G22" s="2">
        <v>4.9512641427804987E-24</v>
      </c>
      <c r="H22" s="2">
        <v>1</v>
      </c>
      <c r="I22" s="2">
        <v>5.9028902764989423E-24</v>
      </c>
      <c r="J22" s="2">
        <v>0</v>
      </c>
      <c r="K22" s="2" t="s">
        <v>2</v>
      </c>
    </row>
    <row r="23" spans="1:11" x14ac:dyDescent="0.35">
      <c r="A23" s="2" t="s">
        <v>33</v>
      </c>
      <c r="B23" s="2">
        <v>250</v>
      </c>
      <c r="C23" s="2">
        <v>454</v>
      </c>
      <c r="D23" s="2">
        <v>0.35511363636363641</v>
      </c>
      <c r="E23" s="2">
        <v>0.99999999999999645</v>
      </c>
      <c r="F23" s="2">
        <v>6.5633437089035283E-15</v>
      </c>
      <c r="G23" s="2">
        <v>1.312668741780706E-14</v>
      </c>
      <c r="H23" s="2">
        <v>0.99999999999999256</v>
      </c>
      <c r="I23" s="2">
        <v>7.4412160783291908E-15</v>
      </c>
      <c r="J23" s="2">
        <v>1.4876988529977101E-14</v>
      </c>
      <c r="K23" s="2" t="s">
        <v>2</v>
      </c>
    </row>
    <row r="24" spans="1:11" x14ac:dyDescent="0.35">
      <c r="A24" s="2" t="s">
        <v>34</v>
      </c>
      <c r="B24" s="2">
        <v>94</v>
      </c>
      <c r="C24" s="2">
        <v>610</v>
      </c>
      <c r="D24" s="2">
        <v>0.13352272727272729</v>
      </c>
      <c r="E24" s="2">
        <v>1</v>
      </c>
      <c r="F24" s="2">
        <v>9.0838068553318904E-94</v>
      </c>
      <c r="G24" s="2">
        <v>1.8167613710663781E-93</v>
      </c>
      <c r="H24" s="2">
        <v>1</v>
      </c>
      <c r="I24" s="2">
        <v>1.530496428375826E-84</v>
      </c>
      <c r="J24" s="2">
        <v>0</v>
      </c>
      <c r="K24" s="2" t="s">
        <v>2</v>
      </c>
    </row>
    <row r="25" spans="1:11" x14ac:dyDescent="0.35">
      <c r="A25" s="2" t="s">
        <v>35</v>
      </c>
      <c r="B25" s="2">
        <v>76</v>
      </c>
      <c r="C25" s="2">
        <v>628</v>
      </c>
      <c r="D25" s="2">
        <v>0.1079545454545455</v>
      </c>
      <c r="E25" s="2">
        <v>1</v>
      </c>
      <c r="F25" s="2">
        <v>2.7936919739005708E-109</v>
      </c>
      <c r="G25" s="2">
        <v>5.5873839478011416E-109</v>
      </c>
      <c r="H25" s="2">
        <v>1</v>
      </c>
      <c r="I25" s="2">
        <v>1.9791814964788361E-96</v>
      </c>
      <c r="J25" s="2">
        <v>0</v>
      </c>
      <c r="K25" s="2" t="s">
        <v>2</v>
      </c>
    </row>
    <row r="26" spans="1:11" x14ac:dyDescent="0.35">
      <c r="A26" s="2" t="s">
        <v>36</v>
      </c>
      <c r="B26" s="2">
        <v>301</v>
      </c>
      <c r="C26" s="2">
        <v>403</v>
      </c>
      <c r="D26" s="2">
        <v>0.42755681818181818</v>
      </c>
      <c r="E26" s="2">
        <v>0.99994956179441508</v>
      </c>
      <c r="F26" s="2">
        <v>6.8727136166595653E-5</v>
      </c>
      <c r="G26" s="2">
        <v>1.3745427233319131E-4</v>
      </c>
      <c r="H26" s="2">
        <v>0.99993954399936102</v>
      </c>
      <c r="I26" s="2">
        <v>6.0456000639001708E-5</v>
      </c>
      <c r="J26" s="2">
        <v>1.2091200127795081E-4</v>
      </c>
      <c r="K26" s="2" t="s">
        <v>2</v>
      </c>
    </row>
    <row r="27" spans="1:11" x14ac:dyDescent="0.35">
      <c r="A27" s="2" t="s">
        <v>37</v>
      </c>
      <c r="B27" s="2">
        <v>320</v>
      </c>
      <c r="C27" s="2">
        <v>384</v>
      </c>
      <c r="D27" s="2">
        <v>0.45454545454545447</v>
      </c>
      <c r="E27" s="2">
        <v>0.99288163498380022</v>
      </c>
      <c r="F27" s="2">
        <v>8.7576396766929094E-3</v>
      </c>
      <c r="G27" s="2">
        <v>1.7515279353385819E-2</v>
      </c>
      <c r="H27" s="2">
        <v>0.99206933363011351</v>
      </c>
      <c r="I27" s="2">
        <v>7.9306663698864906E-3</v>
      </c>
      <c r="J27" s="2">
        <v>1.5861332739772971E-2</v>
      </c>
      <c r="K27" s="2" t="s">
        <v>2</v>
      </c>
    </row>
    <row r="28" spans="1:11" x14ac:dyDescent="0.35">
      <c r="A28" s="2" t="s">
        <v>38</v>
      </c>
      <c r="B28" s="2">
        <v>346</v>
      </c>
      <c r="C28" s="2">
        <v>358</v>
      </c>
      <c r="D28" s="2">
        <v>0.49147727272727271</v>
      </c>
      <c r="E28" s="2">
        <v>0.68790182259992472</v>
      </c>
      <c r="F28" s="2">
        <v>0.33924030681285811</v>
      </c>
      <c r="G28" s="2">
        <v>0.6784806136257161</v>
      </c>
      <c r="H28" s="2">
        <v>0.67446168296108322</v>
      </c>
      <c r="I28" s="2">
        <v>0.32553831703891678</v>
      </c>
      <c r="J28" s="2">
        <v>0.65107663407783356</v>
      </c>
      <c r="K28" s="2" t="s">
        <v>12</v>
      </c>
    </row>
    <row r="29" spans="1:11" x14ac:dyDescent="0.35">
      <c r="A29" s="2" t="s">
        <v>39</v>
      </c>
      <c r="B29" s="2">
        <v>489</v>
      </c>
      <c r="C29" s="2">
        <v>215</v>
      </c>
      <c r="D29" s="2">
        <v>0.69460227272727271</v>
      </c>
      <c r="E29" s="2">
        <v>9.6049905137288658E-26</v>
      </c>
      <c r="F29" s="2">
        <v>1</v>
      </c>
      <c r="G29" s="2">
        <v>1.9209981027457729E-25</v>
      </c>
      <c r="H29" s="2">
        <v>0</v>
      </c>
      <c r="I29" s="2">
        <v>1</v>
      </c>
      <c r="J29" s="2">
        <v>0</v>
      </c>
      <c r="K29" s="2" t="s">
        <v>1</v>
      </c>
    </row>
    <row r="30" spans="1:11" x14ac:dyDescent="0.35">
      <c r="A30" s="2" t="s">
        <v>40</v>
      </c>
      <c r="B30" s="2">
        <v>167</v>
      </c>
      <c r="C30" s="2">
        <v>537</v>
      </c>
      <c r="D30" s="2">
        <v>0.23721590909090909</v>
      </c>
      <c r="E30" s="2">
        <v>1</v>
      </c>
      <c r="F30" s="2">
        <v>1.9276980083773721E-46</v>
      </c>
      <c r="G30" s="2">
        <v>3.8553960167547427E-46</v>
      </c>
      <c r="H30" s="2">
        <v>1</v>
      </c>
      <c r="I30" s="2">
        <v>1.6896140808242419E-44</v>
      </c>
      <c r="J30" s="2">
        <v>0</v>
      </c>
      <c r="K30" s="2" t="s">
        <v>2</v>
      </c>
    </row>
    <row r="31" spans="1:11" x14ac:dyDescent="0.35">
      <c r="A31" s="2" t="s">
        <v>41</v>
      </c>
      <c r="B31" s="2">
        <v>68</v>
      </c>
      <c r="C31" s="2">
        <v>636</v>
      </c>
      <c r="D31" s="2">
        <v>9.6590909090909088E-2</v>
      </c>
      <c r="E31" s="2">
        <v>1</v>
      </c>
      <c r="F31" s="2">
        <v>8.1621766870248294E-117</v>
      </c>
      <c r="G31" s="2">
        <v>1.6324353374049659E-116</v>
      </c>
      <c r="H31" s="2">
        <v>1</v>
      </c>
      <c r="I31" s="2">
        <v>5.7114603626378763E-102</v>
      </c>
      <c r="J31" s="2">
        <v>0</v>
      </c>
      <c r="K31" s="2" t="s">
        <v>2</v>
      </c>
    </row>
    <row r="32" spans="1:11" x14ac:dyDescent="0.35">
      <c r="A32" s="2" t="s">
        <v>42</v>
      </c>
      <c r="B32" s="2">
        <v>73</v>
      </c>
      <c r="C32" s="2">
        <v>631</v>
      </c>
      <c r="D32" s="2">
        <v>0.1036931818181818</v>
      </c>
      <c r="E32" s="2">
        <v>1</v>
      </c>
      <c r="F32" s="2">
        <v>4.6843790067146826E-112</v>
      </c>
      <c r="G32" s="2">
        <v>9.3687580134293651E-112</v>
      </c>
      <c r="H32" s="2">
        <v>1</v>
      </c>
      <c r="I32" s="2">
        <v>1.72802281154232E-98</v>
      </c>
      <c r="J32" s="2">
        <v>0</v>
      </c>
      <c r="K32" s="2" t="s">
        <v>2</v>
      </c>
    </row>
    <row r="33" spans="1:11" x14ac:dyDescent="0.35">
      <c r="A33" s="2" t="s">
        <v>43</v>
      </c>
      <c r="B33" s="2">
        <v>111</v>
      </c>
      <c r="C33" s="2">
        <v>593</v>
      </c>
      <c r="D33" s="2">
        <v>0.15767045454545461</v>
      </c>
      <c r="E33" s="2">
        <v>1</v>
      </c>
      <c r="F33" s="2">
        <v>1.043564636923742E-80</v>
      </c>
      <c r="G33" s="2">
        <v>2.0871292738474851E-80</v>
      </c>
      <c r="H33" s="2">
        <v>1</v>
      </c>
      <c r="I33" s="2">
        <v>4.7920336003613243E-74</v>
      </c>
      <c r="J33" s="2">
        <v>0</v>
      </c>
      <c r="K33" s="2" t="s">
        <v>2</v>
      </c>
    </row>
    <row r="34" spans="1:11" x14ac:dyDescent="0.35">
      <c r="A34" s="2" t="s">
        <v>44</v>
      </c>
      <c r="B34" s="2">
        <v>198</v>
      </c>
      <c r="C34" s="2">
        <v>506</v>
      </c>
      <c r="D34" s="2">
        <v>0.28125</v>
      </c>
      <c r="E34" s="2">
        <v>1</v>
      </c>
      <c r="F34" s="2">
        <v>2.9112115071309389E-32</v>
      </c>
      <c r="G34" s="2">
        <v>5.822423014261879E-32</v>
      </c>
      <c r="H34" s="2">
        <v>1</v>
      </c>
      <c r="I34" s="2">
        <v>1.8723615368679241E-31</v>
      </c>
      <c r="J34" s="2">
        <v>0</v>
      </c>
      <c r="K34" s="2" t="s">
        <v>2</v>
      </c>
    </row>
    <row r="35" spans="1:11" x14ac:dyDescent="0.35">
      <c r="A35" s="2" t="s">
        <v>45</v>
      </c>
      <c r="B35" s="2">
        <v>240</v>
      </c>
      <c r="C35" s="2">
        <v>464</v>
      </c>
      <c r="D35" s="2">
        <v>0.34090909090909088</v>
      </c>
      <c r="E35" s="2">
        <v>1</v>
      </c>
      <c r="F35" s="2">
        <v>5.947395794988822E-18</v>
      </c>
      <c r="G35" s="2">
        <v>1.1894791589977639E-17</v>
      </c>
      <c r="H35" s="2">
        <v>1</v>
      </c>
      <c r="I35" s="2">
        <v>1.5555326713803769E-17</v>
      </c>
      <c r="J35" s="2">
        <v>0</v>
      </c>
      <c r="K35" s="2" t="s">
        <v>2</v>
      </c>
    </row>
    <row r="36" spans="1:11" x14ac:dyDescent="0.35">
      <c r="A36" s="2" t="s">
        <v>46</v>
      </c>
      <c r="B36" s="2">
        <v>149</v>
      </c>
      <c r="C36" s="2">
        <v>555</v>
      </c>
      <c r="D36" s="2">
        <v>0.21164772727272729</v>
      </c>
      <c r="E36" s="2">
        <v>1</v>
      </c>
      <c r="F36" s="2">
        <v>3.7963523261952142E-56</v>
      </c>
      <c r="G36" s="2">
        <v>7.5927046523904283E-56</v>
      </c>
      <c r="H36" s="2">
        <v>1</v>
      </c>
      <c r="I36" s="2">
        <v>3.7242237622475958E-53</v>
      </c>
      <c r="J36" s="2">
        <v>0</v>
      </c>
      <c r="K36" s="2" t="s">
        <v>2</v>
      </c>
    </row>
    <row r="37" spans="1:11" x14ac:dyDescent="0.35">
      <c r="A37" s="2" t="s">
        <v>47</v>
      </c>
      <c r="B37" s="2">
        <v>214</v>
      </c>
      <c r="C37" s="2">
        <v>490</v>
      </c>
      <c r="D37" s="2">
        <v>0.30397727272727271</v>
      </c>
      <c r="E37" s="2">
        <v>1</v>
      </c>
      <c r="F37" s="2">
        <v>4.1928894555716279E-26</v>
      </c>
      <c r="G37" s="2">
        <v>8.3857789111432569E-26</v>
      </c>
      <c r="H37" s="2">
        <v>1</v>
      </c>
      <c r="I37" s="2">
        <v>1.21211528725007E-25</v>
      </c>
      <c r="J37" s="2">
        <v>0</v>
      </c>
      <c r="K37" s="2" t="s">
        <v>2</v>
      </c>
    </row>
    <row r="38" spans="1:11" x14ac:dyDescent="0.35">
      <c r="A38" s="2" t="s">
        <v>48</v>
      </c>
      <c r="B38" s="2">
        <v>206</v>
      </c>
      <c r="C38" s="2">
        <v>498</v>
      </c>
      <c r="D38" s="2">
        <v>0.29261363636363641</v>
      </c>
      <c r="E38" s="2">
        <v>1</v>
      </c>
      <c r="F38" s="2">
        <v>4.3442945899577279E-29</v>
      </c>
      <c r="G38" s="2">
        <v>8.6885891799154569E-29</v>
      </c>
      <c r="H38" s="2">
        <v>1</v>
      </c>
      <c r="I38" s="2">
        <v>1.8042922837426549E-28</v>
      </c>
      <c r="J38" s="2">
        <v>0</v>
      </c>
      <c r="K38" s="2" t="s">
        <v>2</v>
      </c>
    </row>
    <row r="39" spans="1:11" x14ac:dyDescent="0.35">
      <c r="A39" s="2" t="s">
        <v>49</v>
      </c>
      <c r="B39" s="2">
        <v>224</v>
      </c>
      <c r="C39" s="2">
        <v>480</v>
      </c>
      <c r="D39" s="2">
        <v>0.31818181818181818</v>
      </c>
      <c r="E39" s="2">
        <v>1</v>
      </c>
      <c r="F39" s="2">
        <v>1.240409552897812E-22</v>
      </c>
      <c r="G39" s="2">
        <v>2.4808191057956239E-22</v>
      </c>
      <c r="H39" s="2">
        <v>1</v>
      </c>
      <c r="I39" s="2">
        <v>2.4973315511776192E-22</v>
      </c>
      <c r="J39" s="2">
        <v>0</v>
      </c>
      <c r="K39" s="2" t="s">
        <v>2</v>
      </c>
    </row>
    <row r="40" spans="1:11" x14ac:dyDescent="0.35">
      <c r="A40" s="2" t="s">
        <v>50</v>
      </c>
      <c r="B40" s="2">
        <v>135</v>
      </c>
      <c r="C40" s="2">
        <v>569</v>
      </c>
      <c r="D40" s="2">
        <v>0.19176136363636359</v>
      </c>
      <c r="E40" s="2">
        <v>1</v>
      </c>
      <c r="F40" s="2">
        <v>1.624786414533184E-64</v>
      </c>
      <c r="G40" s="2">
        <v>3.2495728290663667E-64</v>
      </c>
      <c r="H40" s="2">
        <v>1</v>
      </c>
      <c r="I40" s="2">
        <v>1.939131518997391E-60</v>
      </c>
      <c r="J40" s="2">
        <v>0</v>
      </c>
      <c r="K40" s="2" t="s">
        <v>2</v>
      </c>
    </row>
    <row r="41" spans="1:11" x14ac:dyDescent="0.35">
      <c r="A41" s="2" t="s">
        <v>51</v>
      </c>
      <c r="B41" s="2">
        <v>157</v>
      </c>
      <c r="C41" s="2">
        <v>547</v>
      </c>
      <c r="D41" s="2">
        <v>0.22301136363636359</v>
      </c>
      <c r="E41" s="2">
        <v>1</v>
      </c>
      <c r="F41" s="2">
        <v>1.0820995532293509E-51</v>
      </c>
      <c r="G41" s="2">
        <v>2.164199106458701E-51</v>
      </c>
      <c r="H41" s="2">
        <v>1</v>
      </c>
      <c r="I41" s="2">
        <v>3.2865195622025901E-49</v>
      </c>
      <c r="J41" s="2">
        <v>0</v>
      </c>
      <c r="K41" s="2" t="s">
        <v>2</v>
      </c>
    </row>
    <row r="42" spans="1:11" x14ac:dyDescent="0.35">
      <c r="A42" s="2" t="s">
        <v>52</v>
      </c>
      <c r="B42" s="2">
        <v>235</v>
      </c>
      <c r="C42" s="2">
        <v>469</v>
      </c>
      <c r="D42" s="2">
        <v>0.33380681818181818</v>
      </c>
      <c r="E42" s="2">
        <v>1</v>
      </c>
      <c r="F42" s="2">
        <v>3.8616256165580808E-19</v>
      </c>
      <c r="G42" s="2">
        <v>7.7232512331161617E-19</v>
      </c>
      <c r="H42" s="2">
        <v>1</v>
      </c>
      <c r="I42" s="2">
        <v>5.7636670869572865E-19</v>
      </c>
      <c r="J42" s="2">
        <v>0</v>
      </c>
      <c r="K42" s="2" t="s">
        <v>2</v>
      </c>
    </row>
    <row r="43" spans="1:11" x14ac:dyDescent="0.35">
      <c r="A43" s="2" t="s">
        <v>53</v>
      </c>
      <c r="B43" s="2">
        <v>210</v>
      </c>
      <c r="C43" s="2">
        <v>494</v>
      </c>
      <c r="D43" s="2">
        <v>0.29829545454545447</v>
      </c>
      <c r="E43" s="2">
        <v>1</v>
      </c>
      <c r="F43" s="2">
        <v>1.4242880456734839E-27</v>
      </c>
      <c r="G43" s="2">
        <v>2.848576091346969E-27</v>
      </c>
      <c r="H43" s="2">
        <v>1</v>
      </c>
      <c r="I43" s="2">
        <v>4.8921766065608342E-27</v>
      </c>
      <c r="J43" s="2">
        <v>0</v>
      </c>
      <c r="K43" s="2" t="s">
        <v>2</v>
      </c>
    </row>
    <row r="44" spans="1:11" x14ac:dyDescent="0.35">
      <c r="A44" s="2" t="s">
        <v>54</v>
      </c>
      <c r="B44" s="2">
        <v>231</v>
      </c>
      <c r="C44" s="2">
        <v>473</v>
      </c>
      <c r="D44" s="2">
        <v>0.328125</v>
      </c>
      <c r="E44" s="2">
        <v>1</v>
      </c>
      <c r="F44" s="2">
        <v>2.2664703991124299E-20</v>
      </c>
      <c r="G44" s="2">
        <v>4.5329407982248592E-20</v>
      </c>
      <c r="H44" s="2">
        <v>1</v>
      </c>
      <c r="I44" s="2">
        <v>3.7314065090935132E-20</v>
      </c>
      <c r="J44" s="2">
        <v>0</v>
      </c>
      <c r="K44" s="2" t="s">
        <v>2</v>
      </c>
    </row>
    <row r="45" spans="1:11" x14ac:dyDescent="0.35">
      <c r="A45" s="2" t="s">
        <v>55</v>
      </c>
      <c r="B45" s="2">
        <v>302</v>
      </c>
      <c r="C45" s="2">
        <v>402</v>
      </c>
      <c r="D45" s="2">
        <v>0.42897727272727271</v>
      </c>
      <c r="E45" s="2">
        <v>0.99993127286383343</v>
      </c>
      <c r="F45" s="2">
        <v>9.3132563399741616E-5</v>
      </c>
      <c r="G45" s="2">
        <v>1.8626512679948321E-4</v>
      </c>
      <c r="H45" s="2">
        <v>0.99991801303050887</v>
      </c>
      <c r="I45" s="2">
        <v>8.1986969491158737E-5</v>
      </c>
      <c r="J45" s="2">
        <v>1.6397393898226481E-4</v>
      </c>
      <c r="K45" s="2" t="s">
        <v>2</v>
      </c>
    </row>
    <row r="46" spans="1:11" x14ac:dyDescent="0.35">
      <c r="A46" s="2" t="s">
        <v>56</v>
      </c>
      <c r="B46" s="2">
        <v>652</v>
      </c>
      <c r="C46" s="2">
        <v>52</v>
      </c>
      <c r="D46" s="2">
        <v>0.92613636363636365</v>
      </c>
      <c r="E46" s="2">
        <v>2.7496109338662921E-133</v>
      </c>
      <c r="F46" s="2">
        <v>1</v>
      </c>
      <c r="G46" s="2">
        <v>5.4992218677325849E-133</v>
      </c>
      <c r="H46" s="2">
        <v>0</v>
      </c>
      <c r="I46" s="2">
        <v>1</v>
      </c>
      <c r="J46" s="2">
        <v>0</v>
      </c>
      <c r="K46" s="2" t="s">
        <v>1</v>
      </c>
    </row>
    <row r="47" spans="1:11" x14ac:dyDescent="0.35">
      <c r="A47" s="2" t="s">
        <v>57</v>
      </c>
      <c r="B47" s="2">
        <v>660</v>
      </c>
      <c r="C47" s="2">
        <v>44</v>
      </c>
      <c r="D47" s="2">
        <v>0.9375</v>
      </c>
      <c r="E47" s="2">
        <v>2.3842679704473091E-142</v>
      </c>
      <c r="F47" s="2">
        <v>1</v>
      </c>
      <c r="G47" s="2">
        <v>4.7685359408946181E-142</v>
      </c>
      <c r="H47" s="2">
        <v>0</v>
      </c>
      <c r="I47" s="2">
        <v>1</v>
      </c>
      <c r="J47" s="2">
        <v>0</v>
      </c>
      <c r="K47" s="2" t="s">
        <v>1</v>
      </c>
    </row>
    <row r="48" spans="1:11" x14ac:dyDescent="0.35">
      <c r="A48" s="2" t="s">
        <v>58</v>
      </c>
      <c r="B48" s="2">
        <v>690</v>
      </c>
      <c r="C48" s="2">
        <v>14</v>
      </c>
      <c r="D48" s="2">
        <v>0.98011363636363635</v>
      </c>
      <c r="E48" s="2">
        <v>8.9715612864430663E-184</v>
      </c>
      <c r="F48" s="2">
        <v>1</v>
      </c>
      <c r="G48" s="2">
        <v>1.7943122572886131E-183</v>
      </c>
      <c r="H48" s="2">
        <v>0</v>
      </c>
      <c r="I48" s="2">
        <v>1</v>
      </c>
      <c r="J48" s="2">
        <v>0</v>
      </c>
      <c r="K48" s="2" t="s">
        <v>1</v>
      </c>
    </row>
    <row r="49" spans="1:11" x14ac:dyDescent="0.35">
      <c r="A49" s="2" t="s">
        <v>59</v>
      </c>
      <c r="B49" s="2">
        <v>618</v>
      </c>
      <c r="C49" s="2">
        <v>86</v>
      </c>
      <c r="D49" s="2">
        <v>0.87784090909090906</v>
      </c>
      <c r="E49" s="2">
        <v>1.970744891997375E-100</v>
      </c>
      <c r="F49" s="2">
        <v>1</v>
      </c>
      <c r="G49" s="2">
        <v>3.9414897839947491E-100</v>
      </c>
      <c r="H49" s="2">
        <v>0</v>
      </c>
      <c r="I49" s="2">
        <v>1</v>
      </c>
      <c r="J49" s="2">
        <v>0</v>
      </c>
      <c r="K49" s="2" t="s">
        <v>1</v>
      </c>
    </row>
    <row r="50" spans="1:11" x14ac:dyDescent="0.35">
      <c r="A50" s="2" t="s">
        <v>60</v>
      </c>
      <c r="B50" s="2">
        <v>554</v>
      </c>
      <c r="C50" s="2">
        <v>150</v>
      </c>
      <c r="D50" s="2">
        <v>0.78693181818181823</v>
      </c>
      <c r="E50" s="2">
        <v>1.4090188702553811E-55</v>
      </c>
      <c r="F50" s="2">
        <v>1</v>
      </c>
      <c r="G50" s="2">
        <v>2.8180377405107629E-55</v>
      </c>
      <c r="H50" s="2">
        <v>0</v>
      </c>
      <c r="I50" s="2">
        <v>1</v>
      </c>
      <c r="J50" s="2">
        <v>0</v>
      </c>
      <c r="K50" s="2" t="s">
        <v>1</v>
      </c>
    </row>
    <row r="51" spans="1:11" x14ac:dyDescent="0.35">
      <c r="A51" s="2" t="s">
        <v>61</v>
      </c>
      <c r="B51" s="2">
        <v>556</v>
      </c>
      <c r="C51" s="2">
        <v>148</v>
      </c>
      <c r="D51" s="2">
        <v>0.78977272727272729</v>
      </c>
      <c r="E51" s="2">
        <v>1.014234386638713E-56</v>
      </c>
      <c r="F51" s="2">
        <v>1</v>
      </c>
      <c r="G51" s="2">
        <v>2.0284687732774259E-56</v>
      </c>
      <c r="H51" s="2">
        <v>0</v>
      </c>
      <c r="I51" s="2">
        <v>1</v>
      </c>
      <c r="J51" s="2">
        <v>0</v>
      </c>
      <c r="K51" s="2" t="s">
        <v>1</v>
      </c>
    </row>
    <row r="52" spans="1:11" x14ac:dyDescent="0.35">
      <c r="A52" s="2" t="s">
        <v>62</v>
      </c>
      <c r="B52" s="2">
        <v>704</v>
      </c>
      <c r="C52" s="2">
        <v>0</v>
      </c>
      <c r="D52" s="2">
        <v>1</v>
      </c>
      <c r="E52" s="2">
        <v>1.1881822289344749E-212</v>
      </c>
      <c r="F52" s="2">
        <v>1</v>
      </c>
      <c r="G52" s="2">
        <v>2.3763644578689498E-212</v>
      </c>
      <c r="H52" s="2">
        <v>0</v>
      </c>
      <c r="I52" s="2">
        <v>1</v>
      </c>
      <c r="J52" s="2">
        <v>0</v>
      </c>
      <c r="K52" s="2" t="s">
        <v>1</v>
      </c>
    </row>
    <row r="53" spans="1:11" x14ac:dyDescent="0.35">
      <c r="A53" s="2" t="s">
        <v>63</v>
      </c>
      <c r="B53" s="2">
        <v>297</v>
      </c>
      <c r="C53" s="2">
        <v>407</v>
      </c>
      <c r="D53" s="2">
        <v>0.421875</v>
      </c>
      <c r="E53" s="2">
        <v>0.99998615736150531</v>
      </c>
      <c r="F53" s="2">
        <v>1.9285241824994172E-5</v>
      </c>
      <c r="G53" s="2">
        <v>3.8570483649988343E-5</v>
      </c>
      <c r="H53" s="2">
        <v>0.99998306712934337</v>
      </c>
      <c r="I53" s="2">
        <v>1.6932870656650061E-5</v>
      </c>
      <c r="J53" s="2">
        <v>3.3865741313254823E-5</v>
      </c>
      <c r="K53" s="2" t="s">
        <v>2</v>
      </c>
    </row>
    <row r="54" spans="1:11" x14ac:dyDescent="0.35">
      <c r="A54" s="2" t="s">
        <v>64</v>
      </c>
      <c r="B54" s="2">
        <v>690</v>
      </c>
      <c r="C54" s="2">
        <v>14</v>
      </c>
      <c r="D54" s="2">
        <v>0.98011363636363635</v>
      </c>
      <c r="E54" s="2">
        <v>8.9715612864430663E-184</v>
      </c>
      <c r="F54" s="2">
        <v>1</v>
      </c>
      <c r="G54" s="2">
        <v>1.7943122572886131E-183</v>
      </c>
      <c r="H54" s="2">
        <v>0</v>
      </c>
      <c r="I54" s="2">
        <v>1</v>
      </c>
      <c r="J54" s="2">
        <v>0</v>
      </c>
      <c r="K54" s="2" t="s">
        <v>1</v>
      </c>
    </row>
    <row r="55" spans="1:11" x14ac:dyDescent="0.35">
      <c r="A55" s="2" t="s">
        <v>65</v>
      </c>
      <c r="B55" s="2">
        <v>704</v>
      </c>
      <c r="C55" s="2">
        <v>0</v>
      </c>
      <c r="D55" s="2">
        <v>1</v>
      </c>
      <c r="E55" s="2">
        <v>1.1881822289344749E-212</v>
      </c>
      <c r="F55" s="2">
        <v>1</v>
      </c>
      <c r="G55" s="2">
        <v>2.3763644578689498E-212</v>
      </c>
      <c r="H55" s="2">
        <v>0</v>
      </c>
      <c r="I55" s="2">
        <v>1</v>
      </c>
      <c r="J55" s="2">
        <v>0</v>
      </c>
      <c r="K55" s="2" t="s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V173"/>
  <sheetViews>
    <sheetView workbookViewId="0">
      <pane ySplit="1" topLeftCell="A3" activePane="bottomLeft" state="frozen"/>
      <selection pane="bottomLeft" activeCell="E14" sqref="E14"/>
    </sheetView>
  </sheetViews>
  <sheetFormatPr defaultRowHeight="14.5" x14ac:dyDescent="0.35"/>
  <cols>
    <col min="1" max="1" width="23" customWidth="1"/>
    <col min="2" max="4" width="36" hidden="1" customWidth="1"/>
    <col min="5" max="7" width="35" customWidth="1"/>
    <col min="8" max="16" width="37" customWidth="1"/>
  </cols>
  <sheetData>
    <row r="1" spans="1:22" x14ac:dyDescent="0.35">
      <c r="A1" s="1" t="s">
        <v>0</v>
      </c>
      <c r="B1" s="4" t="s">
        <v>66</v>
      </c>
      <c r="C1" s="5" t="s">
        <v>67</v>
      </c>
      <c r="D1" s="1" t="s">
        <v>68</v>
      </c>
      <c r="E1" s="1" t="s">
        <v>69</v>
      </c>
      <c r="F1" s="5" t="s">
        <v>70</v>
      </c>
      <c r="G1" s="1" t="s">
        <v>71</v>
      </c>
      <c r="H1" s="1" t="s">
        <v>72</v>
      </c>
      <c r="I1" s="5" t="s">
        <v>73</v>
      </c>
      <c r="J1" s="1" t="s">
        <v>74</v>
      </c>
      <c r="K1" s="4" t="s">
        <v>75</v>
      </c>
      <c r="L1" s="5" t="s">
        <v>76</v>
      </c>
      <c r="M1" s="1" t="s">
        <v>77</v>
      </c>
      <c r="N1" s="1" t="s">
        <v>78</v>
      </c>
      <c r="O1" s="5" t="s">
        <v>79</v>
      </c>
      <c r="P1" s="1" t="s">
        <v>80</v>
      </c>
    </row>
    <row r="2" spans="1:22" x14ac:dyDescent="0.35">
      <c r="A2" s="6" t="s">
        <v>11</v>
      </c>
      <c r="B2" s="6" t="s">
        <v>12</v>
      </c>
      <c r="C2" s="6" t="s">
        <v>12</v>
      </c>
      <c r="D2" s="6" t="s">
        <v>12</v>
      </c>
      <c r="E2" s="6" t="s">
        <v>12</v>
      </c>
      <c r="F2" s="6" t="s">
        <v>12</v>
      </c>
      <c r="G2" s="6" t="s">
        <v>12</v>
      </c>
      <c r="H2" s="6" t="s">
        <v>12</v>
      </c>
      <c r="I2" s="6" t="s">
        <v>12</v>
      </c>
      <c r="J2" s="6" t="s">
        <v>12</v>
      </c>
      <c r="K2" s="6" t="s">
        <v>12</v>
      </c>
      <c r="L2" s="6" t="s">
        <v>12</v>
      </c>
      <c r="M2" s="6" t="s">
        <v>12</v>
      </c>
      <c r="N2" s="6" t="s">
        <v>12</v>
      </c>
      <c r="O2" s="6" t="s">
        <v>2</v>
      </c>
      <c r="P2" s="6" t="s">
        <v>12</v>
      </c>
      <c r="Q2" s="7" t="str">
        <f>VLOOKUP(A2,$T$2:$V$173,3,FALSE)</f>
        <v>Stage1</v>
      </c>
      <c r="T2" t="s">
        <v>11</v>
      </c>
      <c r="U2" t="s">
        <v>145</v>
      </c>
      <c r="V2" t="s">
        <v>146</v>
      </c>
    </row>
    <row r="3" spans="1:22" x14ac:dyDescent="0.35">
      <c r="A3" s="6" t="s">
        <v>13</v>
      </c>
      <c r="B3" s="6" t="s">
        <v>12</v>
      </c>
      <c r="C3" s="6" t="s">
        <v>1</v>
      </c>
      <c r="D3" s="6" t="s">
        <v>2</v>
      </c>
      <c r="E3" s="6" t="s">
        <v>2</v>
      </c>
      <c r="F3" s="6" t="s">
        <v>1</v>
      </c>
      <c r="G3" s="6" t="s">
        <v>2</v>
      </c>
      <c r="H3" s="6" t="s">
        <v>2</v>
      </c>
      <c r="I3" s="6" t="s">
        <v>1</v>
      </c>
      <c r="J3" s="6" t="s">
        <v>12</v>
      </c>
      <c r="K3" s="6" t="s">
        <v>1</v>
      </c>
      <c r="L3" s="6" t="s">
        <v>1</v>
      </c>
      <c r="M3" s="6" t="s">
        <v>2</v>
      </c>
      <c r="N3" s="6" t="s">
        <v>12</v>
      </c>
      <c r="O3" s="6" t="s">
        <v>1</v>
      </c>
      <c r="P3" s="6" t="s">
        <v>2</v>
      </c>
      <c r="Q3" s="7" t="str">
        <f t="shared" ref="Q3:Q55" si="0">VLOOKUP(A3,$T$2:$V$173,3,FALSE)</f>
        <v>Stage1</v>
      </c>
      <c r="T3" t="s">
        <v>147</v>
      </c>
      <c r="U3" t="s">
        <v>148</v>
      </c>
      <c r="V3" t="s">
        <v>146</v>
      </c>
    </row>
    <row r="4" spans="1:22" x14ac:dyDescent="0.35">
      <c r="A4" s="8" t="s">
        <v>14</v>
      </c>
      <c r="B4" s="8" t="s">
        <v>2</v>
      </c>
      <c r="C4" s="8" t="s">
        <v>1</v>
      </c>
      <c r="D4" s="8" t="s">
        <v>2</v>
      </c>
      <c r="E4" s="8" t="s">
        <v>2</v>
      </c>
      <c r="F4" s="8" t="s">
        <v>1</v>
      </c>
      <c r="G4" s="8" t="s">
        <v>2</v>
      </c>
      <c r="H4" s="8" t="s">
        <v>2</v>
      </c>
      <c r="I4" s="8" t="s">
        <v>1</v>
      </c>
      <c r="J4" s="8" t="s">
        <v>2</v>
      </c>
      <c r="K4" s="8" t="s">
        <v>12</v>
      </c>
      <c r="L4" s="8" t="s">
        <v>1</v>
      </c>
      <c r="M4" s="8" t="s">
        <v>2</v>
      </c>
      <c r="N4" s="8" t="s">
        <v>2</v>
      </c>
      <c r="O4" s="8" t="s">
        <v>1</v>
      </c>
      <c r="P4" s="8" t="s">
        <v>2</v>
      </c>
      <c r="Q4" s="9" t="str">
        <f t="shared" si="0"/>
        <v>Stage2</v>
      </c>
      <c r="T4" t="s">
        <v>149</v>
      </c>
      <c r="U4" t="s">
        <v>150</v>
      </c>
      <c r="V4" t="s">
        <v>146</v>
      </c>
    </row>
    <row r="5" spans="1:22" x14ac:dyDescent="0.35">
      <c r="A5" s="8" t="s">
        <v>15</v>
      </c>
      <c r="B5" s="8" t="s">
        <v>12</v>
      </c>
      <c r="C5" s="8" t="s">
        <v>1</v>
      </c>
      <c r="D5" s="8" t="s">
        <v>2</v>
      </c>
      <c r="E5" s="8" t="s">
        <v>12</v>
      </c>
      <c r="F5" s="8" t="s">
        <v>1</v>
      </c>
      <c r="G5" s="8" t="s">
        <v>2</v>
      </c>
      <c r="H5" s="8" t="s">
        <v>12</v>
      </c>
      <c r="I5" s="8" t="s">
        <v>1</v>
      </c>
      <c r="J5" s="8" t="s">
        <v>2</v>
      </c>
      <c r="K5" s="8" t="s">
        <v>1</v>
      </c>
      <c r="L5" s="8" t="s">
        <v>1</v>
      </c>
      <c r="M5" s="8" t="s">
        <v>2</v>
      </c>
      <c r="N5" s="8" t="s">
        <v>2</v>
      </c>
      <c r="O5" s="8" t="s">
        <v>1</v>
      </c>
      <c r="P5" s="8" t="s">
        <v>2</v>
      </c>
      <c r="Q5" s="9" t="str">
        <f t="shared" si="0"/>
        <v>Stage2</v>
      </c>
      <c r="T5" t="s">
        <v>13</v>
      </c>
      <c r="U5" t="s">
        <v>151</v>
      </c>
      <c r="V5" t="s">
        <v>146</v>
      </c>
    </row>
    <row r="6" spans="1:22" x14ac:dyDescent="0.35">
      <c r="A6" s="8" t="s">
        <v>16</v>
      </c>
      <c r="B6" s="8" t="s">
        <v>12</v>
      </c>
      <c r="C6" s="8" t="s">
        <v>1</v>
      </c>
      <c r="D6" s="8" t="s">
        <v>2</v>
      </c>
      <c r="E6" s="8" t="s">
        <v>1</v>
      </c>
      <c r="F6" s="8" t="s">
        <v>1</v>
      </c>
      <c r="G6" s="8" t="s">
        <v>2</v>
      </c>
      <c r="H6" s="8" t="s">
        <v>2</v>
      </c>
      <c r="I6" s="8" t="s">
        <v>1</v>
      </c>
      <c r="J6" s="8" t="s">
        <v>12</v>
      </c>
      <c r="K6" s="8" t="s">
        <v>1</v>
      </c>
      <c r="L6" s="8" t="s">
        <v>1</v>
      </c>
      <c r="M6" s="8" t="s">
        <v>2</v>
      </c>
      <c r="N6" s="8" t="s">
        <v>1</v>
      </c>
      <c r="O6" s="8" t="s">
        <v>1</v>
      </c>
      <c r="P6" s="8" t="s">
        <v>2</v>
      </c>
      <c r="Q6" s="9" t="str">
        <f t="shared" si="0"/>
        <v>Stage2</v>
      </c>
      <c r="T6" t="s">
        <v>14</v>
      </c>
      <c r="U6" t="s">
        <v>145</v>
      </c>
      <c r="V6" t="s">
        <v>152</v>
      </c>
    </row>
    <row r="7" spans="1:22" x14ac:dyDescent="0.35">
      <c r="A7" s="8" t="s">
        <v>17</v>
      </c>
      <c r="B7" s="8" t="s">
        <v>12</v>
      </c>
      <c r="C7" s="8" t="s">
        <v>1</v>
      </c>
      <c r="D7" s="8" t="s">
        <v>1</v>
      </c>
      <c r="E7" s="8" t="s">
        <v>2</v>
      </c>
      <c r="F7" s="8" t="s">
        <v>1</v>
      </c>
      <c r="G7" s="8" t="s">
        <v>2</v>
      </c>
      <c r="H7" s="8" t="s">
        <v>2</v>
      </c>
      <c r="I7" s="8" t="s">
        <v>1</v>
      </c>
      <c r="J7" s="8" t="s">
        <v>1</v>
      </c>
      <c r="K7" s="8" t="s">
        <v>1</v>
      </c>
      <c r="L7" s="8" t="s">
        <v>1</v>
      </c>
      <c r="M7" s="8" t="s">
        <v>2</v>
      </c>
      <c r="N7" s="8" t="s">
        <v>12</v>
      </c>
      <c r="O7" s="8" t="s">
        <v>1</v>
      </c>
      <c r="P7" s="8" t="s">
        <v>2</v>
      </c>
      <c r="Q7" s="9" t="str">
        <f t="shared" si="0"/>
        <v>Stage2</v>
      </c>
      <c r="T7" t="s">
        <v>153</v>
      </c>
      <c r="U7" t="s">
        <v>148</v>
      </c>
      <c r="V7" t="s">
        <v>152</v>
      </c>
    </row>
    <row r="8" spans="1:22" x14ac:dyDescent="0.35">
      <c r="A8" s="8" t="s">
        <v>18</v>
      </c>
      <c r="B8" s="8" t="s">
        <v>2</v>
      </c>
      <c r="C8" s="8" t="s">
        <v>1</v>
      </c>
      <c r="D8" s="8" t="s">
        <v>2</v>
      </c>
      <c r="E8" s="8" t="s">
        <v>2</v>
      </c>
      <c r="F8" s="8" t="s">
        <v>1</v>
      </c>
      <c r="G8" s="8" t="s">
        <v>2</v>
      </c>
      <c r="H8" s="8" t="s">
        <v>2</v>
      </c>
      <c r="I8" s="8" t="s">
        <v>1</v>
      </c>
      <c r="J8" s="8" t="s">
        <v>1</v>
      </c>
      <c r="K8" s="8" t="s">
        <v>2</v>
      </c>
      <c r="L8" s="8" t="s">
        <v>1</v>
      </c>
      <c r="M8" s="8" t="s">
        <v>2</v>
      </c>
      <c r="N8" s="8" t="s">
        <v>2</v>
      </c>
      <c r="O8" s="8" t="s">
        <v>1</v>
      </c>
      <c r="P8" s="8" t="s">
        <v>2</v>
      </c>
      <c r="Q8" s="9" t="str">
        <f t="shared" si="0"/>
        <v>Stage2</v>
      </c>
      <c r="T8" t="s">
        <v>154</v>
      </c>
      <c r="U8" t="s">
        <v>150</v>
      </c>
      <c r="V8" t="s">
        <v>152</v>
      </c>
    </row>
    <row r="9" spans="1:22" x14ac:dyDescent="0.35">
      <c r="A9" s="8" t="s">
        <v>19</v>
      </c>
      <c r="B9" s="8" t="s">
        <v>2</v>
      </c>
      <c r="C9" s="8" t="s">
        <v>1</v>
      </c>
      <c r="D9" s="8" t="s">
        <v>2</v>
      </c>
      <c r="E9" s="8" t="s">
        <v>12</v>
      </c>
      <c r="F9" s="8" t="s">
        <v>1</v>
      </c>
      <c r="G9" s="8" t="s">
        <v>2</v>
      </c>
      <c r="H9" s="8" t="s">
        <v>2</v>
      </c>
      <c r="I9" s="8" t="s">
        <v>1</v>
      </c>
      <c r="J9" s="8" t="s">
        <v>12</v>
      </c>
      <c r="K9" s="8" t="s">
        <v>12</v>
      </c>
      <c r="L9" s="8" t="s">
        <v>1</v>
      </c>
      <c r="M9" s="8" t="s">
        <v>2</v>
      </c>
      <c r="N9" s="8" t="s">
        <v>2</v>
      </c>
      <c r="O9" s="8" t="s">
        <v>1</v>
      </c>
      <c r="P9" s="8" t="s">
        <v>2</v>
      </c>
      <c r="Q9" s="9" t="str">
        <f t="shared" si="0"/>
        <v>Stage2</v>
      </c>
      <c r="T9" t="s">
        <v>15</v>
      </c>
      <c r="U9" t="s">
        <v>145</v>
      </c>
      <c r="V9" t="s">
        <v>152</v>
      </c>
    </row>
    <row r="10" spans="1:22" x14ac:dyDescent="0.35">
      <c r="A10" s="8" t="s">
        <v>20</v>
      </c>
      <c r="B10" s="8" t="s">
        <v>12</v>
      </c>
      <c r="C10" s="8" t="s">
        <v>1</v>
      </c>
      <c r="D10" s="8" t="s">
        <v>2</v>
      </c>
      <c r="E10" s="8" t="s">
        <v>1</v>
      </c>
      <c r="F10" s="8" t="s">
        <v>1</v>
      </c>
      <c r="G10" s="8" t="s">
        <v>2</v>
      </c>
      <c r="H10" s="8" t="s">
        <v>2</v>
      </c>
      <c r="I10" s="8" t="s">
        <v>12</v>
      </c>
      <c r="J10" s="8" t="s">
        <v>2</v>
      </c>
      <c r="K10" s="8" t="s">
        <v>12</v>
      </c>
      <c r="L10" s="8" t="s">
        <v>1</v>
      </c>
      <c r="M10" s="8" t="s">
        <v>2</v>
      </c>
      <c r="N10" s="8" t="s">
        <v>2</v>
      </c>
      <c r="O10" s="8" t="s">
        <v>1</v>
      </c>
      <c r="P10" s="8" t="s">
        <v>2</v>
      </c>
      <c r="Q10" s="9" t="str">
        <f t="shared" si="0"/>
        <v>Stage2</v>
      </c>
      <c r="T10" t="s">
        <v>155</v>
      </c>
      <c r="U10" t="s">
        <v>148</v>
      </c>
      <c r="V10" t="s">
        <v>152</v>
      </c>
    </row>
    <row r="11" spans="1:22" x14ac:dyDescent="0.35">
      <c r="A11" s="8" t="s">
        <v>21</v>
      </c>
      <c r="B11" s="8" t="s">
        <v>12</v>
      </c>
      <c r="C11" s="8" t="s">
        <v>2</v>
      </c>
      <c r="D11" s="8" t="s">
        <v>2</v>
      </c>
      <c r="E11" s="8" t="s">
        <v>1</v>
      </c>
      <c r="F11" s="8" t="s">
        <v>2</v>
      </c>
      <c r="G11" s="8" t="s">
        <v>1</v>
      </c>
      <c r="H11" s="8" t="s">
        <v>2</v>
      </c>
      <c r="I11" s="8" t="s">
        <v>2</v>
      </c>
      <c r="J11" s="8" t="s">
        <v>12</v>
      </c>
      <c r="K11" s="8" t="s">
        <v>2</v>
      </c>
      <c r="L11" s="8" t="s">
        <v>2</v>
      </c>
      <c r="M11" s="8" t="s">
        <v>2</v>
      </c>
      <c r="N11" s="8" t="s">
        <v>1</v>
      </c>
      <c r="O11" s="8" t="s">
        <v>2</v>
      </c>
      <c r="P11" s="8" t="s">
        <v>2</v>
      </c>
      <c r="Q11" s="9" t="str">
        <f t="shared" si="0"/>
        <v>Stage2</v>
      </c>
      <c r="T11" t="s">
        <v>154</v>
      </c>
      <c r="U11" t="s">
        <v>150</v>
      </c>
      <c r="V11" t="s">
        <v>152</v>
      </c>
    </row>
    <row r="12" spans="1:22" x14ac:dyDescent="0.35">
      <c r="A12" s="8" t="s">
        <v>22</v>
      </c>
      <c r="B12" s="8" t="s">
        <v>1</v>
      </c>
      <c r="C12" s="8" t="s">
        <v>12</v>
      </c>
      <c r="D12" s="8" t="s">
        <v>2</v>
      </c>
      <c r="E12" s="8" t="s">
        <v>1</v>
      </c>
      <c r="F12" s="8" t="s">
        <v>12</v>
      </c>
      <c r="G12" s="8" t="s">
        <v>2</v>
      </c>
      <c r="H12" s="8" t="s">
        <v>1</v>
      </c>
      <c r="I12" s="8" t="s">
        <v>1</v>
      </c>
      <c r="J12" s="8" t="s">
        <v>12</v>
      </c>
      <c r="K12" s="8" t="s">
        <v>1</v>
      </c>
      <c r="L12" s="8" t="s">
        <v>12</v>
      </c>
      <c r="M12" s="8" t="s">
        <v>2</v>
      </c>
      <c r="N12" s="8" t="s">
        <v>1</v>
      </c>
      <c r="O12" s="8" t="s">
        <v>12</v>
      </c>
      <c r="P12" s="8" t="s">
        <v>2</v>
      </c>
      <c r="Q12" s="9" t="str">
        <f t="shared" si="0"/>
        <v>Stage2</v>
      </c>
      <c r="T12" t="s">
        <v>16</v>
      </c>
      <c r="U12" t="s">
        <v>145</v>
      </c>
      <c r="V12" t="s">
        <v>152</v>
      </c>
    </row>
    <row r="13" spans="1:22" x14ac:dyDescent="0.35">
      <c r="A13" s="8" t="s">
        <v>23</v>
      </c>
      <c r="B13" s="8" t="s">
        <v>1</v>
      </c>
      <c r="C13" s="8" t="s">
        <v>1</v>
      </c>
      <c r="D13" s="8" t="s">
        <v>2</v>
      </c>
      <c r="E13" s="8" t="s">
        <v>1</v>
      </c>
      <c r="F13" s="8" t="s">
        <v>12</v>
      </c>
      <c r="G13" s="8" t="s">
        <v>2</v>
      </c>
      <c r="H13" s="8" t="s">
        <v>1</v>
      </c>
      <c r="I13" s="8" t="s">
        <v>2</v>
      </c>
      <c r="J13" s="8" t="s">
        <v>12</v>
      </c>
      <c r="K13" s="8" t="s">
        <v>1</v>
      </c>
      <c r="L13" s="8" t="s">
        <v>1</v>
      </c>
      <c r="M13" s="8" t="s">
        <v>2</v>
      </c>
      <c r="N13" s="8" t="s">
        <v>1</v>
      </c>
      <c r="O13" s="8" t="s">
        <v>1</v>
      </c>
      <c r="P13" s="8" t="s">
        <v>2</v>
      </c>
      <c r="Q13" s="9" t="str">
        <f t="shared" si="0"/>
        <v>Stage2</v>
      </c>
      <c r="T13" t="s">
        <v>156</v>
      </c>
      <c r="U13" t="s">
        <v>148</v>
      </c>
      <c r="V13" t="s">
        <v>152</v>
      </c>
    </row>
    <row r="14" spans="1:22" x14ac:dyDescent="0.35">
      <c r="A14" s="10" t="s">
        <v>24</v>
      </c>
      <c r="B14" s="10" t="s">
        <v>1</v>
      </c>
      <c r="C14" s="10" t="s">
        <v>12</v>
      </c>
      <c r="D14" s="10" t="s">
        <v>2</v>
      </c>
      <c r="E14" s="10" t="s">
        <v>1</v>
      </c>
      <c r="F14" s="10" t="s">
        <v>1</v>
      </c>
      <c r="G14" s="10" t="s">
        <v>2</v>
      </c>
      <c r="H14" s="10" t="s">
        <v>1</v>
      </c>
      <c r="I14" s="10" t="s">
        <v>2</v>
      </c>
      <c r="J14" s="10" t="s">
        <v>12</v>
      </c>
      <c r="K14" s="10" t="s">
        <v>1</v>
      </c>
      <c r="L14" s="10" t="s">
        <v>1</v>
      </c>
      <c r="M14" s="10" t="s">
        <v>2</v>
      </c>
      <c r="N14" s="10" t="s">
        <v>2</v>
      </c>
      <c r="O14" s="10" t="s">
        <v>2</v>
      </c>
      <c r="P14" s="10" t="s">
        <v>2</v>
      </c>
      <c r="Q14" s="11" t="str">
        <f t="shared" si="0"/>
        <v>Stage3</v>
      </c>
      <c r="T14" t="s">
        <v>17</v>
      </c>
      <c r="U14" t="s">
        <v>145</v>
      </c>
      <c r="V14" t="s">
        <v>152</v>
      </c>
    </row>
    <row r="15" spans="1:22" x14ac:dyDescent="0.35">
      <c r="A15" s="10" t="s">
        <v>25</v>
      </c>
      <c r="B15" s="10" t="s">
        <v>1</v>
      </c>
      <c r="C15" s="10" t="s">
        <v>1</v>
      </c>
      <c r="D15" s="10" t="s">
        <v>2</v>
      </c>
      <c r="E15" s="10" t="s">
        <v>1</v>
      </c>
      <c r="F15" s="10" t="s">
        <v>1</v>
      </c>
      <c r="G15" s="10" t="s">
        <v>2</v>
      </c>
      <c r="H15" s="10" t="s">
        <v>1</v>
      </c>
      <c r="I15" s="10" t="s">
        <v>1</v>
      </c>
      <c r="J15" s="10" t="s">
        <v>2</v>
      </c>
      <c r="K15" s="10" t="s">
        <v>1</v>
      </c>
      <c r="L15" s="10" t="s">
        <v>1</v>
      </c>
      <c r="M15" s="10" t="s">
        <v>2</v>
      </c>
      <c r="N15" s="10" t="s">
        <v>1</v>
      </c>
      <c r="O15" s="10" t="s">
        <v>1</v>
      </c>
      <c r="P15" s="10" t="s">
        <v>2</v>
      </c>
      <c r="Q15" s="11" t="str">
        <f t="shared" si="0"/>
        <v>Stage3</v>
      </c>
      <c r="T15" t="s">
        <v>157</v>
      </c>
      <c r="U15" t="s">
        <v>148</v>
      </c>
      <c r="V15" t="s">
        <v>152</v>
      </c>
    </row>
    <row r="16" spans="1:22" x14ac:dyDescent="0.35">
      <c r="A16" s="10" t="s">
        <v>26</v>
      </c>
      <c r="B16" s="10" t="s">
        <v>1</v>
      </c>
      <c r="C16" s="10" t="s">
        <v>2</v>
      </c>
      <c r="D16" s="10" t="s">
        <v>12</v>
      </c>
      <c r="E16" s="10" t="s">
        <v>1</v>
      </c>
      <c r="F16" s="10" t="s">
        <v>12</v>
      </c>
      <c r="G16" s="10" t="s">
        <v>2</v>
      </c>
      <c r="H16" s="10" t="s">
        <v>12</v>
      </c>
      <c r="I16" s="10" t="s">
        <v>2</v>
      </c>
      <c r="J16" s="10" t="s">
        <v>1</v>
      </c>
      <c r="K16" s="10" t="s">
        <v>1</v>
      </c>
      <c r="L16" s="10" t="s">
        <v>12</v>
      </c>
      <c r="M16" s="10" t="s">
        <v>2</v>
      </c>
      <c r="N16" s="10" t="s">
        <v>1</v>
      </c>
      <c r="O16" s="10" t="s">
        <v>12</v>
      </c>
      <c r="P16" s="10" t="s">
        <v>2</v>
      </c>
      <c r="Q16" s="11" t="str">
        <f t="shared" si="0"/>
        <v>Stage3</v>
      </c>
      <c r="T16" t="s">
        <v>154</v>
      </c>
      <c r="U16" t="s">
        <v>150</v>
      </c>
      <c r="V16" t="s">
        <v>152</v>
      </c>
    </row>
    <row r="17" spans="1:22" x14ac:dyDescent="0.35">
      <c r="A17" s="10" t="s">
        <v>27</v>
      </c>
      <c r="B17" s="10" t="s">
        <v>1</v>
      </c>
      <c r="C17" s="10" t="s">
        <v>1</v>
      </c>
      <c r="D17" s="10" t="s">
        <v>2</v>
      </c>
      <c r="E17" s="10" t="s">
        <v>12</v>
      </c>
      <c r="F17" s="10" t="s">
        <v>1</v>
      </c>
      <c r="G17" s="10" t="s">
        <v>2</v>
      </c>
      <c r="H17" s="10" t="s">
        <v>1</v>
      </c>
      <c r="I17" s="10" t="s">
        <v>1</v>
      </c>
      <c r="J17" s="10" t="s">
        <v>2</v>
      </c>
      <c r="K17" s="10" t="s">
        <v>1</v>
      </c>
      <c r="L17" s="10" t="s">
        <v>1</v>
      </c>
      <c r="M17" s="10" t="s">
        <v>2</v>
      </c>
      <c r="N17" s="10" t="s">
        <v>1</v>
      </c>
      <c r="O17" s="10" t="s">
        <v>1</v>
      </c>
      <c r="P17" s="10" t="s">
        <v>2</v>
      </c>
      <c r="Q17" s="11" t="str">
        <f t="shared" si="0"/>
        <v>Stage3</v>
      </c>
      <c r="T17" t="s">
        <v>18</v>
      </c>
      <c r="U17" t="s">
        <v>145</v>
      </c>
      <c r="V17" t="s">
        <v>152</v>
      </c>
    </row>
    <row r="18" spans="1:22" x14ac:dyDescent="0.35">
      <c r="A18" s="10" t="s">
        <v>28</v>
      </c>
      <c r="B18" s="10" t="s">
        <v>1</v>
      </c>
      <c r="C18" s="10" t="s">
        <v>1</v>
      </c>
      <c r="D18" s="10" t="s">
        <v>2</v>
      </c>
      <c r="E18" s="10" t="s">
        <v>2</v>
      </c>
      <c r="F18" s="10" t="s">
        <v>1</v>
      </c>
      <c r="G18" s="10" t="s">
        <v>2</v>
      </c>
      <c r="H18" s="10" t="s">
        <v>1</v>
      </c>
      <c r="I18" s="10" t="s">
        <v>1</v>
      </c>
      <c r="J18" s="10" t="s">
        <v>2</v>
      </c>
      <c r="K18" s="10" t="s">
        <v>1</v>
      </c>
      <c r="L18" s="10" t="s">
        <v>12</v>
      </c>
      <c r="M18" s="10" t="s">
        <v>2</v>
      </c>
      <c r="N18" s="10" t="s">
        <v>12</v>
      </c>
      <c r="O18" s="10" t="s">
        <v>2</v>
      </c>
      <c r="P18" s="10" t="s">
        <v>2</v>
      </c>
      <c r="Q18" s="11" t="str">
        <f t="shared" si="0"/>
        <v>Stage3</v>
      </c>
      <c r="T18" t="s">
        <v>158</v>
      </c>
      <c r="U18" t="s">
        <v>148</v>
      </c>
      <c r="V18" t="s">
        <v>152</v>
      </c>
    </row>
    <row r="19" spans="1:22" x14ac:dyDescent="0.35">
      <c r="A19" s="10" t="s">
        <v>29</v>
      </c>
      <c r="B19" s="10" t="s">
        <v>12</v>
      </c>
      <c r="C19" s="10" t="s">
        <v>1</v>
      </c>
      <c r="D19" s="10" t="s">
        <v>2</v>
      </c>
      <c r="E19" s="10" t="s">
        <v>2</v>
      </c>
      <c r="F19" s="10" t="s">
        <v>1</v>
      </c>
      <c r="G19" s="10" t="s">
        <v>2</v>
      </c>
      <c r="H19" s="10" t="s">
        <v>2</v>
      </c>
      <c r="I19" s="10" t="s">
        <v>1</v>
      </c>
      <c r="J19" s="10" t="s">
        <v>2</v>
      </c>
      <c r="K19" s="10" t="s">
        <v>1</v>
      </c>
      <c r="L19" s="10" t="s">
        <v>1</v>
      </c>
      <c r="M19" s="10" t="s">
        <v>2</v>
      </c>
      <c r="N19" s="10" t="s">
        <v>12</v>
      </c>
      <c r="O19" s="10" t="s">
        <v>1</v>
      </c>
      <c r="P19" s="10" t="s">
        <v>2</v>
      </c>
      <c r="Q19" s="11" t="str">
        <f t="shared" si="0"/>
        <v>Stage3</v>
      </c>
      <c r="T19" t="s">
        <v>159</v>
      </c>
      <c r="U19" t="s">
        <v>150</v>
      </c>
      <c r="V19" t="s">
        <v>152</v>
      </c>
    </row>
    <row r="20" spans="1:22" x14ac:dyDescent="0.35">
      <c r="A20" s="10" t="s">
        <v>30</v>
      </c>
      <c r="B20" s="10" t="s">
        <v>12</v>
      </c>
      <c r="C20" s="10" t="s">
        <v>1</v>
      </c>
      <c r="D20" s="10" t="s">
        <v>2</v>
      </c>
      <c r="E20" s="10" t="s">
        <v>12</v>
      </c>
      <c r="F20" s="10" t="s">
        <v>1</v>
      </c>
      <c r="G20" s="10" t="s">
        <v>2</v>
      </c>
      <c r="H20" s="10" t="s">
        <v>2</v>
      </c>
      <c r="I20" s="10" t="s">
        <v>1</v>
      </c>
      <c r="J20" s="10" t="s">
        <v>2</v>
      </c>
      <c r="K20" s="10" t="s">
        <v>12</v>
      </c>
      <c r="L20" s="10" t="s">
        <v>1</v>
      </c>
      <c r="M20" s="10" t="s">
        <v>2</v>
      </c>
      <c r="N20" s="10" t="s">
        <v>2</v>
      </c>
      <c r="O20" s="10" t="s">
        <v>1</v>
      </c>
      <c r="P20" s="10" t="s">
        <v>2</v>
      </c>
      <c r="Q20" s="11" t="str">
        <f t="shared" si="0"/>
        <v>Stage3</v>
      </c>
      <c r="T20" t="s">
        <v>19</v>
      </c>
      <c r="U20" t="s">
        <v>145</v>
      </c>
      <c r="V20" t="s">
        <v>152</v>
      </c>
    </row>
    <row r="21" spans="1:22" x14ac:dyDescent="0.35">
      <c r="A21" s="10" t="s">
        <v>31</v>
      </c>
      <c r="B21" s="10" t="s">
        <v>12</v>
      </c>
      <c r="C21" s="10" t="s">
        <v>1</v>
      </c>
      <c r="D21" s="10" t="s">
        <v>2</v>
      </c>
      <c r="E21" s="10" t="s">
        <v>2</v>
      </c>
      <c r="F21" s="10" t="s">
        <v>1</v>
      </c>
      <c r="G21" s="10" t="s">
        <v>2</v>
      </c>
      <c r="H21" s="10" t="s">
        <v>12</v>
      </c>
      <c r="I21" s="10" t="s">
        <v>1</v>
      </c>
      <c r="J21" s="10" t="s">
        <v>12</v>
      </c>
      <c r="K21" s="10" t="s">
        <v>12</v>
      </c>
      <c r="L21" s="10" t="s">
        <v>1</v>
      </c>
      <c r="M21" s="10" t="s">
        <v>2</v>
      </c>
      <c r="N21" s="10" t="s">
        <v>12</v>
      </c>
      <c r="O21" s="10" t="s">
        <v>1</v>
      </c>
      <c r="P21" s="10" t="s">
        <v>2</v>
      </c>
      <c r="Q21" s="11" t="str">
        <f t="shared" si="0"/>
        <v>Stage3</v>
      </c>
      <c r="T21" t="s">
        <v>160</v>
      </c>
      <c r="U21" t="s">
        <v>148</v>
      </c>
      <c r="V21" t="s">
        <v>152</v>
      </c>
    </row>
    <row r="22" spans="1:22" x14ac:dyDescent="0.35">
      <c r="A22" s="10" t="s">
        <v>32</v>
      </c>
      <c r="B22" s="10" t="s">
        <v>1</v>
      </c>
      <c r="C22" s="10" t="s">
        <v>1</v>
      </c>
      <c r="D22" s="10" t="s">
        <v>2</v>
      </c>
      <c r="E22" s="10" t="s">
        <v>2</v>
      </c>
      <c r="F22" s="10" t="s">
        <v>1</v>
      </c>
      <c r="G22" s="10" t="s">
        <v>2</v>
      </c>
      <c r="H22" s="10" t="s">
        <v>12</v>
      </c>
      <c r="I22" s="10" t="s">
        <v>1</v>
      </c>
      <c r="J22" s="10" t="s">
        <v>2</v>
      </c>
      <c r="K22" s="10" t="s">
        <v>1</v>
      </c>
      <c r="L22" s="10" t="s">
        <v>1</v>
      </c>
      <c r="M22" s="10" t="s">
        <v>2</v>
      </c>
      <c r="N22" s="10" t="s">
        <v>2</v>
      </c>
      <c r="O22" s="10" t="s">
        <v>1</v>
      </c>
      <c r="P22" s="10" t="s">
        <v>2</v>
      </c>
      <c r="Q22" s="11" t="str">
        <f t="shared" si="0"/>
        <v>Stage3</v>
      </c>
      <c r="T22" t="s">
        <v>159</v>
      </c>
      <c r="U22" t="s">
        <v>150</v>
      </c>
      <c r="V22" t="s">
        <v>152</v>
      </c>
    </row>
    <row r="23" spans="1:22" x14ac:dyDescent="0.35">
      <c r="A23" s="10" t="s">
        <v>33</v>
      </c>
      <c r="B23" s="10" t="s">
        <v>1</v>
      </c>
      <c r="C23" s="10" t="s">
        <v>1</v>
      </c>
      <c r="D23" s="10" t="s">
        <v>2</v>
      </c>
      <c r="E23" s="10" t="s">
        <v>2</v>
      </c>
      <c r="F23" s="10" t="s">
        <v>12</v>
      </c>
      <c r="G23" s="10" t="s">
        <v>2</v>
      </c>
      <c r="H23" s="10" t="s">
        <v>2</v>
      </c>
      <c r="I23" s="10" t="s">
        <v>12</v>
      </c>
      <c r="J23" s="10" t="s">
        <v>2</v>
      </c>
      <c r="K23" s="10" t="s">
        <v>1</v>
      </c>
      <c r="L23" s="10" t="s">
        <v>1</v>
      </c>
      <c r="M23" s="10" t="s">
        <v>12</v>
      </c>
      <c r="N23" s="10" t="s">
        <v>1</v>
      </c>
      <c r="O23" s="10" t="s">
        <v>12</v>
      </c>
      <c r="P23" s="10" t="s">
        <v>2</v>
      </c>
      <c r="Q23" s="11" t="str">
        <f t="shared" si="0"/>
        <v>Stage3</v>
      </c>
      <c r="T23" t="s">
        <v>20</v>
      </c>
      <c r="U23" t="s">
        <v>145</v>
      </c>
      <c r="V23" t="s">
        <v>152</v>
      </c>
    </row>
    <row r="24" spans="1:22" x14ac:dyDescent="0.35">
      <c r="A24" s="10" t="s">
        <v>34</v>
      </c>
      <c r="B24" s="10" t="s">
        <v>1</v>
      </c>
      <c r="C24" s="10" t="s">
        <v>1</v>
      </c>
      <c r="D24" s="10" t="s">
        <v>2</v>
      </c>
      <c r="E24" s="10" t="s">
        <v>12</v>
      </c>
      <c r="F24" s="10" t="s">
        <v>1</v>
      </c>
      <c r="G24" s="10" t="s">
        <v>2</v>
      </c>
      <c r="H24" s="10" t="s">
        <v>12</v>
      </c>
      <c r="I24" s="10" t="s">
        <v>1</v>
      </c>
      <c r="J24" s="10" t="s">
        <v>2</v>
      </c>
      <c r="K24" s="10" t="s">
        <v>1</v>
      </c>
      <c r="L24" s="10" t="s">
        <v>1</v>
      </c>
      <c r="M24" s="10" t="s">
        <v>2</v>
      </c>
      <c r="N24" s="10" t="s">
        <v>12</v>
      </c>
      <c r="O24" s="10" t="s">
        <v>1</v>
      </c>
      <c r="P24" s="10" t="s">
        <v>2</v>
      </c>
      <c r="Q24" s="11" t="str">
        <f t="shared" si="0"/>
        <v>Stage3</v>
      </c>
      <c r="T24" t="s">
        <v>161</v>
      </c>
      <c r="U24" t="s">
        <v>148</v>
      </c>
      <c r="V24" t="s">
        <v>152</v>
      </c>
    </row>
    <row r="25" spans="1:22" x14ac:dyDescent="0.35">
      <c r="A25" s="10" t="s">
        <v>35</v>
      </c>
      <c r="B25" s="10" t="s">
        <v>1</v>
      </c>
      <c r="C25" s="10" t="s">
        <v>1</v>
      </c>
      <c r="D25" s="10" t="s">
        <v>2</v>
      </c>
      <c r="E25" s="10" t="s">
        <v>1</v>
      </c>
      <c r="F25" s="10" t="s">
        <v>1</v>
      </c>
      <c r="G25" s="10" t="s">
        <v>2</v>
      </c>
      <c r="H25" s="10" t="s">
        <v>12</v>
      </c>
      <c r="I25" s="10" t="s">
        <v>1</v>
      </c>
      <c r="J25" s="10" t="s">
        <v>2</v>
      </c>
      <c r="K25" s="10" t="s">
        <v>1</v>
      </c>
      <c r="L25" s="10" t="s">
        <v>1</v>
      </c>
      <c r="M25" s="10" t="s">
        <v>2</v>
      </c>
      <c r="N25" s="10" t="s">
        <v>1</v>
      </c>
      <c r="O25" s="10" t="s">
        <v>1</v>
      </c>
      <c r="P25" s="10" t="s">
        <v>2</v>
      </c>
      <c r="Q25" s="11" t="str">
        <f t="shared" si="0"/>
        <v>Stage3</v>
      </c>
      <c r="T25" t="s">
        <v>159</v>
      </c>
      <c r="U25" t="s">
        <v>150</v>
      </c>
      <c r="V25" t="s">
        <v>152</v>
      </c>
    </row>
    <row r="26" spans="1:22" x14ac:dyDescent="0.35">
      <c r="A26" s="10" t="s">
        <v>36</v>
      </c>
      <c r="B26" s="10" t="s">
        <v>1</v>
      </c>
      <c r="C26" s="10" t="s">
        <v>2</v>
      </c>
      <c r="D26" s="10" t="s">
        <v>2</v>
      </c>
      <c r="E26" s="10" t="s">
        <v>1</v>
      </c>
      <c r="F26" s="10" t="s">
        <v>12</v>
      </c>
      <c r="G26" s="10" t="s">
        <v>2</v>
      </c>
      <c r="H26" s="10" t="s">
        <v>12</v>
      </c>
      <c r="I26" s="10" t="s">
        <v>2</v>
      </c>
      <c r="J26" s="10" t="s">
        <v>2</v>
      </c>
      <c r="K26" s="10" t="s">
        <v>1</v>
      </c>
      <c r="L26" s="10" t="s">
        <v>1</v>
      </c>
      <c r="M26" s="10" t="s">
        <v>2</v>
      </c>
      <c r="N26" s="10" t="s">
        <v>1</v>
      </c>
      <c r="O26" s="10" t="s">
        <v>2</v>
      </c>
      <c r="P26" s="10" t="s">
        <v>12</v>
      </c>
      <c r="Q26" s="11" t="str">
        <f t="shared" si="0"/>
        <v>Stage3</v>
      </c>
      <c r="T26" t="s">
        <v>162</v>
      </c>
      <c r="U26" t="s">
        <v>163</v>
      </c>
      <c r="V26" t="s">
        <v>152</v>
      </c>
    </row>
    <row r="27" spans="1:22" x14ac:dyDescent="0.35">
      <c r="A27" s="6" t="s">
        <v>37</v>
      </c>
      <c r="B27" s="6" t="s">
        <v>1</v>
      </c>
      <c r="C27" s="6" t="s">
        <v>1</v>
      </c>
      <c r="D27" s="6" t="s">
        <v>2</v>
      </c>
      <c r="E27" s="6" t="s">
        <v>1</v>
      </c>
      <c r="F27" s="6" t="s">
        <v>1</v>
      </c>
      <c r="G27" s="6" t="s">
        <v>2</v>
      </c>
      <c r="H27" s="6" t="s">
        <v>1</v>
      </c>
      <c r="I27" s="6" t="s">
        <v>2</v>
      </c>
      <c r="J27" s="6" t="s">
        <v>1</v>
      </c>
      <c r="K27" s="6" t="s">
        <v>1</v>
      </c>
      <c r="L27" s="6" t="s">
        <v>1</v>
      </c>
      <c r="M27" s="6" t="s">
        <v>2</v>
      </c>
      <c r="N27" s="6" t="s">
        <v>1</v>
      </c>
      <c r="O27" s="6" t="s">
        <v>1</v>
      </c>
      <c r="P27" s="6" t="s">
        <v>2</v>
      </c>
      <c r="Q27" s="7" t="str">
        <f t="shared" si="0"/>
        <v>Stage4</v>
      </c>
      <c r="T27" t="s">
        <v>21</v>
      </c>
      <c r="U27" t="s">
        <v>145</v>
      </c>
      <c r="V27" t="s">
        <v>152</v>
      </c>
    </row>
    <row r="28" spans="1:22" x14ac:dyDescent="0.35">
      <c r="A28" s="6" t="s">
        <v>38</v>
      </c>
      <c r="B28" s="6" t="s">
        <v>1</v>
      </c>
      <c r="C28" s="6" t="s">
        <v>1</v>
      </c>
      <c r="D28" s="6" t="s">
        <v>12</v>
      </c>
      <c r="E28" s="6" t="s">
        <v>1</v>
      </c>
      <c r="F28" s="6" t="s">
        <v>1</v>
      </c>
      <c r="G28" s="6" t="s">
        <v>2</v>
      </c>
      <c r="H28" s="6" t="s">
        <v>2</v>
      </c>
      <c r="I28" s="6" t="s">
        <v>1</v>
      </c>
      <c r="J28" s="6" t="s">
        <v>1</v>
      </c>
      <c r="K28" s="6" t="s">
        <v>1</v>
      </c>
      <c r="L28" s="6" t="s">
        <v>1</v>
      </c>
      <c r="M28" s="6" t="s">
        <v>1</v>
      </c>
      <c r="N28" s="6" t="s">
        <v>2</v>
      </c>
      <c r="O28" s="6" t="s">
        <v>1</v>
      </c>
      <c r="P28" s="6" t="s">
        <v>12</v>
      </c>
      <c r="Q28" s="7" t="str">
        <f t="shared" si="0"/>
        <v>Stage4</v>
      </c>
      <c r="T28" t="s">
        <v>164</v>
      </c>
      <c r="U28" t="s">
        <v>148</v>
      </c>
      <c r="V28" t="s">
        <v>152</v>
      </c>
    </row>
    <row r="29" spans="1:22" x14ac:dyDescent="0.35">
      <c r="A29" s="6" t="s">
        <v>39</v>
      </c>
      <c r="B29" s="6" t="s">
        <v>12</v>
      </c>
      <c r="C29" s="6" t="s">
        <v>1</v>
      </c>
      <c r="D29" s="6" t="s">
        <v>1</v>
      </c>
      <c r="E29" s="6" t="s">
        <v>1</v>
      </c>
      <c r="F29" s="6" t="s">
        <v>2</v>
      </c>
      <c r="G29" s="6" t="s">
        <v>12</v>
      </c>
      <c r="H29" s="6" t="s">
        <v>2</v>
      </c>
      <c r="I29" s="6" t="s">
        <v>2</v>
      </c>
      <c r="J29" s="6" t="s">
        <v>1</v>
      </c>
      <c r="K29" s="6" t="s">
        <v>1</v>
      </c>
      <c r="L29" s="6" t="s">
        <v>1</v>
      </c>
      <c r="M29" s="6" t="s">
        <v>1</v>
      </c>
      <c r="N29" s="6" t="s">
        <v>2</v>
      </c>
      <c r="O29" s="6" t="s">
        <v>1</v>
      </c>
      <c r="P29" s="6" t="s">
        <v>2</v>
      </c>
      <c r="Q29" s="7" t="str">
        <f t="shared" si="0"/>
        <v>Stage4</v>
      </c>
      <c r="T29" t="s">
        <v>165</v>
      </c>
      <c r="U29" t="s">
        <v>150</v>
      </c>
      <c r="V29" t="s">
        <v>152</v>
      </c>
    </row>
    <row r="30" spans="1:22" x14ac:dyDescent="0.35">
      <c r="A30" s="6" t="s">
        <v>40</v>
      </c>
      <c r="B30" s="6" t="s">
        <v>1</v>
      </c>
      <c r="C30" s="6" t="s">
        <v>1</v>
      </c>
      <c r="D30" s="6" t="s">
        <v>2</v>
      </c>
      <c r="E30" s="6" t="s">
        <v>1</v>
      </c>
      <c r="F30" s="6" t="s">
        <v>1</v>
      </c>
      <c r="G30" s="6" t="s">
        <v>2</v>
      </c>
      <c r="H30" s="6" t="s">
        <v>1</v>
      </c>
      <c r="I30" s="6" t="s">
        <v>1</v>
      </c>
      <c r="J30" s="6" t="s">
        <v>2</v>
      </c>
      <c r="K30" s="6" t="s">
        <v>1</v>
      </c>
      <c r="L30" s="6" t="s">
        <v>1</v>
      </c>
      <c r="M30" s="6" t="s">
        <v>2</v>
      </c>
      <c r="N30" s="6" t="s">
        <v>1</v>
      </c>
      <c r="O30" s="6" t="s">
        <v>1</v>
      </c>
      <c r="P30" s="6" t="s">
        <v>2</v>
      </c>
      <c r="Q30" s="7" t="str">
        <f t="shared" si="0"/>
        <v>Stage4</v>
      </c>
      <c r="T30" t="s">
        <v>22</v>
      </c>
      <c r="U30" t="s">
        <v>145</v>
      </c>
      <c r="V30" t="s">
        <v>152</v>
      </c>
    </row>
    <row r="31" spans="1:22" x14ac:dyDescent="0.35">
      <c r="A31" s="6" t="s">
        <v>41</v>
      </c>
      <c r="B31" s="6" t="s">
        <v>2</v>
      </c>
      <c r="C31" s="6" t="s">
        <v>1</v>
      </c>
      <c r="D31" s="6" t="s">
        <v>2</v>
      </c>
      <c r="E31" s="6" t="s">
        <v>2</v>
      </c>
      <c r="F31" s="6" t="s">
        <v>12</v>
      </c>
      <c r="G31" s="6" t="s">
        <v>2</v>
      </c>
      <c r="H31" s="6" t="s">
        <v>2</v>
      </c>
      <c r="I31" s="6" t="s">
        <v>12</v>
      </c>
      <c r="J31" s="6" t="s">
        <v>2</v>
      </c>
      <c r="K31" s="6" t="s">
        <v>2</v>
      </c>
      <c r="L31" s="6" t="s">
        <v>1</v>
      </c>
      <c r="M31" s="6" t="s">
        <v>2</v>
      </c>
      <c r="N31" s="6" t="s">
        <v>2</v>
      </c>
      <c r="O31" s="6" t="s">
        <v>1</v>
      </c>
      <c r="P31" s="6" t="s">
        <v>2</v>
      </c>
      <c r="Q31" s="7" t="str">
        <f t="shared" si="0"/>
        <v>Stage4</v>
      </c>
      <c r="T31" t="s">
        <v>166</v>
      </c>
      <c r="U31" t="s">
        <v>148</v>
      </c>
      <c r="V31" t="s">
        <v>152</v>
      </c>
    </row>
    <row r="32" spans="1:22" x14ac:dyDescent="0.35">
      <c r="A32" s="6" t="s">
        <v>42</v>
      </c>
      <c r="B32" s="6" t="s">
        <v>2</v>
      </c>
      <c r="C32" s="6" t="s">
        <v>12</v>
      </c>
      <c r="D32" s="6" t="s">
        <v>2</v>
      </c>
      <c r="E32" s="6" t="s">
        <v>2</v>
      </c>
      <c r="F32" s="6" t="s">
        <v>2</v>
      </c>
      <c r="G32" s="6" t="s">
        <v>2</v>
      </c>
      <c r="H32" s="6" t="s">
        <v>2</v>
      </c>
      <c r="I32" s="6" t="s">
        <v>12</v>
      </c>
      <c r="J32" s="6" t="s">
        <v>2</v>
      </c>
      <c r="K32" s="6" t="s">
        <v>2</v>
      </c>
      <c r="L32" s="6" t="s">
        <v>2</v>
      </c>
      <c r="M32" s="6" t="s">
        <v>2</v>
      </c>
      <c r="N32" s="6" t="s">
        <v>2</v>
      </c>
      <c r="O32" s="6" t="s">
        <v>12</v>
      </c>
      <c r="P32" s="6" t="s">
        <v>2</v>
      </c>
      <c r="Q32" s="7" t="str">
        <f t="shared" si="0"/>
        <v>Stage4</v>
      </c>
      <c r="T32" t="s">
        <v>165</v>
      </c>
      <c r="U32" t="s">
        <v>150</v>
      </c>
      <c r="V32" t="s">
        <v>152</v>
      </c>
    </row>
    <row r="33" spans="1:22" x14ac:dyDescent="0.35">
      <c r="A33" s="6" t="s">
        <v>43</v>
      </c>
      <c r="B33" s="6" t="s">
        <v>2</v>
      </c>
      <c r="C33" s="6" t="s">
        <v>1</v>
      </c>
      <c r="D33" s="6" t="s">
        <v>2</v>
      </c>
      <c r="E33" s="6" t="s">
        <v>2</v>
      </c>
      <c r="F33" s="6" t="s">
        <v>2</v>
      </c>
      <c r="G33" s="6" t="s">
        <v>2</v>
      </c>
      <c r="H33" s="6" t="s">
        <v>2</v>
      </c>
      <c r="I33" s="6" t="s">
        <v>2</v>
      </c>
      <c r="J33" s="6" t="s">
        <v>2</v>
      </c>
      <c r="K33" s="6" t="s">
        <v>2</v>
      </c>
      <c r="L33" s="6" t="s">
        <v>1</v>
      </c>
      <c r="M33" s="6" t="s">
        <v>2</v>
      </c>
      <c r="N33" s="6" t="s">
        <v>2</v>
      </c>
      <c r="O33" s="6" t="s">
        <v>1</v>
      </c>
      <c r="P33" s="6" t="s">
        <v>2</v>
      </c>
      <c r="Q33" s="7" t="str">
        <f t="shared" si="0"/>
        <v>Stage4</v>
      </c>
      <c r="T33" t="s">
        <v>23</v>
      </c>
      <c r="U33" t="s">
        <v>145</v>
      </c>
      <c r="V33" t="s">
        <v>152</v>
      </c>
    </row>
    <row r="34" spans="1:22" x14ac:dyDescent="0.35">
      <c r="A34" s="6" t="s">
        <v>44</v>
      </c>
      <c r="B34" s="6" t="s">
        <v>2</v>
      </c>
      <c r="C34" s="6" t="s">
        <v>2</v>
      </c>
      <c r="D34" s="6" t="s">
        <v>2</v>
      </c>
      <c r="E34" s="6" t="s">
        <v>2</v>
      </c>
      <c r="F34" s="6" t="s">
        <v>2</v>
      </c>
      <c r="G34" s="6" t="s">
        <v>2</v>
      </c>
      <c r="H34" s="6" t="s">
        <v>2</v>
      </c>
      <c r="I34" s="6" t="s">
        <v>2</v>
      </c>
      <c r="J34" s="6" t="s">
        <v>2</v>
      </c>
      <c r="K34" s="6" t="s">
        <v>2</v>
      </c>
      <c r="L34" s="6" t="s">
        <v>2</v>
      </c>
      <c r="M34" s="6" t="s">
        <v>2</v>
      </c>
      <c r="N34" s="6" t="s">
        <v>2</v>
      </c>
      <c r="O34" s="6" t="s">
        <v>2</v>
      </c>
      <c r="P34" s="6" t="s">
        <v>2</v>
      </c>
      <c r="Q34" s="7" t="str">
        <f t="shared" si="0"/>
        <v>Stage4</v>
      </c>
      <c r="T34" t="s">
        <v>167</v>
      </c>
      <c r="U34" t="s">
        <v>148</v>
      </c>
      <c r="V34" t="s">
        <v>152</v>
      </c>
    </row>
    <row r="35" spans="1:22" x14ac:dyDescent="0.35">
      <c r="A35" s="6" t="s">
        <v>45</v>
      </c>
      <c r="B35" s="6" t="s">
        <v>2</v>
      </c>
      <c r="C35" s="6" t="s">
        <v>2</v>
      </c>
      <c r="D35" s="6" t="s">
        <v>2</v>
      </c>
      <c r="E35" s="6" t="s">
        <v>2</v>
      </c>
      <c r="F35" s="6" t="s">
        <v>2</v>
      </c>
      <c r="G35" s="6" t="s">
        <v>2</v>
      </c>
      <c r="H35" s="6" t="s">
        <v>2</v>
      </c>
      <c r="I35" s="6" t="s">
        <v>2</v>
      </c>
      <c r="J35" s="6" t="s">
        <v>2</v>
      </c>
      <c r="K35" s="6" t="s">
        <v>2</v>
      </c>
      <c r="L35" s="6" t="s">
        <v>2</v>
      </c>
      <c r="M35" s="6" t="s">
        <v>2</v>
      </c>
      <c r="N35" s="6" t="s">
        <v>2</v>
      </c>
      <c r="O35" s="6" t="s">
        <v>2</v>
      </c>
      <c r="P35" s="6" t="s">
        <v>2</v>
      </c>
      <c r="Q35" s="7" t="str">
        <f t="shared" si="0"/>
        <v>Stage4</v>
      </c>
      <c r="T35" t="s">
        <v>165</v>
      </c>
      <c r="U35" t="s">
        <v>150</v>
      </c>
      <c r="V35" t="s">
        <v>152</v>
      </c>
    </row>
    <row r="36" spans="1:22" x14ac:dyDescent="0.35">
      <c r="A36" s="6" t="s">
        <v>46</v>
      </c>
      <c r="B36" s="6" t="s">
        <v>2</v>
      </c>
      <c r="C36" s="6" t="s">
        <v>2</v>
      </c>
      <c r="D36" s="6" t="s">
        <v>2</v>
      </c>
      <c r="E36" s="6" t="s">
        <v>2</v>
      </c>
      <c r="F36" s="6" t="s">
        <v>2</v>
      </c>
      <c r="G36" s="6" t="s">
        <v>2</v>
      </c>
      <c r="H36" s="6" t="s">
        <v>2</v>
      </c>
      <c r="I36" s="6" t="s">
        <v>2</v>
      </c>
      <c r="J36" s="6" t="s">
        <v>12</v>
      </c>
      <c r="K36" s="6" t="s">
        <v>2</v>
      </c>
      <c r="L36" s="6" t="s">
        <v>2</v>
      </c>
      <c r="M36" s="6" t="s">
        <v>2</v>
      </c>
      <c r="N36" s="6" t="s">
        <v>12</v>
      </c>
      <c r="O36" s="6" t="s">
        <v>2</v>
      </c>
      <c r="P36" s="6" t="s">
        <v>2</v>
      </c>
      <c r="Q36" s="7" t="str">
        <f t="shared" si="0"/>
        <v>Stage4</v>
      </c>
      <c r="T36" t="s">
        <v>168</v>
      </c>
      <c r="U36" t="s">
        <v>163</v>
      </c>
      <c r="V36" t="s">
        <v>152</v>
      </c>
    </row>
    <row r="37" spans="1:22" x14ac:dyDescent="0.35">
      <c r="A37" s="6" t="s">
        <v>47</v>
      </c>
      <c r="B37" s="6" t="s">
        <v>1</v>
      </c>
      <c r="C37" s="6" t="s">
        <v>2</v>
      </c>
      <c r="D37" s="6" t="s">
        <v>2</v>
      </c>
      <c r="E37" s="6" t="s">
        <v>12</v>
      </c>
      <c r="F37" s="6" t="s">
        <v>2</v>
      </c>
      <c r="G37" s="6" t="s">
        <v>2</v>
      </c>
      <c r="H37" s="6" t="s">
        <v>12</v>
      </c>
      <c r="I37" s="6" t="s">
        <v>12</v>
      </c>
      <c r="J37" s="6" t="s">
        <v>2</v>
      </c>
      <c r="K37" s="6" t="s">
        <v>12</v>
      </c>
      <c r="L37" s="6" t="s">
        <v>12</v>
      </c>
      <c r="M37" s="6" t="s">
        <v>2</v>
      </c>
      <c r="N37" s="6" t="s">
        <v>12</v>
      </c>
      <c r="O37" s="6" t="s">
        <v>1</v>
      </c>
      <c r="P37" s="6" t="s">
        <v>2</v>
      </c>
      <c r="Q37" s="7" t="str">
        <f t="shared" si="0"/>
        <v>Stage4</v>
      </c>
      <c r="T37" t="s">
        <v>24</v>
      </c>
      <c r="U37" t="s">
        <v>145</v>
      </c>
      <c r="V37" t="s">
        <v>169</v>
      </c>
    </row>
    <row r="38" spans="1:22" x14ac:dyDescent="0.35">
      <c r="A38" s="6" t="s">
        <v>48</v>
      </c>
      <c r="B38" s="6" t="s">
        <v>2</v>
      </c>
      <c r="C38" s="6" t="s">
        <v>1</v>
      </c>
      <c r="D38" s="6" t="s">
        <v>2</v>
      </c>
      <c r="E38" s="6" t="s">
        <v>12</v>
      </c>
      <c r="F38" s="6" t="s">
        <v>2</v>
      </c>
      <c r="G38" s="6" t="s">
        <v>12</v>
      </c>
      <c r="H38" s="6" t="s">
        <v>2</v>
      </c>
      <c r="I38" s="6" t="s">
        <v>2</v>
      </c>
      <c r="J38" s="6" t="s">
        <v>2</v>
      </c>
      <c r="K38" s="6" t="s">
        <v>2</v>
      </c>
      <c r="L38" s="6" t="s">
        <v>12</v>
      </c>
      <c r="M38" s="6" t="s">
        <v>2</v>
      </c>
      <c r="N38" s="6" t="s">
        <v>12</v>
      </c>
      <c r="O38" s="6" t="s">
        <v>1</v>
      </c>
      <c r="P38" s="6" t="s">
        <v>2</v>
      </c>
      <c r="Q38" s="7" t="str">
        <f t="shared" si="0"/>
        <v>Stage4</v>
      </c>
      <c r="T38" t="s">
        <v>170</v>
      </c>
      <c r="U38" t="s">
        <v>148</v>
      </c>
      <c r="V38" t="s">
        <v>169</v>
      </c>
    </row>
    <row r="39" spans="1:22" x14ac:dyDescent="0.35">
      <c r="A39" s="6" t="s">
        <v>49</v>
      </c>
      <c r="B39" s="6" t="s">
        <v>2</v>
      </c>
      <c r="C39" s="6" t="s">
        <v>1</v>
      </c>
      <c r="D39" s="6" t="s">
        <v>2</v>
      </c>
      <c r="E39" s="6" t="s">
        <v>2</v>
      </c>
      <c r="F39" s="6" t="s">
        <v>2</v>
      </c>
      <c r="G39" s="6" t="s">
        <v>1</v>
      </c>
      <c r="H39" s="6" t="s">
        <v>1</v>
      </c>
      <c r="I39" s="6" t="s">
        <v>12</v>
      </c>
      <c r="J39" s="6" t="s">
        <v>2</v>
      </c>
      <c r="K39" s="6" t="s">
        <v>2</v>
      </c>
      <c r="L39" s="6" t="s">
        <v>1</v>
      </c>
      <c r="M39" s="6" t="s">
        <v>2</v>
      </c>
      <c r="N39" s="6" t="s">
        <v>12</v>
      </c>
      <c r="O39" s="6" t="s">
        <v>1</v>
      </c>
      <c r="P39" s="6" t="s">
        <v>2</v>
      </c>
      <c r="Q39" s="7" t="str">
        <f t="shared" si="0"/>
        <v>Stage4</v>
      </c>
      <c r="T39" t="s">
        <v>171</v>
      </c>
      <c r="U39" t="s">
        <v>150</v>
      </c>
      <c r="V39" t="s">
        <v>169</v>
      </c>
    </row>
    <row r="40" spans="1:22" x14ac:dyDescent="0.35">
      <c r="A40" s="6" t="s">
        <v>50</v>
      </c>
      <c r="B40" s="6" t="s">
        <v>2</v>
      </c>
      <c r="C40" s="6" t="s">
        <v>12</v>
      </c>
      <c r="D40" s="6" t="s">
        <v>2</v>
      </c>
      <c r="E40" s="6" t="s">
        <v>2</v>
      </c>
      <c r="F40" s="6" t="s">
        <v>2</v>
      </c>
      <c r="G40" s="6" t="s">
        <v>2</v>
      </c>
      <c r="H40" s="6" t="s">
        <v>2</v>
      </c>
      <c r="I40" s="6" t="s">
        <v>12</v>
      </c>
      <c r="J40" s="6" t="s">
        <v>2</v>
      </c>
      <c r="K40" s="6" t="s">
        <v>2</v>
      </c>
      <c r="L40" s="6" t="s">
        <v>1</v>
      </c>
      <c r="M40" s="6" t="s">
        <v>2</v>
      </c>
      <c r="N40" s="6" t="s">
        <v>2</v>
      </c>
      <c r="O40" s="6" t="s">
        <v>1</v>
      </c>
      <c r="P40" s="6" t="s">
        <v>2</v>
      </c>
      <c r="Q40" s="7" t="str">
        <f t="shared" si="0"/>
        <v>Stage4</v>
      </c>
      <c r="T40" t="s">
        <v>25</v>
      </c>
      <c r="U40" t="s">
        <v>145</v>
      </c>
      <c r="V40" t="s">
        <v>169</v>
      </c>
    </row>
    <row r="41" spans="1:22" x14ac:dyDescent="0.35">
      <c r="A41" s="6" t="s">
        <v>51</v>
      </c>
      <c r="B41" s="6" t="s">
        <v>2</v>
      </c>
      <c r="C41" s="6" t="s">
        <v>1</v>
      </c>
      <c r="D41" s="6" t="s">
        <v>2</v>
      </c>
      <c r="E41" s="6" t="s">
        <v>2</v>
      </c>
      <c r="F41" s="6" t="s">
        <v>12</v>
      </c>
      <c r="G41" s="6" t="s">
        <v>1</v>
      </c>
      <c r="H41" s="6" t="s">
        <v>2</v>
      </c>
      <c r="I41" s="6" t="s">
        <v>1</v>
      </c>
      <c r="J41" s="6" t="s">
        <v>2</v>
      </c>
      <c r="K41" s="6" t="s">
        <v>2</v>
      </c>
      <c r="L41" s="6" t="s">
        <v>1</v>
      </c>
      <c r="M41" s="6" t="s">
        <v>2</v>
      </c>
      <c r="N41" s="6" t="s">
        <v>2</v>
      </c>
      <c r="O41" s="6" t="s">
        <v>1</v>
      </c>
      <c r="P41" s="6" t="s">
        <v>2</v>
      </c>
      <c r="Q41" s="7" t="str">
        <f t="shared" si="0"/>
        <v>Stage4</v>
      </c>
      <c r="T41" t="s">
        <v>172</v>
      </c>
      <c r="U41" t="s">
        <v>148</v>
      </c>
      <c r="V41" t="s">
        <v>169</v>
      </c>
    </row>
    <row r="42" spans="1:22" x14ac:dyDescent="0.35">
      <c r="A42" s="6" t="s">
        <v>52</v>
      </c>
      <c r="B42" s="6" t="s">
        <v>2</v>
      </c>
      <c r="C42" s="6" t="s">
        <v>1</v>
      </c>
      <c r="D42" s="6" t="s">
        <v>2</v>
      </c>
      <c r="E42" s="6" t="s">
        <v>2</v>
      </c>
      <c r="F42" s="6" t="s">
        <v>1</v>
      </c>
      <c r="G42" s="6" t="s">
        <v>1</v>
      </c>
      <c r="H42" s="6" t="s">
        <v>2</v>
      </c>
      <c r="I42" s="6" t="s">
        <v>1</v>
      </c>
      <c r="J42" s="6" t="s">
        <v>2</v>
      </c>
      <c r="K42" s="6" t="s">
        <v>2</v>
      </c>
      <c r="L42" s="6" t="s">
        <v>1</v>
      </c>
      <c r="M42" s="6" t="s">
        <v>2</v>
      </c>
      <c r="N42" s="6" t="s">
        <v>2</v>
      </c>
      <c r="O42" s="6" t="s">
        <v>1</v>
      </c>
      <c r="P42" s="6" t="s">
        <v>2</v>
      </c>
      <c r="Q42" s="7" t="str">
        <f t="shared" si="0"/>
        <v>Stage4</v>
      </c>
      <c r="T42" t="s">
        <v>171</v>
      </c>
      <c r="U42" t="s">
        <v>150</v>
      </c>
      <c r="V42" t="s">
        <v>169</v>
      </c>
    </row>
    <row r="43" spans="1:22" x14ac:dyDescent="0.35">
      <c r="A43" s="6" t="s">
        <v>53</v>
      </c>
      <c r="B43" s="6" t="s">
        <v>2</v>
      </c>
      <c r="C43" s="6" t="s">
        <v>1</v>
      </c>
      <c r="D43" s="6" t="s">
        <v>2</v>
      </c>
      <c r="E43" s="6" t="s">
        <v>2</v>
      </c>
      <c r="F43" s="6" t="s">
        <v>2</v>
      </c>
      <c r="G43" s="6" t="s">
        <v>1</v>
      </c>
      <c r="H43" s="6" t="s">
        <v>2</v>
      </c>
      <c r="I43" s="6" t="s">
        <v>2</v>
      </c>
      <c r="J43" s="6" t="s">
        <v>1</v>
      </c>
      <c r="K43" s="6" t="s">
        <v>2</v>
      </c>
      <c r="L43" s="6" t="s">
        <v>1</v>
      </c>
      <c r="M43" s="6" t="s">
        <v>2</v>
      </c>
      <c r="N43" s="6" t="s">
        <v>2</v>
      </c>
      <c r="O43" s="6" t="s">
        <v>1</v>
      </c>
      <c r="P43" s="6" t="s">
        <v>2</v>
      </c>
      <c r="Q43" s="7" t="str">
        <f t="shared" si="0"/>
        <v>Stage4</v>
      </c>
      <c r="T43" t="s">
        <v>26</v>
      </c>
      <c r="U43" t="s">
        <v>145</v>
      </c>
      <c r="V43" t="s">
        <v>169</v>
      </c>
    </row>
    <row r="44" spans="1:22" x14ac:dyDescent="0.35">
      <c r="A44" s="6" t="s">
        <v>54</v>
      </c>
      <c r="B44" s="6" t="s">
        <v>2</v>
      </c>
      <c r="C44" s="6" t="s">
        <v>1</v>
      </c>
      <c r="D44" s="6" t="s">
        <v>2</v>
      </c>
      <c r="E44" s="6" t="s">
        <v>2</v>
      </c>
      <c r="F44" s="6" t="s">
        <v>1</v>
      </c>
      <c r="G44" s="6" t="s">
        <v>1</v>
      </c>
      <c r="H44" s="6" t="s">
        <v>2</v>
      </c>
      <c r="I44" s="6" t="s">
        <v>1</v>
      </c>
      <c r="J44" s="6" t="s">
        <v>1</v>
      </c>
      <c r="K44" s="6" t="s">
        <v>2</v>
      </c>
      <c r="L44" s="6" t="s">
        <v>1</v>
      </c>
      <c r="M44" s="6" t="s">
        <v>2</v>
      </c>
      <c r="N44" s="6" t="s">
        <v>2</v>
      </c>
      <c r="O44" s="6" t="s">
        <v>1</v>
      </c>
      <c r="P44" s="6" t="s">
        <v>2</v>
      </c>
      <c r="Q44" s="7" t="str">
        <f t="shared" si="0"/>
        <v>Stage4</v>
      </c>
      <c r="T44" t="s">
        <v>173</v>
      </c>
      <c r="U44" t="s">
        <v>148</v>
      </c>
      <c r="V44" t="s">
        <v>169</v>
      </c>
    </row>
    <row r="45" spans="1:22" x14ac:dyDescent="0.35">
      <c r="A45" s="6" t="s">
        <v>55</v>
      </c>
      <c r="B45" s="6" t="s">
        <v>2</v>
      </c>
      <c r="C45" s="6" t="s">
        <v>1</v>
      </c>
      <c r="D45" s="6" t="s">
        <v>2</v>
      </c>
      <c r="E45" s="6" t="s">
        <v>2</v>
      </c>
      <c r="F45" s="6" t="s">
        <v>1</v>
      </c>
      <c r="G45" s="6" t="s">
        <v>1</v>
      </c>
      <c r="H45" s="6" t="s">
        <v>2</v>
      </c>
      <c r="I45" s="6" t="s">
        <v>1</v>
      </c>
      <c r="J45" s="6" t="s">
        <v>1</v>
      </c>
      <c r="K45" s="6" t="s">
        <v>2</v>
      </c>
      <c r="L45" s="6" t="s">
        <v>1</v>
      </c>
      <c r="M45" s="6" t="s">
        <v>2</v>
      </c>
      <c r="N45" s="6" t="s">
        <v>2</v>
      </c>
      <c r="O45" s="6" t="s">
        <v>1</v>
      </c>
      <c r="P45" s="6" t="s">
        <v>2</v>
      </c>
      <c r="Q45" s="7" t="str">
        <f t="shared" si="0"/>
        <v>Stage4</v>
      </c>
      <c r="T45" t="s">
        <v>27</v>
      </c>
      <c r="U45" t="s">
        <v>145</v>
      </c>
      <c r="V45" t="s">
        <v>169</v>
      </c>
    </row>
    <row r="46" spans="1:22" x14ac:dyDescent="0.35">
      <c r="A46" s="12" t="s">
        <v>56</v>
      </c>
      <c r="B46" s="12" t="s">
        <v>1</v>
      </c>
      <c r="C46" s="12" t="s">
        <v>1</v>
      </c>
      <c r="D46" s="12" t="s">
        <v>1</v>
      </c>
      <c r="E46" s="12" t="s">
        <v>1</v>
      </c>
      <c r="F46" s="12" t="s">
        <v>1</v>
      </c>
      <c r="G46" s="12" t="s">
        <v>1</v>
      </c>
      <c r="H46" s="12" t="s">
        <v>1</v>
      </c>
      <c r="I46" s="12" t="s">
        <v>1</v>
      </c>
      <c r="J46" s="12" t="s">
        <v>1</v>
      </c>
      <c r="K46" s="12" t="s">
        <v>1</v>
      </c>
      <c r="L46" s="12" t="s">
        <v>1</v>
      </c>
      <c r="M46" s="12" t="s">
        <v>1</v>
      </c>
      <c r="N46" s="12" t="s">
        <v>1</v>
      </c>
      <c r="O46" s="12" t="s">
        <v>1</v>
      </c>
      <c r="P46" s="12" t="s">
        <v>1</v>
      </c>
      <c r="Q46" s="13" t="str">
        <f t="shared" si="0"/>
        <v>Stage5</v>
      </c>
      <c r="T46" t="s">
        <v>174</v>
      </c>
      <c r="U46" t="s">
        <v>148</v>
      </c>
      <c r="V46" t="s">
        <v>169</v>
      </c>
    </row>
    <row r="47" spans="1:22" x14ac:dyDescent="0.35">
      <c r="A47" s="12" t="s">
        <v>57</v>
      </c>
      <c r="B47" s="12" t="s">
        <v>1</v>
      </c>
      <c r="C47" s="12" t="s">
        <v>1</v>
      </c>
      <c r="D47" s="12" t="s">
        <v>1</v>
      </c>
      <c r="E47" s="12" t="s">
        <v>1</v>
      </c>
      <c r="F47" s="12" t="s">
        <v>1</v>
      </c>
      <c r="G47" s="12" t="s">
        <v>1</v>
      </c>
      <c r="H47" s="12" t="s">
        <v>1</v>
      </c>
      <c r="I47" s="12" t="s">
        <v>1</v>
      </c>
      <c r="J47" s="12" t="s">
        <v>1</v>
      </c>
      <c r="K47" s="12" t="s">
        <v>1</v>
      </c>
      <c r="L47" s="12" t="s">
        <v>1</v>
      </c>
      <c r="M47" s="12" t="s">
        <v>1</v>
      </c>
      <c r="N47" s="12" t="s">
        <v>1</v>
      </c>
      <c r="O47" s="12" t="s">
        <v>1</v>
      </c>
      <c r="P47" s="12" t="s">
        <v>1</v>
      </c>
      <c r="Q47" s="13" t="str">
        <f t="shared" si="0"/>
        <v>Stage5</v>
      </c>
      <c r="T47" t="s">
        <v>171</v>
      </c>
      <c r="U47" t="s">
        <v>150</v>
      </c>
      <c r="V47" t="s">
        <v>169</v>
      </c>
    </row>
    <row r="48" spans="1:22" x14ac:dyDescent="0.35">
      <c r="A48" s="12" t="s">
        <v>58</v>
      </c>
      <c r="B48" s="12" t="s">
        <v>1</v>
      </c>
      <c r="C48" s="12" t="s">
        <v>1</v>
      </c>
      <c r="D48" s="12" t="s">
        <v>1</v>
      </c>
      <c r="E48" s="12" t="s">
        <v>1</v>
      </c>
      <c r="F48" s="12" t="s">
        <v>1</v>
      </c>
      <c r="G48" s="12" t="s">
        <v>1</v>
      </c>
      <c r="H48" s="12" t="s">
        <v>1</v>
      </c>
      <c r="I48" s="12" t="s">
        <v>1</v>
      </c>
      <c r="J48" s="12" t="s">
        <v>1</v>
      </c>
      <c r="K48" s="12" t="s">
        <v>1</v>
      </c>
      <c r="L48" s="12" t="s">
        <v>1</v>
      </c>
      <c r="M48" s="12" t="s">
        <v>1</v>
      </c>
      <c r="N48" s="12" t="s">
        <v>1</v>
      </c>
      <c r="O48" s="12" t="s">
        <v>1</v>
      </c>
      <c r="P48" s="12" t="s">
        <v>1</v>
      </c>
      <c r="Q48" s="13" t="str">
        <f t="shared" si="0"/>
        <v>Stage5</v>
      </c>
      <c r="T48" t="s">
        <v>175</v>
      </c>
      <c r="U48" t="s">
        <v>163</v>
      </c>
      <c r="V48" t="s">
        <v>169</v>
      </c>
    </row>
    <row r="49" spans="1:22" x14ac:dyDescent="0.35">
      <c r="A49" s="12" t="s">
        <v>59</v>
      </c>
      <c r="B49" s="12" t="s">
        <v>1</v>
      </c>
      <c r="C49" s="12" t="s">
        <v>1</v>
      </c>
      <c r="D49" s="12" t="s">
        <v>1</v>
      </c>
      <c r="E49" s="12" t="s">
        <v>1</v>
      </c>
      <c r="F49" s="12" t="s">
        <v>1</v>
      </c>
      <c r="G49" s="12" t="s">
        <v>2</v>
      </c>
      <c r="H49" s="12" t="s">
        <v>12</v>
      </c>
      <c r="I49" s="12" t="s">
        <v>1</v>
      </c>
      <c r="J49" s="12" t="s">
        <v>1</v>
      </c>
      <c r="K49" s="12" t="s">
        <v>1</v>
      </c>
      <c r="L49" s="12" t="s">
        <v>1</v>
      </c>
      <c r="M49" s="12" t="s">
        <v>1</v>
      </c>
      <c r="N49" s="12" t="s">
        <v>2</v>
      </c>
      <c r="O49" s="12" t="s">
        <v>1</v>
      </c>
      <c r="P49" s="12" t="s">
        <v>1</v>
      </c>
      <c r="Q49" s="13" t="str">
        <f t="shared" si="0"/>
        <v>Stage5</v>
      </c>
      <c r="T49" t="s">
        <v>28</v>
      </c>
      <c r="U49" t="s">
        <v>145</v>
      </c>
      <c r="V49" t="s">
        <v>169</v>
      </c>
    </row>
    <row r="50" spans="1:22" x14ac:dyDescent="0.35">
      <c r="A50" s="12" t="s">
        <v>60</v>
      </c>
      <c r="B50" s="12" t="s">
        <v>1</v>
      </c>
      <c r="C50" s="12" t="s">
        <v>1</v>
      </c>
      <c r="D50" s="12" t="s">
        <v>1</v>
      </c>
      <c r="E50" s="12" t="s">
        <v>1</v>
      </c>
      <c r="F50" s="12" t="s">
        <v>1</v>
      </c>
      <c r="G50" s="12" t="s">
        <v>1</v>
      </c>
      <c r="H50" s="12" t="s">
        <v>1</v>
      </c>
      <c r="I50" s="12" t="s">
        <v>1</v>
      </c>
      <c r="J50" s="12" t="s">
        <v>1</v>
      </c>
      <c r="K50" s="12" t="s">
        <v>2</v>
      </c>
      <c r="L50" s="12" t="s">
        <v>1</v>
      </c>
      <c r="M50" s="12" t="s">
        <v>1</v>
      </c>
      <c r="N50" s="12" t="s">
        <v>2</v>
      </c>
      <c r="O50" s="12" t="s">
        <v>1</v>
      </c>
      <c r="P50" s="12" t="s">
        <v>2</v>
      </c>
      <c r="Q50" s="13" t="str">
        <f t="shared" si="0"/>
        <v>Stage5</v>
      </c>
      <c r="T50" t="s">
        <v>176</v>
      </c>
      <c r="U50" t="s">
        <v>148</v>
      </c>
      <c r="V50" t="s">
        <v>169</v>
      </c>
    </row>
    <row r="51" spans="1:22" x14ac:dyDescent="0.35">
      <c r="A51" s="12" t="s">
        <v>61</v>
      </c>
      <c r="B51" s="12" t="s">
        <v>2</v>
      </c>
      <c r="C51" s="12" t="s">
        <v>12</v>
      </c>
      <c r="D51" s="12" t="s">
        <v>1</v>
      </c>
      <c r="E51" s="12" t="s">
        <v>1</v>
      </c>
      <c r="F51" s="12" t="s">
        <v>2</v>
      </c>
      <c r="G51" s="12" t="s">
        <v>2</v>
      </c>
      <c r="H51" s="12" t="s">
        <v>1</v>
      </c>
      <c r="I51" s="12" t="s">
        <v>12</v>
      </c>
      <c r="J51" s="12" t="s">
        <v>1</v>
      </c>
      <c r="K51" s="12" t="s">
        <v>2</v>
      </c>
      <c r="L51" s="12" t="s">
        <v>1</v>
      </c>
      <c r="M51" s="12" t="s">
        <v>1</v>
      </c>
      <c r="N51" s="12" t="s">
        <v>2</v>
      </c>
      <c r="O51" s="12" t="s">
        <v>1</v>
      </c>
      <c r="P51" s="12" t="s">
        <v>2</v>
      </c>
      <c r="Q51" s="13" t="str">
        <f t="shared" si="0"/>
        <v>Stage5</v>
      </c>
      <c r="T51" t="s">
        <v>177</v>
      </c>
      <c r="U51" t="s">
        <v>150</v>
      </c>
      <c r="V51" t="s">
        <v>169</v>
      </c>
    </row>
    <row r="52" spans="1:22" x14ac:dyDescent="0.35">
      <c r="A52" s="12" t="s">
        <v>62</v>
      </c>
      <c r="B52" s="12" t="s">
        <v>1</v>
      </c>
      <c r="C52" s="12" t="s">
        <v>1</v>
      </c>
      <c r="D52" s="12" t="s">
        <v>1</v>
      </c>
      <c r="E52" s="12" t="s">
        <v>1</v>
      </c>
      <c r="F52" s="12" t="s">
        <v>1</v>
      </c>
      <c r="G52" s="12" t="s">
        <v>2</v>
      </c>
      <c r="H52" s="12" t="s">
        <v>1</v>
      </c>
      <c r="I52" s="12" t="s">
        <v>1</v>
      </c>
      <c r="J52" s="12" t="s">
        <v>1</v>
      </c>
      <c r="K52" s="12" t="s">
        <v>1</v>
      </c>
      <c r="L52" s="12" t="s">
        <v>1</v>
      </c>
      <c r="M52" s="12" t="s">
        <v>1</v>
      </c>
      <c r="N52" s="12" t="s">
        <v>2</v>
      </c>
      <c r="O52" s="12" t="s">
        <v>1</v>
      </c>
      <c r="P52" s="12" t="s">
        <v>1</v>
      </c>
      <c r="Q52" s="13" t="str">
        <f t="shared" si="0"/>
        <v>Stage5</v>
      </c>
      <c r="T52" t="s">
        <v>29</v>
      </c>
      <c r="U52" t="s">
        <v>145</v>
      </c>
      <c r="V52" t="s">
        <v>169</v>
      </c>
    </row>
    <row r="53" spans="1:22" x14ac:dyDescent="0.35">
      <c r="A53" s="12" t="s">
        <v>63</v>
      </c>
      <c r="B53" s="12" t="s">
        <v>2</v>
      </c>
      <c r="C53" s="12" t="s">
        <v>1</v>
      </c>
      <c r="D53" s="12" t="s">
        <v>2</v>
      </c>
      <c r="E53" s="12" t="s">
        <v>2</v>
      </c>
      <c r="F53" s="12" t="s">
        <v>1</v>
      </c>
      <c r="G53" s="12" t="s">
        <v>2</v>
      </c>
      <c r="H53" s="12" t="s">
        <v>2</v>
      </c>
      <c r="I53" s="12" t="s">
        <v>1</v>
      </c>
      <c r="J53" s="12" t="s">
        <v>1</v>
      </c>
      <c r="K53" s="12" t="s">
        <v>1</v>
      </c>
      <c r="L53" s="12" t="s">
        <v>1</v>
      </c>
      <c r="M53" s="12" t="s">
        <v>12</v>
      </c>
      <c r="N53" s="12" t="s">
        <v>2</v>
      </c>
      <c r="O53" s="12" t="s">
        <v>1</v>
      </c>
      <c r="P53" s="12" t="s">
        <v>2</v>
      </c>
      <c r="Q53" s="13" t="str">
        <f t="shared" si="0"/>
        <v>Stage5</v>
      </c>
      <c r="T53" t="s">
        <v>178</v>
      </c>
      <c r="U53" t="s">
        <v>148</v>
      </c>
      <c r="V53" t="s">
        <v>169</v>
      </c>
    </row>
    <row r="54" spans="1:22" x14ac:dyDescent="0.35">
      <c r="A54" s="12" t="s">
        <v>64</v>
      </c>
      <c r="B54" s="12" t="s">
        <v>1</v>
      </c>
      <c r="C54" s="12" t="s">
        <v>1</v>
      </c>
      <c r="D54" s="12" t="s">
        <v>1</v>
      </c>
      <c r="E54" s="12" t="s">
        <v>1</v>
      </c>
      <c r="F54" s="12" t="s">
        <v>1</v>
      </c>
      <c r="G54" s="12" t="s">
        <v>2</v>
      </c>
      <c r="H54" s="12" t="s">
        <v>1</v>
      </c>
      <c r="I54" s="12" t="s">
        <v>1</v>
      </c>
      <c r="J54" s="12" t="s">
        <v>1</v>
      </c>
      <c r="K54" s="12" t="s">
        <v>1</v>
      </c>
      <c r="L54" s="12" t="s">
        <v>1</v>
      </c>
      <c r="M54" s="12" t="s">
        <v>1</v>
      </c>
      <c r="N54" s="12" t="s">
        <v>2</v>
      </c>
      <c r="O54" s="12" t="s">
        <v>1</v>
      </c>
      <c r="P54" s="12" t="s">
        <v>2</v>
      </c>
      <c r="Q54" s="13" t="str">
        <f t="shared" si="0"/>
        <v>Stage5</v>
      </c>
      <c r="T54" t="s">
        <v>177</v>
      </c>
      <c r="U54" t="s">
        <v>150</v>
      </c>
      <c r="V54" t="s">
        <v>169</v>
      </c>
    </row>
    <row r="55" spans="1:22" x14ac:dyDescent="0.35">
      <c r="A55" s="12" t="s">
        <v>65</v>
      </c>
      <c r="B55" s="12" t="s">
        <v>1</v>
      </c>
      <c r="C55" s="12" t="s">
        <v>1</v>
      </c>
      <c r="D55" s="12" t="s">
        <v>1</v>
      </c>
      <c r="E55" s="12" t="s">
        <v>1</v>
      </c>
      <c r="F55" s="12" t="s">
        <v>1</v>
      </c>
      <c r="G55" s="12" t="s">
        <v>1</v>
      </c>
      <c r="H55" s="12" t="s">
        <v>1</v>
      </c>
      <c r="I55" s="12" t="s">
        <v>1</v>
      </c>
      <c r="J55" s="12" t="s">
        <v>1</v>
      </c>
      <c r="K55" s="12" t="s">
        <v>1</v>
      </c>
      <c r="L55" s="12" t="s">
        <v>1</v>
      </c>
      <c r="M55" s="12" t="s">
        <v>1</v>
      </c>
      <c r="N55" s="12" t="s">
        <v>2</v>
      </c>
      <c r="O55" s="12" t="s">
        <v>1</v>
      </c>
      <c r="P55" s="12" t="s">
        <v>1</v>
      </c>
      <c r="Q55" s="13" t="str">
        <f t="shared" si="0"/>
        <v>Stage5</v>
      </c>
      <c r="T55" t="s">
        <v>30</v>
      </c>
      <c r="U55" t="s">
        <v>145</v>
      </c>
      <c r="V55" t="s">
        <v>169</v>
      </c>
    </row>
    <row r="56" spans="1:22" x14ac:dyDescent="0.35">
      <c r="T56" t="s">
        <v>179</v>
      </c>
      <c r="U56" t="s">
        <v>148</v>
      </c>
      <c r="V56" t="s">
        <v>169</v>
      </c>
    </row>
    <row r="57" spans="1:22" x14ac:dyDescent="0.35">
      <c r="T57" t="s">
        <v>177</v>
      </c>
      <c r="U57" t="s">
        <v>150</v>
      </c>
      <c r="V57" t="s">
        <v>169</v>
      </c>
    </row>
    <row r="58" spans="1:22" x14ac:dyDescent="0.35">
      <c r="A58" s="3" t="s">
        <v>1</v>
      </c>
      <c r="B58" s="3">
        <f t="shared" ref="B58:C60" si="1">COUNTIF(B$2:B$55,$A58)</f>
        <v>24</v>
      </c>
      <c r="C58" s="3">
        <f t="shared" si="1"/>
        <v>41</v>
      </c>
      <c r="D58" s="3">
        <f t="shared" ref="D58:P60" si="2">COUNTIF(D$2:D$55,$A58)</f>
        <v>11</v>
      </c>
      <c r="E58" s="3">
        <f t="shared" si="2"/>
        <v>23</v>
      </c>
      <c r="F58" s="3">
        <f t="shared" si="2"/>
        <v>33</v>
      </c>
      <c r="G58" s="3">
        <f t="shared" si="2"/>
        <v>12</v>
      </c>
      <c r="H58" s="3">
        <f t="shared" si="2"/>
        <v>17</v>
      </c>
      <c r="I58" s="3">
        <f t="shared" si="2"/>
        <v>32</v>
      </c>
      <c r="J58" s="3">
        <f t="shared" si="2"/>
        <v>19</v>
      </c>
      <c r="K58" s="3">
        <f t="shared" si="2"/>
        <v>29</v>
      </c>
      <c r="L58" s="3">
        <f t="shared" si="2"/>
        <v>43</v>
      </c>
      <c r="M58" s="3">
        <f t="shared" si="2"/>
        <v>11</v>
      </c>
      <c r="N58" s="3">
        <f t="shared" si="2"/>
        <v>15</v>
      </c>
      <c r="O58" s="3">
        <f t="shared" si="2"/>
        <v>42</v>
      </c>
      <c r="P58" s="3">
        <f t="shared" si="2"/>
        <v>6</v>
      </c>
      <c r="T58" t="s">
        <v>180</v>
      </c>
      <c r="U58" t="s">
        <v>163</v>
      </c>
      <c r="V58" t="s">
        <v>169</v>
      </c>
    </row>
    <row r="59" spans="1:22" x14ac:dyDescent="0.35">
      <c r="A59" s="3" t="s">
        <v>2</v>
      </c>
      <c r="B59" s="3">
        <f t="shared" si="1"/>
        <v>19</v>
      </c>
      <c r="C59" s="3">
        <f t="shared" si="1"/>
        <v>7</v>
      </c>
      <c r="D59" s="3">
        <f t="shared" si="2"/>
        <v>40</v>
      </c>
      <c r="E59" s="3">
        <f t="shared" si="2"/>
        <v>23</v>
      </c>
      <c r="F59" s="3">
        <f t="shared" si="2"/>
        <v>13</v>
      </c>
      <c r="G59" s="3">
        <f t="shared" si="2"/>
        <v>39</v>
      </c>
      <c r="H59" s="3">
        <f t="shared" si="2"/>
        <v>27</v>
      </c>
      <c r="I59" s="3">
        <f t="shared" si="2"/>
        <v>13</v>
      </c>
      <c r="J59" s="3">
        <f t="shared" si="2"/>
        <v>25</v>
      </c>
      <c r="K59" s="3">
        <f t="shared" si="2"/>
        <v>18</v>
      </c>
      <c r="L59" s="3">
        <f t="shared" si="2"/>
        <v>5</v>
      </c>
      <c r="M59" s="3">
        <f t="shared" si="2"/>
        <v>40</v>
      </c>
      <c r="N59" s="3">
        <f t="shared" si="2"/>
        <v>28</v>
      </c>
      <c r="O59" s="3">
        <f t="shared" si="2"/>
        <v>8</v>
      </c>
      <c r="P59" s="3">
        <f t="shared" si="2"/>
        <v>45</v>
      </c>
      <c r="T59" t="s">
        <v>31</v>
      </c>
      <c r="U59" t="s">
        <v>145</v>
      </c>
      <c r="V59" t="s">
        <v>169</v>
      </c>
    </row>
    <row r="60" spans="1:22" x14ac:dyDescent="0.35">
      <c r="A60" s="3" t="s">
        <v>12</v>
      </c>
      <c r="B60" s="3">
        <f t="shared" si="1"/>
        <v>11</v>
      </c>
      <c r="C60" s="3">
        <f t="shared" si="1"/>
        <v>6</v>
      </c>
      <c r="D60" s="3">
        <f t="shared" si="2"/>
        <v>3</v>
      </c>
      <c r="E60" s="3">
        <f t="shared" si="2"/>
        <v>8</v>
      </c>
      <c r="F60" s="3">
        <f t="shared" si="2"/>
        <v>8</v>
      </c>
      <c r="G60" s="3">
        <f t="shared" si="2"/>
        <v>3</v>
      </c>
      <c r="H60" s="3">
        <f t="shared" si="2"/>
        <v>10</v>
      </c>
      <c r="I60" s="3">
        <f t="shared" si="2"/>
        <v>9</v>
      </c>
      <c r="J60" s="3">
        <f t="shared" si="2"/>
        <v>10</v>
      </c>
      <c r="K60" s="3">
        <f t="shared" si="2"/>
        <v>7</v>
      </c>
      <c r="L60" s="3">
        <f t="shared" si="2"/>
        <v>6</v>
      </c>
      <c r="M60" s="3">
        <f t="shared" si="2"/>
        <v>3</v>
      </c>
      <c r="N60" s="3">
        <f t="shared" si="2"/>
        <v>11</v>
      </c>
      <c r="O60" s="3">
        <f t="shared" si="2"/>
        <v>4</v>
      </c>
      <c r="P60" s="3">
        <f t="shared" si="2"/>
        <v>3</v>
      </c>
      <c r="T60" t="s">
        <v>181</v>
      </c>
      <c r="U60" t="s">
        <v>148</v>
      </c>
      <c r="V60" t="s">
        <v>169</v>
      </c>
    </row>
    <row r="61" spans="1:22" x14ac:dyDescent="0.35">
      <c r="A61" s="3" t="s">
        <v>143</v>
      </c>
      <c r="B61" s="3">
        <f>SUM(B58:B60)</f>
        <v>54</v>
      </c>
      <c r="C61" s="3">
        <f>SUM(C58:C60)</f>
        <v>54</v>
      </c>
      <c r="D61" s="3">
        <f t="shared" ref="D61:P61" si="3">SUM(D58:D60)</f>
        <v>54</v>
      </c>
      <c r="E61" s="3">
        <f t="shared" si="3"/>
        <v>54</v>
      </c>
      <c r="F61" s="3">
        <f t="shared" si="3"/>
        <v>54</v>
      </c>
      <c r="G61" s="3">
        <f t="shared" si="3"/>
        <v>54</v>
      </c>
      <c r="H61" s="3">
        <f t="shared" si="3"/>
        <v>54</v>
      </c>
      <c r="I61" s="3">
        <f t="shared" si="3"/>
        <v>54</v>
      </c>
      <c r="J61" s="3">
        <f t="shared" si="3"/>
        <v>54</v>
      </c>
      <c r="K61" s="3">
        <f t="shared" si="3"/>
        <v>54</v>
      </c>
      <c r="L61" s="3">
        <f t="shared" si="3"/>
        <v>54</v>
      </c>
      <c r="M61" s="3">
        <f t="shared" si="3"/>
        <v>54</v>
      </c>
      <c r="N61" s="3">
        <f t="shared" si="3"/>
        <v>54</v>
      </c>
      <c r="O61" s="3">
        <f t="shared" si="3"/>
        <v>54</v>
      </c>
      <c r="P61" s="3">
        <f t="shared" si="3"/>
        <v>54</v>
      </c>
      <c r="T61" t="s">
        <v>182</v>
      </c>
      <c r="U61" t="s">
        <v>150</v>
      </c>
      <c r="V61" t="s">
        <v>169</v>
      </c>
    </row>
    <row r="62" spans="1:22" x14ac:dyDescent="0.35">
      <c r="A62" s="3" t="s">
        <v>144</v>
      </c>
      <c r="B62" s="3">
        <f>ROWS(B2:B55)</f>
        <v>54</v>
      </c>
      <c r="C62" s="3">
        <f>ROWS(C2:C55)</f>
        <v>54</v>
      </c>
      <c r="D62" s="3">
        <f t="shared" ref="D62:P62" si="4">ROWS(D2:D55)</f>
        <v>54</v>
      </c>
      <c r="E62" s="3">
        <f t="shared" si="4"/>
        <v>54</v>
      </c>
      <c r="F62" s="3">
        <f t="shared" si="4"/>
        <v>54</v>
      </c>
      <c r="G62" s="3">
        <f t="shared" si="4"/>
        <v>54</v>
      </c>
      <c r="H62" s="3">
        <f t="shared" si="4"/>
        <v>54</v>
      </c>
      <c r="I62" s="3">
        <f t="shared" si="4"/>
        <v>54</v>
      </c>
      <c r="J62" s="3">
        <f t="shared" si="4"/>
        <v>54</v>
      </c>
      <c r="K62" s="3">
        <f t="shared" si="4"/>
        <v>54</v>
      </c>
      <c r="L62" s="3">
        <f t="shared" si="4"/>
        <v>54</v>
      </c>
      <c r="M62" s="3">
        <f t="shared" si="4"/>
        <v>54</v>
      </c>
      <c r="N62" s="3">
        <f t="shared" si="4"/>
        <v>54</v>
      </c>
      <c r="O62" s="3">
        <f t="shared" si="4"/>
        <v>54</v>
      </c>
      <c r="P62" s="3">
        <f t="shared" si="4"/>
        <v>54</v>
      </c>
      <c r="T62" t="s">
        <v>32</v>
      </c>
      <c r="U62" t="s">
        <v>145</v>
      </c>
      <c r="V62" t="s">
        <v>169</v>
      </c>
    </row>
    <row r="63" spans="1:22" x14ac:dyDescent="0.35">
      <c r="A63" s="3" t="s">
        <v>141</v>
      </c>
      <c r="B63" s="3">
        <f>B58/SUM(B58:B59)*100</f>
        <v>55.813953488372093</v>
      </c>
      <c r="C63" s="3">
        <f>C58/SUM(C58:C59)*100</f>
        <v>85.416666666666657</v>
      </c>
      <c r="D63" s="3">
        <f t="shared" ref="D63:P63" si="5">D58/SUM(D58:D59)*100</f>
        <v>21.568627450980394</v>
      </c>
      <c r="E63" s="3">
        <f t="shared" si="5"/>
        <v>50</v>
      </c>
      <c r="F63" s="3">
        <f t="shared" si="5"/>
        <v>71.739130434782609</v>
      </c>
      <c r="G63" s="3">
        <f t="shared" si="5"/>
        <v>23.52941176470588</v>
      </c>
      <c r="H63" s="3">
        <f t="shared" si="5"/>
        <v>38.636363636363633</v>
      </c>
      <c r="I63" s="3">
        <f t="shared" si="5"/>
        <v>71.111111111111114</v>
      </c>
      <c r="J63" s="3">
        <f t="shared" si="5"/>
        <v>43.18181818181818</v>
      </c>
      <c r="K63" s="3">
        <f t="shared" si="5"/>
        <v>61.702127659574465</v>
      </c>
      <c r="L63" s="3">
        <f t="shared" si="5"/>
        <v>89.583333333333343</v>
      </c>
      <c r="M63" s="3">
        <f t="shared" si="5"/>
        <v>21.568627450980394</v>
      </c>
      <c r="N63" s="3">
        <f t="shared" si="5"/>
        <v>34.883720930232556</v>
      </c>
      <c r="O63" s="3">
        <f t="shared" si="5"/>
        <v>84</v>
      </c>
      <c r="P63" s="3">
        <f t="shared" si="5"/>
        <v>11.76470588235294</v>
      </c>
      <c r="T63" t="s">
        <v>183</v>
      </c>
      <c r="U63" t="s">
        <v>148</v>
      </c>
      <c r="V63" t="s">
        <v>169</v>
      </c>
    </row>
    <row r="64" spans="1:22" x14ac:dyDescent="0.35">
      <c r="A64" s="3" t="s">
        <v>142</v>
      </c>
      <c r="B64" s="3">
        <f>(B58-B59)/B62</f>
        <v>9.2592592592592587E-2</v>
      </c>
      <c r="C64" s="3">
        <f>(C58-C59)/C62</f>
        <v>0.62962962962962965</v>
      </c>
      <c r="D64" s="3">
        <f t="shared" ref="D64:P64" si="6">(D58-D59)/D62</f>
        <v>-0.53703703703703709</v>
      </c>
      <c r="E64" s="3">
        <f t="shared" si="6"/>
        <v>0</v>
      </c>
      <c r="F64" s="3">
        <f t="shared" si="6"/>
        <v>0.37037037037037035</v>
      </c>
      <c r="G64" s="3">
        <f t="shared" si="6"/>
        <v>-0.5</v>
      </c>
      <c r="H64" s="3">
        <f t="shared" si="6"/>
        <v>-0.18518518518518517</v>
      </c>
      <c r="I64" s="3">
        <f t="shared" si="6"/>
        <v>0.35185185185185186</v>
      </c>
      <c r="J64" s="3">
        <f t="shared" si="6"/>
        <v>-0.1111111111111111</v>
      </c>
      <c r="K64" s="3">
        <f t="shared" si="6"/>
        <v>0.20370370370370369</v>
      </c>
      <c r="L64" s="3">
        <f t="shared" si="6"/>
        <v>0.70370370370370372</v>
      </c>
      <c r="M64" s="3">
        <f t="shared" si="6"/>
        <v>-0.53703703703703709</v>
      </c>
      <c r="N64" s="3">
        <f t="shared" si="6"/>
        <v>-0.24074074074074073</v>
      </c>
      <c r="O64" s="3">
        <f t="shared" si="6"/>
        <v>0.62962962962962965</v>
      </c>
      <c r="P64" s="3">
        <f t="shared" si="6"/>
        <v>-0.72222222222222221</v>
      </c>
      <c r="T64" t="s">
        <v>182</v>
      </c>
      <c r="U64" t="s">
        <v>150</v>
      </c>
      <c r="V64" t="s">
        <v>169</v>
      </c>
    </row>
    <row r="65" spans="20:22" x14ac:dyDescent="0.35">
      <c r="T65" t="s">
        <v>33</v>
      </c>
      <c r="U65" t="s">
        <v>145</v>
      </c>
      <c r="V65" t="s">
        <v>169</v>
      </c>
    </row>
    <row r="66" spans="20:22" x14ac:dyDescent="0.35">
      <c r="T66" t="s">
        <v>184</v>
      </c>
      <c r="U66" t="s">
        <v>148</v>
      </c>
      <c r="V66" t="s">
        <v>169</v>
      </c>
    </row>
    <row r="67" spans="20:22" x14ac:dyDescent="0.35">
      <c r="T67" t="s">
        <v>182</v>
      </c>
      <c r="U67" t="s">
        <v>150</v>
      </c>
      <c r="V67" t="s">
        <v>169</v>
      </c>
    </row>
    <row r="68" spans="20:22" x14ac:dyDescent="0.35">
      <c r="T68" t="s">
        <v>185</v>
      </c>
      <c r="U68" t="s">
        <v>163</v>
      </c>
      <c r="V68" t="s">
        <v>169</v>
      </c>
    </row>
    <row r="69" spans="20:22" x14ac:dyDescent="0.35">
      <c r="T69" t="s">
        <v>34</v>
      </c>
      <c r="U69" t="s">
        <v>145</v>
      </c>
      <c r="V69" t="s">
        <v>169</v>
      </c>
    </row>
    <row r="70" spans="20:22" x14ac:dyDescent="0.35">
      <c r="T70" t="s">
        <v>186</v>
      </c>
      <c r="U70" t="s">
        <v>148</v>
      </c>
      <c r="V70" t="s">
        <v>169</v>
      </c>
    </row>
    <row r="71" spans="20:22" x14ac:dyDescent="0.35">
      <c r="T71" t="s">
        <v>187</v>
      </c>
      <c r="U71" t="s">
        <v>150</v>
      </c>
      <c r="V71" t="s">
        <v>169</v>
      </c>
    </row>
    <row r="72" spans="20:22" x14ac:dyDescent="0.35">
      <c r="T72" t="s">
        <v>35</v>
      </c>
      <c r="U72" t="s">
        <v>145</v>
      </c>
      <c r="V72" t="s">
        <v>169</v>
      </c>
    </row>
    <row r="73" spans="20:22" x14ac:dyDescent="0.35">
      <c r="T73" t="s">
        <v>188</v>
      </c>
      <c r="U73" t="s">
        <v>148</v>
      </c>
      <c r="V73" t="s">
        <v>169</v>
      </c>
    </row>
    <row r="74" spans="20:22" x14ac:dyDescent="0.35">
      <c r="T74" t="s">
        <v>187</v>
      </c>
      <c r="U74" t="s">
        <v>150</v>
      </c>
      <c r="V74" t="s">
        <v>169</v>
      </c>
    </row>
    <row r="75" spans="20:22" x14ac:dyDescent="0.35">
      <c r="T75" t="s">
        <v>36</v>
      </c>
      <c r="U75" t="s">
        <v>145</v>
      </c>
      <c r="V75" t="s">
        <v>169</v>
      </c>
    </row>
    <row r="76" spans="20:22" x14ac:dyDescent="0.35">
      <c r="T76" t="s">
        <v>189</v>
      </c>
      <c r="U76" t="s">
        <v>148</v>
      </c>
      <c r="V76" t="s">
        <v>169</v>
      </c>
    </row>
    <row r="77" spans="20:22" x14ac:dyDescent="0.35">
      <c r="T77" t="s">
        <v>187</v>
      </c>
      <c r="U77" t="s">
        <v>150</v>
      </c>
      <c r="V77" t="s">
        <v>169</v>
      </c>
    </row>
    <row r="78" spans="20:22" x14ac:dyDescent="0.35">
      <c r="T78" t="s">
        <v>190</v>
      </c>
      <c r="U78" t="s">
        <v>163</v>
      </c>
      <c r="V78" t="s">
        <v>169</v>
      </c>
    </row>
    <row r="79" spans="20:22" x14ac:dyDescent="0.35">
      <c r="T79" t="s">
        <v>37</v>
      </c>
      <c r="U79" t="s">
        <v>145</v>
      </c>
      <c r="V79" t="s">
        <v>191</v>
      </c>
    </row>
    <row r="80" spans="20:22" x14ac:dyDescent="0.35">
      <c r="T80" t="s">
        <v>192</v>
      </c>
      <c r="U80" t="s">
        <v>148</v>
      </c>
      <c r="V80" t="s">
        <v>191</v>
      </c>
    </row>
    <row r="81" spans="20:22" x14ac:dyDescent="0.35">
      <c r="T81" t="s">
        <v>193</v>
      </c>
      <c r="U81" t="s">
        <v>150</v>
      </c>
      <c r="V81" t="s">
        <v>191</v>
      </c>
    </row>
    <row r="82" spans="20:22" x14ac:dyDescent="0.35">
      <c r="T82" t="s">
        <v>38</v>
      </c>
      <c r="U82" t="s">
        <v>145</v>
      </c>
      <c r="V82" t="s">
        <v>191</v>
      </c>
    </row>
    <row r="83" spans="20:22" x14ac:dyDescent="0.35">
      <c r="T83" t="s">
        <v>194</v>
      </c>
      <c r="U83" t="s">
        <v>148</v>
      </c>
      <c r="V83" t="s">
        <v>191</v>
      </c>
    </row>
    <row r="84" spans="20:22" x14ac:dyDescent="0.35">
      <c r="T84" t="s">
        <v>193</v>
      </c>
      <c r="U84" t="s">
        <v>150</v>
      </c>
      <c r="V84" t="s">
        <v>191</v>
      </c>
    </row>
    <row r="85" spans="20:22" x14ac:dyDescent="0.35">
      <c r="T85" t="s">
        <v>39</v>
      </c>
      <c r="U85" t="s">
        <v>145</v>
      </c>
      <c r="V85" t="s">
        <v>191</v>
      </c>
    </row>
    <row r="86" spans="20:22" x14ac:dyDescent="0.35">
      <c r="T86" t="s">
        <v>195</v>
      </c>
      <c r="U86" t="s">
        <v>148</v>
      </c>
      <c r="V86" t="s">
        <v>191</v>
      </c>
    </row>
    <row r="87" spans="20:22" x14ac:dyDescent="0.35">
      <c r="T87" t="s">
        <v>40</v>
      </c>
      <c r="U87" t="s">
        <v>145</v>
      </c>
      <c r="V87" t="s">
        <v>191</v>
      </c>
    </row>
    <row r="88" spans="20:22" x14ac:dyDescent="0.35">
      <c r="T88" t="s">
        <v>196</v>
      </c>
      <c r="U88" t="s">
        <v>148</v>
      </c>
      <c r="V88" t="s">
        <v>191</v>
      </c>
    </row>
    <row r="89" spans="20:22" x14ac:dyDescent="0.35">
      <c r="T89" t="s">
        <v>193</v>
      </c>
      <c r="U89" t="s">
        <v>150</v>
      </c>
      <c r="V89" t="s">
        <v>191</v>
      </c>
    </row>
    <row r="90" spans="20:22" x14ac:dyDescent="0.35">
      <c r="T90" t="s">
        <v>197</v>
      </c>
      <c r="U90" t="s">
        <v>163</v>
      </c>
      <c r="V90" t="s">
        <v>191</v>
      </c>
    </row>
    <row r="91" spans="20:22" x14ac:dyDescent="0.35">
      <c r="T91" t="s">
        <v>41</v>
      </c>
      <c r="U91" t="s">
        <v>145</v>
      </c>
      <c r="V91" t="s">
        <v>191</v>
      </c>
    </row>
    <row r="92" spans="20:22" x14ac:dyDescent="0.35">
      <c r="T92" t="s">
        <v>198</v>
      </c>
      <c r="U92" t="s">
        <v>148</v>
      </c>
      <c r="V92" t="s">
        <v>191</v>
      </c>
    </row>
    <row r="93" spans="20:22" x14ac:dyDescent="0.35">
      <c r="T93" t="s">
        <v>199</v>
      </c>
      <c r="U93" t="s">
        <v>150</v>
      </c>
      <c r="V93" t="s">
        <v>191</v>
      </c>
    </row>
    <row r="94" spans="20:22" x14ac:dyDescent="0.35">
      <c r="T94" t="s">
        <v>42</v>
      </c>
      <c r="U94" t="s">
        <v>145</v>
      </c>
      <c r="V94" t="s">
        <v>191</v>
      </c>
    </row>
    <row r="95" spans="20:22" x14ac:dyDescent="0.35">
      <c r="T95" t="s">
        <v>200</v>
      </c>
      <c r="U95" t="s">
        <v>148</v>
      </c>
      <c r="V95" t="s">
        <v>191</v>
      </c>
    </row>
    <row r="96" spans="20:22" x14ac:dyDescent="0.35">
      <c r="T96" t="s">
        <v>199</v>
      </c>
      <c r="U96" t="s">
        <v>150</v>
      </c>
      <c r="V96" t="s">
        <v>191</v>
      </c>
    </row>
    <row r="97" spans="20:22" x14ac:dyDescent="0.35">
      <c r="T97" t="s">
        <v>43</v>
      </c>
      <c r="U97" t="s">
        <v>145</v>
      </c>
      <c r="V97" t="s">
        <v>191</v>
      </c>
    </row>
    <row r="98" spans="20:22" x14ac:dyDescent="0.35">
      <c r="T98" t="s">
        <v>201</v>
      </c>
      <c r="U98" t="s">
        <v>148</v>
      </c>
      <c r="V98" t="s">
        <v>191</v>
      </c>
    </row>
    <row r="99" spans="20:22" x14ac:dyDescent="0.35">
      <c r="T99" t="s">
        <v>199</v>
      </c>
      <c r="U99" t="s">
        <v>150</v>
      </c>
      <c r="V99" t="s">
        <v>191</v>
      </c>
    </row>
    <row r="100" spans="20:22" x14ac:dyDescent="0.35">
      <c r="T100" t="s">
        <v>202</v>
      </c>
      <c r="U100" t="s">
        <v>163</v>
      </c>
      <c r="V100" t="s">
        <v>191</v>
      </c>
    </row>
    <row r="101" spans="20:22" x14ac:dyDescent="0.35">
      <c r="T101" t="s">
        <v>44</v>
      </c>
      <c r="U101" t="s">
        <v>145</v>
      </c>
      <c r="V101" t="s">
        <v>191</v>
      </c>
    </row>
    <row r="102" spans="20:22" x14ac:dyDescent="0.35">
      <c r="T102" t="s">
        <v>203</v>
      </c>
      <c r="U102" t="s">
        <v>148</v>
      </c>
      <c r="V102" t="s">
        <v>191</v>
      </c>
    </row>
    <row r="103" spans="20:22" x14ac:dyDescent="0.35">
      <c r="T103" t="s">
        <v>204</v>
      </c>
      <c r="U103" t="s">
        <v>150</v>
      </c>
      <c r="V103" t="s">
        <v>191</v>
      </c>
    </row>
    <row r="104" spans="20:22" x14ac:dyDescent="0.35">
      <c r="T104" t="s">
        <v>45</v>
      </c>
      <c r="U104" t="s">
        <v>145</v>
      </c>
      <c r="V104" t="s">
        <v>191</v>
      </c>
    </row>
    <row r="105" spans="20:22" x14ac:dyDescent="0.35">
      <c r="T105" t="s">
        <v>205</v>
      </c>
      <c r="U105" t="s">
        <v>148</v>
      </c>
      <c r="V105" t="s">
        <v>191</v>
      </c>
    </row>
    <row r="106" spans="20:22" x14ac:dyDescent="0.35">
      <c r="T106" t="s">
        <v>204</v>
      </c>
      <c r="U106" t="s">
        <v>150</v>
      </c>
      <c r="V106" t="s">
        <v>191</v>
      </c>
    </row>
    <row r="107" spans="20:22" x14ac:dyDescent="0.35">
      <c r="T107" t="s">
        <v>46</v>
      </c>
      <c r="U107" t="s">
        <v>145</v>
      </c>
      <c r="V107" t="s">
        <v>191</v>
      </c>
    </row>
    <row r="108" spans="20:22" x14ac:dyDescent="0.35">
      <c r="T108" t="s">
        <v>206</v>
      </c>
      <c r="U108" t="s">
        <v>148</v>
      </c>
      <c r="V108" t="s">
        <v>191</v>
      </c>
    </row>
    <row r="109" spans="20:22" x14ac:dyDescent="0.35">
      <c r="T109" t="s">
        <v>204</v>
      </c>
      <c r="U109" t="s">
        <v>150</v>
      </c>
      <c r="V109" t="s">
        <v>191</v>
      </c>
    </row>
    <row r="110" spans="20:22" x14ac:dyDescent="0.35">
      <c r="T110" t="s">
        <v>207</v>
      </c>
      <c r="U110" t="s">
        <v>163</v>
      </c>
      <c r="V110" t="s">
        <v>191</v>
      </c>
    </row>
    <row r="111" spans="20:22" x14ac:dyDescent="0.35">
      <c r="T111" t="s">
        <v>47</v>
      </c>
      <c r="U111" t="s">
        <v>145</v>
      </c>
      <c r="V111" t="s">
        <v>191</v>
      </c>
    </row>
    <row r="112" spans="20:22" x14ac:dyDescent="0.35">
      <c r="T112" t="s">
        <v>208</v>
      </c>
      <c r="U112" t="s">
        <v>148</v>
      </c>
      <c r="V112" t="s">
        <v>191</v>
      </c>
    </row>
    <row r="113" spans="20:22" x14ac:dyDescent="0.35">
      <c r="T113" t="s">
        <v>209</v>
      </c>
      <c r="U113" t="s">
        <v>150</v>
      </c>
      <c r="V113" t="s">
        <v>191</v>
      </c>
    </row>
    <row r="114" spans="20:22" x14ac:dyDescent="0.35">
      <c r="T114" t="s">
        <v>48</v>
      </c>
      <c r="U114" t="s">
        <v>145</v>
      </c>
      <c r="V114" t="s">
        <v>191</v>
      </c>
    </row>
    <row r="115" spans="20:22" x14ac:dyDescent="0.35">
      <c r="T115" t="s">
        <v>210</v>
      </c>
      <c r="U115" t="s">
        <v>148</v>
      </c>
      <c r="V115" t="s">
        <v>191</v>
      </c>
    </row>
    <row r="116" spans="20:22" x14ac:dyDescent="0.35">
      <c r="T116" t="s">
        <v>209</v>
      </c>
      <c r="U116" t="s">
        <v>150</v>
      </c>
      <c r="V116" t="s">
        <v>191</v>
      </c>
    </row>
    <row r="117" spans="20:22" x14ac:dyDescent="0.35">
      <c r="T117" t="s">
        <v>49</v>
      </c>
      <c r="U117" t="s">
        <v>145</v>
      </c>
      <c r="V117" t="s">
        <v>191</v>
      </c>
    </row>
    <row r="118" spans="20:22" x14ac:dyDescent="0.35">
      <c r="T118" t="s">
        <v>211</v>
      </c>
      <c r="U118" t="s">
        <v>148</v>
      </c>
      <c r="V118" t="s">
        <v>191</v>
      </c>
    </row>
    <row r="119" spans="20:22" x14ac:dyDescent="0.35">
      <c r="T119" t="s">
        <v>209</v>
      </c>
      <c r="U119" t="s">
        <v>150</v>
      </c>
      <c r="V119" t="s">
        <v>191</v>
      </c>
    </row>
    <row r="120" spans="20:22" x14ac:dyDescent="0.35">
      <c r="T120" t="s">
        <v>212</v>
      </c>
      <c r="U120" t="s">
        <v>163</v>
      </c>
      <c r="V120" t="s">
        <v>191</v>
      </c>
    </row>
    <row r="121" spans="20:22" x14ac:dyDescent="0.35">
      <c r="T121" t="s">
        <v>50</v>
      </c>
      <c r="U121" t="s">
        <v>145</v>
      </c>
      <c r="V121" t="s">
        <v>191</v>
      </c>
    </row>
    <row r="122" spans="20:22" x14ac:dyDescent="0.35">
      <c r="T122" t="s">
        <v>213</v>
      </c>
      <c r="U122" t="s">
        <v>148</v>
      </c>
      <c r="V122" t="s">
        <v>191</v>
      </c>
    </row>
    <row r="123" spans="20:22" x14ac:dyDescent="0.35">
      <c r="T123" t="s">
        <v>214</v>
      </c>
      <c r="U123" t="s">
        <v>150</v>
      </c>
      <c r="V123" t="s">
        <v>191</v>
      </c>
    </row>
    <row r="124" spans="20:22" x14ac:dyDescent="0.35">
      <c r="T124" t="s">
        <v>51</v>
      </c>
      <c r="U124" t="s">
        <v>145</v>
      </c>
      <c r="V124" t="s">
        <v>191</v>
      </c>
    </row>
    <row r="125" spans="20:22" x14ac:dyDescent="0.35">
      <c r="T125" t="s">
        <v>215</v>
      </c>
      <c r="U125" t="s">
        <v>148</v>
      </c>
      <c r="V125" t="s">
        <v>191</v>
      </c>
    </row>
    <row r="126" spans="20:22" x14ac:dyDescent="0.35">
      <c r="T126" t="s">
        <v>214</v>
      </c>
      <c r="U126" t="s">
        <v>150</v>
      </c>
      <c r="V126" t="s">
        <v>191</v>
      </c>
    </row>
    <row r="127" spans="20:22" x14ac:dyDescent="0.35">
      <c r="T127" t="s">
        <v>52</v>
      </c>
      <c r="U127" t="s">
        <v>145</v>
      </c>
      <c r="V127" t="s">
        <v>191</v>
      </c>
    </row>
    <row r="128" spans="20:22" x14ac:dyDescent="0.35">
      <c r="T128" t="s">
        <v>216</v>
      </c>
      <c r="U128" t="s">
        <v>148</v>
      </c>
      <c r="V128" t="s">
        <v>191</v>
      </c>
    </row>
    <row r="129" spans="20:22" x14ac:dyDescent="0.35">
      <c r="T129" t="s">
        <v>214</v>
      </c>
      <c r="U129" t="s">
        <v>150</v>
      </c>
      <c r="V129" t="s">
        <v>191</v>
      </c>
    </row>
    <row r="130" spans="20:22" x14ac:dyDescent="0.35">
      <c r="T130" t="s">
        <v>217</v>
      </c>
      <c r="U130" t="s">
        <v>163</v>
      </c>
      <c r="V130" t="s">
        <v>191</v>
      </c>
    </row>
    <row r="131" spans="20:22" x14ac:dyDescent="0.35">
      <c r="T131" t="s">
        <v>53</v>
      </c>
      <c r="U131" t="s">
        <v>145</v>
      </c>
      <c r="V131" t="s">
        <v>191</v>
      </c>
    </row>
    <row r="132" spans="20:22" x14ac:dyDescent="0.35">
      <c r="T132" t="s">
        <v>218</v>
      </c>
      <c r="U132" t="s">
        <v>148</v>
      </c>
      <c r="V132" t="s">
        <v>191</v>
      </c>
    </row>
    <row r="133" spans="20:22" x14ac:dyDescent="0.35">
      <c r="T133" t="s">
        <v>219</v>
      </c>
      <c r="U133" t="s">
        <v>150</v>
      </c>
      <c r="V133" t="s">
        <v>191</v>
      </c>
    </row>
    <row r="134" spans="20:22" x14ac:dyDescent="0.35">
      <c r="T134" t="s">
        <v>54</v>
      </c>
      <c r="U134" t="s">
        <v>145</v>
      </c>
      <c r="V134" t="s">
        <v>191</v>
      </c>
    </row>
    <row r="135" spans="20:22" x14ac:dyDescent="0.35">
      <c r="T135" t="s">
        <v>220</v>
      </c>
      <c r="U135" t="s">
        <v>148</v>
      </c>
      <c r="V135" t="s">
        <v>191</v>
      </c>
    </row>
    <row r="136" spans="20:22" x14ac:dyDescent="0.35">
      <c r="T136" t="s">
        <v>219</v>
      </c>
      <c r="U136" t="s">
        <v>150</v>
      </c>
      <c r="V136" t="s">
        <v>191</v>
      </c>
    </row>
    <row r="137" spans="20:22" x14ac:dyDescent="0.35">
      <c r="T137" t="s">
        <v>55</v>
      </c>
      <c r="U137" t="s">
        <v>145</v>
      </c>
      <c r="V137" t="s">
        <v>191</v>
      </c>
    </row>
    <row r="138" spans="20:22" x14ac:dyDescent="0.35">
      <c r="T138" t="s">
        <v>221</v>
      </c>
      <c r="U138" t="s">
        <v>148</v>
      </c>
      <c r="V138" t="s">
        <v>191</v>
      </c>
    </row>
    <row r="139" spans="20:22" x14ac:dyDescent="0.35">
      <c r="T139" t="s">
        <v>219</v>
      </c>
      <c r="U139" t="s">
        <v>150</v>
      </c>
      <c r="V139" t="s">
        <v>191</v>
      </c>
    </row>
    <row r="140" spans="20:22" x14ac:dyDescent="0.35">
      <c r="T140" t="s">
        <v>222</v>
      </c>
      <c r="U140" t="s">
        <v>163</v>
      </c>
      <c r="V140" t="s">
        <v>191</v>
      </c>
    </row>
    <row r="141" spans="20:22" x14ac:dyDescent="0.35">
      <c r="T141" t="s">
        <v>56</v>
      </c>
      <c r="U141" t="s">
        <v>145</v>
      </c>
      <c r="V141" t="s">
        <v>223</v>
      </c>
    </row>
    <row r="142" spans="20:22" x14ac:dyDescent="0.35">
      <c r="T142" t="s">
        <v>224</v>
      </c>
      <c r="U142" t="s">
        <v>148</v>
      </c>
      <c r="V142" t="s">
        <v>223</v>
      </c>
    </row>
    <row r="143" spans="20:22" x14ac:dyDescent="0.35">
      <c r="T143" t="s">
        <v>225</v>
      </c>
      <c r="U143" t="s">
        <v>150</v>
      </c>
      <c r="V143" t="s">
        <v>223</v>
      </c>
    </row>
    <row r="144" spans="20:22" x14ac:dyDescent="0.35">
      <c r="T144" t="s">
        <v>57</v>
      </c>
      <c r="U144" t="s">
        <v>145</v>
      </c>
      <c r="V144" t="s">
        <v>223</v>
      </c>
    </row>
    <row r="145" spans="20:22" x14ac:dyDescent="0.35">
      <c r="T145" t="s">
        <v>226</v>
      </c>
      <c r="U145" t="s">
        <v>148</v>
      </c>
      <c r="V145" t="s">
        <v>223</v>
      </c>
    </row>
    <row r="146" spans="20:22" x14ac:dyDescent="0.35">
      <c r="T146" t="s">
        <v>225</v>
      </c>
      <c r="U146" t="s">
        <v>150</v>
      </c>
      <c r="V146" t="s">
        <v>223</v>
      </c>
    </row>
    <row r="147" spans="20:22" x14ac:dyDescent="0.35">
      <c r="T147" t="s">
        <v>58</v>
      </c>
      <c r="U147" t="s">
        <v>145</v>
      </c>
      <c r="V147" t="s">
        <v>223</v>
      </c>
    </row>
    <row r="148" spans="20:22" x14ac:dyDescent="0.35">
      <c r="T148" t="s">
        <v>227</v>
      </c>
      <c r="U148" t="s">
        <v>148</v>
      </c>
      <c r="V148" t="s">
        <v>223</v>
      </c>
    </row>
    <row r="149" spans="20:22" x14ac:dyDescent="0.35">
      <c r="T149" t="s">
        <v>59</v>
      </c>
      <c r="U149" t="s">
        <v>145</v>
      </c>
      <c r="V149" t="s">
        <v>223</v>
      </c>
    </row>
    <row r="150" spans="20:22" x14ac:dyDescent="0.35">
      <c r="T150" t="s">
        <v>228</v>
      </c>
      <c r="U150" t="s">
        <v>148</v>
      </c>
      <c r="V150" t="s">
        <v>223</v>
      </c>
    </row>
    <row r="151" spans="20:22" x14ac:dyDescent="0.35">
      <c r="T151" t="s">
        <v>225</v>
      </c>
      <c r="U151" t="s">
        <v>150</v>
      </c>
      <c r="V151" t="s">
        <v>223</v>
      </c>
    </row>
    <row r="152" spans="20:22" x14ac:dyDescent="0.35">
      <c r="T152" t="s">
        <v>229</v>
      </c>
      <c r="U152" t="s">
        <v>163</v>
      </c>
      <c r="V152" t="s">
        <v>223</v>
      </c>
    </row>
    <row r="153" spans="20:22" x14ac:dyDescent="0.35">
      <c r="T153" t="s">
        <v>60</v>
      </c>
      <c r="U153" t="s">
        <v>145</v>
      </c>
      <c r="V153" t="s">
        <v>223</v>
      </c>
    </row>
    <row r="154" spans="20:22" x14ac:dyDescent="0.35">
      <c r="T154" t="s">
        <v>230</v>
      </c>
      <c r="U154" t="s">
        <v>148</v>
      </c>
      <c r="V154" t="s">
        <v>223</v>
      </c>
    </row>
    <row r="155" spans="20:22" x14ac:dyDescent="0.35">
      <c r="T155" t="s">
        <v>231</v>
      </c>
      <c r="U155" t="s">
        <v>150</v>
      </c>
      <c r="V155" t="s">
        <v>223</v>
      </c>
    </row>
    <row r="156" spans="20:22" x14ac:dyDescent="0.35">
      <c r="T156" t="s">
        <v>61</v>
      </c>
      <c r="U156" t="s">
        <v>145</v>
      </c>
      <c r="V156" t="s">
        <v>223</v>
      </c>
    </row>
    <row r="157" spans="20:22" x14ac:dyDescent="0.35">
      <c r="T157" t="s">
        <v>232</v>
      </c>
      <c r="U157" t="s">
        <v>148</v>
      </c>
      <c r="V157" t="s">
        <v>223</v>
      </c>
    </row>
    <row r="158" spans="20:22" x14ac:dyDescent="0.35">
      <c r="T158" t="s">
        <v>231</v>
      </c>
      <c r="U158" t="s">
        <v>150</v>
      </c>
      <c r="V158" t="s">
        <v>223</v>
      </c>
    </row>
    <row r="159" spans="20:22" x14ac:dyDescent="0.35">
      <c r="T159" t="s">
        <v>62</v>
      </c>
      <c r="U159" t="s">
        <v>145</v>
      </c>
      <c r="V159" t="s">
        <v>223</v>
      </c>
    </row>
    <row r="160" spans="20:22" x14ac:dyDescent="0.35">
      <c r="T160" t="s">
        <v>233</v>
      </c>
      <c r="U160" t="s">
        <v>148</v>
      </c>
      <c r="V160" t="s">
        <v>223</v>
      </c>
    </row>
    <row r="161" spans="20:22" x14ac:dyDescent="0.35">
      <c r="T161" t="s">
        <v>231</v>
      </c>
      <c r="U161" t="s">
        <v>150</v>
      </c>
      <c r="V161" t="s">
        <v>223</v>
      </c>
    </row>
    <row r="162" spans="20:22" x14ac:dyDescent="0.35">
      <c r="T162" t="s">
        <v>234</v>
      </c>
      <c r="U162" t="s">
        <v>163</v>
      </c>
      <c r="V162" t="s">
        <v>223</v>
      </c>
    </row>
    <row r="163" spans="20:22" x14ac:dyDescent="0.35">
      <c r="T163" t="s">
        <v>63</v>
      </c>
      <c r="U163" t="s">
        <v>145</v>
      </c>
      <c r="V163" t="s">
        <v>223</v>
      </c>
    </row>
    <row r="164" spans="20:22" x14ac:dyDescent="0.35">
      <c r="T164" t="s">
        <v>235</v>
      </c>
      <c r="U164" t="s">
        <v>148</v>
      </c>
      <c r="V164" t="s">
        <v>223</v>
      </c>
    </row>
    <row r="165" spans="20:22" x14ac:dyDescent="0.35">
      <c r="T165" t="s">
        <v>236</v>
      </c>
      <c r="U165" t="s">
        <v>150</v>
      </c>
      <c r="V165" t="s">
        <v>223</v>
      </c>
    </row>
    <row r="166" spans="20:22" x14ac:dyDescent="0.35">
      <c r="T166" t="s">
        <v>64</v>
      </c>
      <c r="U166" t="s">
        <v>145</v>
      </c>
      <c r="V166" t="s">
        <v>223</v>
      </c>
    </row>
    <row r="167" spans="20:22" x14ac:dyDescent="0.35">
      <c r="T167" t="s">
        <v>237</v>
      </c>
      <c r="U167" t="s">
        <v>148</v>
      </c>
      <c r="V167" t="s">
        <v>223</v>
      </c>
    </row>
    <row r="168" spans="20:22" x14ac:dyDescent="0.35">
      <c r="T168" t="s">
        <v>236</v>
      </c>
      <c r="U168" t="s">
        <v>150</v>
      </c>
      <c r="V168" t="s">
        <v>223</v>
      </c>
    </row>
    <row r="169" spans="20:22" x14ac:dyDescent="0.35">
      <c r="T169" t="s">
        <v>65</v>
      </c>
      <c r="U169" t="s">
        <v>145</v>
      </c>
      <c r="V169" t="s">
        <v>223</v>
      </c>
    </row>
    <row r="170" spans="20:22" x14ac:dyDescent="0.35">
      <c r="T170" t="s">
        <v>238</v>
      </c>
      <c r="U170" t="s">
        <v>148</v>
      </c>
      <c r="V170" t="s">
        <v>223</v>
      </c>
    </row>
    <row r="171" spans="20:22" x14ac:dyDescent="0.35">
      <c r="T171" t="s">
        <v>236</v>
      </c>
      <c r="U171" t="s">
        <v>150</v>
      </c>
      <c r="V171" t="s">
        <v>223</v>
      </c>
    </row>
    <row r="172" spans="20:22" x14ac:dyDescent="0.35">
      <c r="T172" t="s">
        <v>239</v>
      </c>
      <c r="U172" t="s">
        <v>163</v>
      </c>
      <c r="V172" t="s">
        <v>223</v>
      </c>
    </row>
    <row r="173" spans="20:22" x14ac:dyDescent="0.35">
      <c r="T173" t="s">
        <v>240</v>
      </c>
      <c r="U173" t="s">
        <v>241</v>
      </c>
      <c r="V173" t="s">
        <v>223</v>
      </c>
    </row>
  </sheetData>
  <autoFilter ref="E1:H55" xr:uid="{00000000-0001-0000-0F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J55"/>
  <sheetViews>
    <sheetView tabSelected="1" workbookViewId="0">
      <pane xSplit="13" ySplit="1" topLeftCell="AX35" activePane="bottomRight" state="frozen"/>
      <selection pane="topRight" activeCell="N1" sqref="N1"/>
      <selection pane="bottomLeft" activeCell="A2" sqref="A2"/>
      <selection pane="bottomRight" activeCell="BF1" sqref="BF1:BF55"/>
    </sheetView>
  </sheetViews>
  <sheetFormatPr defaultRowHeight="14.5" x14ac:dyDescent="0.35"/>
  <cols>
    <col min="1" max="1" width="23" customWidth="1"/>
    <col min="2" max="3" width="41" hidden="1" customWidth="1"/>
    <col min="4" max="5" width="39" hidden="1" customWidth="1"/>
    <col min="6" max="7" width="41" hidden="1" customWidth="1"/>
    <col min="8" max="9" width="39" hidden="1" customWidth="1"/>
    <col min="10" max="11" width="41" hidden="1" customWidth="1"/>
    <col min="12" max="13" width="39" hidden="1" customWidth="1"/>
    <col min="14" max="14" width="40" customWidth="1"/>
    <col min="15" max="15" width="40" hidden="1" customWidth="1"/>
    <col min="16" max="17" width="38" hidden="1" customWidth="1"/>
    <col min="18" max="18" width="40" customWidth="1"/>
    <col min="19" max="19" width="40" hidden="1" customWidth="1"/>
    <col min="20" max="21" width="38" hidden="1" customWidth="1"/>
    <col min="22" max="22" width="40" customWidth="1"/>
    <col min="23" max="23" width="40" hidden="1" customWidth="1"/>
    <col min="24" max="25" width="38" hidden="1" customWidth="1"/>
    <col min="26" max="26" width="42" customWidth="1"/>
    <col min="27" max="27" width="42" hidden="1" customWidth="1"/>
    <col min="28" max="29" width="40" hidden="1" customWidth="1"/>
    <col min="30" max="30" width="42" customWidth="1"/>
    <col min="31" max="31" width="42" hidden="1" customWidth="1"/>
    <col min="32" max="33" width="40" hidden="1" customWidth="1"/>
    <col min="34" max="34" width="42" customWidth="1"/>
    <col min="35" max="35" width="42" hidden="1" customWidth="1"/>
    <col min="36" max="37" width="40" hidden="1" customWidth="1"/>
    <col min="38" max="38" width="42" customWidth="1"/>
    <col min="39" max="39" width="42" hidden="1" customWidth="1"/>
    <col min="40" max="41" width="40" hidden="1" customWidth="1"/>
    <col min="42" max="42" width="42" customWidth="1"/>
    <col min="43" max="43" width="42" hidden="1" customWidth="1"/>
    <col min="44" max="45" width="40" hidden="1" customWidth="1"/>
    <col min="46" max="46" width="42" customWidth="1"/>
    <col min="47" max="47" width="42" hidden="1" customWidth="1"/>
    <col min="48" max="49" width="40" hidden="1" customWidth="1"/>
    <col min="50" max="50" width="42" customWidth="1"/>
    <col min="51" max="51" width="42" hidden="1" customWidth="1"/>
    <col min="52" max="53" width="40" hidden="1" customWidth="1"/>
    <col min="54" max="54" width="42" customWidth="1"/>
    <col min="55" max="55" width="42" hidden="1" customWidth="1"/>
    <col min="56" max="57" width="40" hidden="1" customWidth="1"/>
    <col min="58" max="58" width="42" customWidth="1"/>
    <col min="59" max="59" width="42" hidden="1" customWidth="1"/>
    <col min="60" max="61" width="40" hidden="1" customWidth="1"/>
  </cols>
  <sheetData>
    <row r="1" spans="1:62" x14ac:dyDescent="0.35">
      <c r="A1" s="1" t="s">
        <v>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4" t="s">
        <v>93</v>
      </c>
      <c r="O1" s="1" t="s">
        <v>94</v>
      </c>
      <c r="P1" s="1" t="s">
        <v>95</v>
      </c>
      <c r="Q1" s="1" t="s">
        <v>96</v>
      </c>
      <c r="R1" s="4" t="s">
        <v>97</v>
      </c>
      <c r="S1" s="1" t="s">
        <v>98</v>
      </c>
      <c r="T1" s="1" t="s">
        <v>99</v>
      </c>
      <c r="U1" s="1" t="s">
        <v>100</v>
      </c>
      <c r="V1" s="4" t="s">
        <v>101</v>
      </c>
      <c r="W1" s="1" t="s">
        <v>102</v>
      </c>
      <c r="X1" s="1" t="s">
        <v>103</v>
      </c>
      <c r="Y1" s="1" t="s">
        <v>104</v>
      </c>
      <c r="Z1" s="4" t="s">
        <v>105</v>
      </c>
      <c r="AA1" s="1" t="s">
        <v>106</v>
      </c>
      <c r="AB1" s="1" t="s">
        <v>107</v>
      </c>
      <c r="AC1" s="1" t="s">
        <v>108</v>
      </c>
      <c r="AD1" s="4" t="s">
        <v>109</v>
      </c>
      <c r="AE1" s="4" t="s">
        <v>110</v>
      </c>
      <c r="AF1" s="4" t="s">
        <v>111</v>
      </c>
      <c r="AG1" s="4" t="s">
        <v>112</v>
      </c>
      <c r="AH1" s="4" t="s">
        <v>113</v>
      </c>
      <c r="AI1" s="1" t="s">
        <v>114</v>
      </c>
      <c r="AJ1" s="1" t="s">
        <v>115</v>
      </c>
      <c r="AK1" s="1" t="s">
        <v>116</v>
      </c>
      <c r="AL1" s="4" t="s">
        <v>117</v>
      </c>
      <c r="AM1" s="4" t="s">
        <v>118</v>
      </c>
      <c r="AN1" s="4" t="s">
        <v>119</v>
      </c>
      <c r="AO1" s="4" t="s">
        <v>120</v>
      </c>
      <c r="AP1" s="4" t="s">
        <v>121</v>
      </c>
      <c r="AQ1" s="4" t="s">
        <v>122</v>
      </c>
      <c r="AR1" s="4" t="s">
        <v>123</v>
      </c>
      <c r="AS1" s="4" t="s">
        <v>124</v>
      </c>
      <c r="AT1" s="4" t="s">
        <v>125</v>
      </c>
      <c r="AU1" s="4" t="s">
        <v>126</v>
      </c>
      <c r="AV1" s="4" t="s">
        <v>127</v>
      </c>
      <c r="AW1" s="4" t="s">
        <v>128</v>
      </c>
      <c r="AX1" s="4" t="s">
        <v>129</v>
      </c>
      <c r="AY1" s="4" t="s">
        <v>130</v>
      </c>
      <c r="AZ1" s="4" t="s">
        <v>131</v>
      </c>
      <c r="BA1" s="4" t="s">
        <v>132</v>
      </c>
      <c r="BB1" s="4" t="s">
        <v>133</v>
      </c>
      <c r="BC1" s="4" t="s">
        <v>134</v>
      </c>
      <c r="BD1" s="4" t="s">
        <v>135</v>
      </c>
      <c r="BE1" s="4" t="s">
        <v>136</v>
      </c>
      <c r="BF1" s="4" t="s">
        <v>137</v>
      </c>
      <c r="BG1" s="1" t="s">
        <v>138</v>
      </c>
      <c r="BH1" s="1" t="s">
        <v>139</v>
      </c>
      <c r="BI1" s="1" t="s">
        <v>140</v>
      </c>
    </row>
    <row r="2" spans="1:62" x14ac:dyDescent="0.35">
      <c r="A2" s="6" t="s">
        <v>11</v>
      </c>
      <c r="B2" s="6">
        <v>0.54500593559208865</v>
      </c>
      <c r="C2" s="6">
        <v>0.4849696355118181</v>
      </c>
      <c r="D2" s="6">
        <v>0.53004295338662577</v>
      </c>
      <c r="E2" s="6">
        <v>0.46995704661337417</v>
      </c>
      <c r="F2" s="6">
        <v>0.19302048399242741</v>
      </c>
      <c r="G2" s="6">
        <v>0.82695748928708979</v>
      </c>
      <c r="H2" s="6">
        <v>0.18285614814075599</v>
      </c>
      <c r="I2" s="6">
        <v>0.81714385185924399</v>
      </c>
      <c r="J2" s="6">
        <v>0.60403040402144836</v>
      </c>
      <c r="K2" s="6">
        <v>0.42527252356759487</v>
      </c>
      <c r="L2" s="6">
        <v>0.58945120822402042</v>
      </c>
      <c r="M2" s="6">
        <v>0.41054879177597953</v>
      </c>
      <c r="N2" s="6">
        <v>0.51503036448818196</v>
      </c>
      <c r="O2" s="6">
        <v>0.51503036448818196</v>
      </c>
      <c r="P2" s="6">
        <v>0.5</v>
      </c>
      <c r="Q2" s="6">
        <v>0.5</v>
      </c>
      <c r="R2" s="6">
        <v>0.36724284954996672</v>
      </c>
      <c r="S2" s="6">
        <v>0.66075969318714201</v>
      </c>
      <c r="T2" s="6">
        <v>0.35312798105242671</v>
      </c>
      <c r="U2" s="6">
        <v>0.64687201894757329</v>
      </c>
      <c r="V2" s="6">
        <v>0.28593891061226778</v>
      </c>
      <c r="W2" s="6">
        <v>0.73913038672604903</v>
      </c>
      <c r="X2" s="6">
        <v>0.27324679770329119</v>
      </c>
      <c r="Y2" s="6">
        <v>0.72675320229670881</v>
      </c>
      <c r="Z2" s="6">
        <v>0.33924030681285811</v>
      </c>
      <c r="AA2" s="6">
        <v>0.68790182259992472</v>
      </c>
      <c r="AB2" s="6">
        <v>0.29887292785152092</v>
      </c>
      <c r="AC2" s="6">
        <v>0.70112707214847914</v>
      </c>
      <c r="AD2" s="6">
        <v>0.4849696355118181</v>
      </c>
      <c r="AE2" s="6">
        <v>0.54500593559208865</v>
      </c>
      <c r="AF2" s="6">
        <v>0.46995704661337301</v>
      </c>
      <c r="AG2" s="6">
        <v>0.53004295338662699</v>
      </c>
      <c r="AH2" s="6">
        <v>0.54500593559208865</v>
      </c>
      <c r="AI2" s="6">
        <v>0.4849696355118181</v>
      </c>
      <c r="AJ2" s="6">
        <v>0.53004295338662577</v>
      </c>
      <c r="AK2" s="6">
        <v>0.46995704661337417</v>
      </c>
      <c r="AL2" s="6">
        <v>0.60403040402144836</v>
      </c>
      <c r="AM2" s="6">
        <v>0.42527252356759487</v>
      </c>
      <c r="AN2" s="6">
        <v>0.58945120822402042</v>
      </c>
      <c r="AO2" s="6">
        <v>0.41054879177597953</v>
      </c>
      <c r="AP2" s="6">
        <v>0.51271458465071473</v>
      </c>
      <c r="AQ2" s="6">
        <v>0.51271458465071473</v>
      </c>
      <c r="AR2" s="6">
        <v>0.47458159152542212</v>
      </c>
      <c r="AS2" s="6">
        <v>0.52541840847457788</v>
      </c>
      <c r="AT2" s="6">
        <v>0.24419474832637281</v>
      </c>
      <c r="AU2" s="6">
        <v>0.77106725606508009</v>
      </c>
      <c r="AV2" s="6">
        <v>0.23649052625192021</v>
      </c>
      <c r="AW2" s="6">
        <v>0.76350947374807976</v>
      </c>
      <c r="AX2" s="6">
        <v>0.15443289176760841</v>
      </c>
      <c r="AY2" s="6">
        <v>0.86280388643582817</v>
      </c>
      <c r="AZ2" s="6">
        <v>0.14564642380890641</v>
      </c>
      <c r="BA2" s="6">
        <v>0.85435357619109364</v>
      </c>
      <c r="BB2" s="6">
        <v>0.99510880570033722</v>
      </c>
      <c r="BC2" s="6">
        <v>5.8749142312938003E-3</v>
      </c>
      <c r="BD2" s="6">
        <v>0.9946185928586011</v>
      </c>
      <c r="BE2" s="6">
        <v>5.3814071413988956E-3</v>
      </c>
      <c r="BF2" s="6">
        <v>0.57846148769984329</v>
      </c>
      <c r="BG2" s="6">
        <v>0.44098623276323662</v>
      </c>
      <c r="BH2" s="6">
        <v>0.5687618319115062</v>
      </c>
      <c r="BI2" s="6">
        <v>0.43123816808849369</v>
      </c>
      <c r="BJ2" s="6" t="s">
        <v>146</v>
      </c>
    </row>
    <row r="3" spans="1:62" x14ac:dyDescent="0.35">
      <c r="A3" s="6" t="s">
        <v>13</v>
      </c>
      <c r="B3" s="6">
        <v>0.42527252356759487</v>
      </c>
      <c r="C3" s="6">
        <v>0.60403040402144836</v>
      </c>
      <c r="D3" s="6">
        <v>0.41054879177597958</v>
      </c>
      <c r="E3" s="6">
        <v>0.58945120822402042</v>
      </c>
      <c r="F3" s="6">
        <v>2.1142922395084159E-95</v>
      </c>
      <c r="G3" s="6">
        <v>1</v>
      </c>
      <c r="H3" s="6">
        <v>0</v>
      </c>
      <c r="I3" s="6">
        <v>1</v>
      </c>
      <c r="J3" s="6">
        <v>1</v>
      </c>
      <c r="K3" s="6">
        <v>3.3845026632262342E-39</v>
      </c>
      <c r="L3" s="6">
        <v>1</v>
      </c>
      <c r="M3" s="6">
        <v>6.8241372096338507E-38</v>
      </c>
      <c r="N3" s="6">
        <v>0.99993127286383343</v>
      </c>
      <c r="O3" s="6">
        <v>9.3132563399741616E-5</v>
      </c>
      <c r="P3" s="6">
        <v>0.99991801303050887</v>
      </c>
      <c r="Q3" s="6">
        <v>8.1986969491158737E-5</v>
      </c>
      <c r="R3" s="14">
        <v>2.1142922395084159E-95</v>
      </c>
      <c r="S3" s="6">
        <v>1</v>
      </c>
      <c r="T3" s="6">
        <v>0</v>
      </c>
      <c r="U3" s="6">
        <v>1</v>
      </c>
      <c r="V3" s="6">
        <v>1</v>
      </c>
      <c r="W3" s="6">
        <v>1.043564636923742E-80</v>
      </c>
      <c r="X3" s="6">
        <v>1</v>
      </c>
      <c r="Y3" s="6">
        <v>4.7920336003613243E-74</v>
      </c>
      <c r="Z3" s="6">
        <v>0.99288163498380022</v>
      </c>
      <c r="AA3" s="6">
        <v>8.7576396766929094E-3</v>
      </c>
      <c r="AB3" s="6">
        <v>0.99206933363011351</v>
      </c>
      <c r="AC3" s="6">
        <v>7.9306663698864906E-3</v>
      </c>
      <c r="AD3" s="14">
        <v>6.5456300674276173E-83</v>
      </c>
      <c r="AE3" s="6">
        <v>1</v>
      </c>
      <c r="AF3" s="6">
        <v>0</v>
      </c>
      <c r="AG3" s="6">
        <v>1</v>
      </c>
      <c r="AH3" s="6">
        <v>0.63275715045003333</v>
      </c>
      <c r="AI3" s="6">
        <v>0.39596959597855169</v>
      </c>
      <c r="AJ3" s="6">
        <v>0.61848769972350237</v>
      </c>
      <c r="AK3" s="6">
        <v>0.38151230027649757</v>
      </c>
      <c r="AL3" s="6">
        <v>1.07186411397128E-2</v>
      </c>
      <c r="AM3" s="6">
        <v>0.99124236032330704</v>
      </c>
      <c r="AN3" s="6">
        <v>9.727058132618871E-3</v>
      </c>
      <c r="AO3" s="6">
        <v>0.99027294186738113</v>
      </c>
      <c r="AP3" s="14">
        <v>2.547883684376974E-151</v>
      </c>
      <c r="AQ3" s="6">
        <v>1</v>
      </c>
      <c r="AR3" s="6">
        <v>0</v>
      </c>
      <c r="AS3" s="6">
        <v>1</v>
      </c>
      <c r="AT3" s="6">
        <v>1</v>
      </c>
      <c r="AU3" s="6">
        <v>9.4838893538466697E-198</v>
      </c>
      <c r="AV3" s="6">
        <v>1</v>
      </c>
      <c r="AW3" s="6">
        <v>2.3315279788395069E-179</v>
      </c>
      <c r="AX3" s="6">
        <v>0.66075969318714201</v>
      </c>
      <c r="AY3" s="6">
        <v>0.36724284954996672</v>
      </c>
      <c r="AZ3" s="6">
        <v>0.64687201894757329</v>
      </c>
      <c r="BA3" s="6">
        <v>0.35312798105242671</v>
      </c>
      <c r="BB3" s="14">
        <v>2.547883684376974E-151</v>
      </c>
      <c r="BC3" s="6">
        <v>1</v>
      </c>
      <c r="BD3" s="6">
        <v>0</v>
      </c>
      <c r="BE3" s="6">
        <v>1</v>
      </c>
      <c r="BF3" s="6">
        <v>1</v>
      </c>
      <c r="BG3" s="6">
        <v>1.7172290364240801E-97</v>
      </c>
      <c r="BH3" s="6">
        <v>1</v>
      </c>
      <c r="BI3" s="6">
        <v>2.206984248529479E-93</v>
      </c>
      <c r="BJ3" s="6" t="s">
        <v>146</v>
      </c>
    </row>
    <row r="4" spans="1:62" x14ac:dyDescent="0.35">
      <c r="A4" s="8" t="s">
        <v>14</v>
      </c>
      <c r="B4" s="8">
        <v>0.99816142786523809</v>
      </c>
      <c r="C4" s="8">
        <v>2.334560481166707E-3</v>
      </c>
      <c r="D4" s="8">
        <v>0.99791072121591673</v>
      </c>
      <c r="E4" s="8">
        <v>2.0892787840832449E-3</v>
      </c>
      <c r="F4" s="8">
        <v>1.460229168655794E-106</v>
      </c>
      <c r="G4" s="8">
        <v>1</v>
      </c>
      <c r="H4" s="8">
        <v>0</v>
      </c>
      <c r="I4" s="8">
        <v>1</v>
      </c>
      <c r="J4" s="8">
        <v>1</v>
      </c>
      <c r="K4" s="8">
        <v>9.5251136174466824E-121</v>
      </c>
      <c r="L4" s="8">
        <v>1</v>
      </c>
      <c r="M4" s="8">
        <v>8.4680760900011364E-105</v>
      </c>
      <c r="N4" s="8">
        <v>0.99998615736150531</v>
      </c>
      <c r="O4" s="8">
        <v>1.9285241824994172E-5</v>
      </c>
      <c r="P4" s="8">
        <v>0.99998306712934337</v>
      </c>
      <c r="Q4" s="8">
        <v>1.6932870656650061E-5</v>
      </c>
      <c r="R4" s="14">
        <v>2.1142922395084159E-95</v>
      </c>
      <c r="S4" s="8">
        <v>1</v>
      </c>
      <c r="T4" s="8">
        <v>0</v>
      </c>
      <c r="U4" s="8">
        <v>1</v>
      </c>
      <c r="V4" s="8">
        <v>1</v>
      </c>
      <c r="W4" s="8">
        <v>2.283112508325887E-108</v>
      </c>
      <c r="X4" s="8">
        <v>1</v>
      </c>
      <c r="Y4" s="8">
        <v>9.5032838653949989E-96</v>
      </c>
      <c r="Z4" s="8">
        <v>0.99993127286383343</v>
      </c>
      <c r="AA4" s="8">
        <v>9.3132563399741616E-5</v>
      </c>
      <c r="AB4" s="8">
        <v>0.99991801303050887</v>
      </c>
      <c r="AC4" s="8">
        <v>8.1986969491158737E-5</v>
      </c>
      <c r="AD4" s="14">
        <v>6.4993528801190209E-86</v>
      </c>
      <c r="AE4" s="8">
        <v>1</v>
      </c>
      <c r="AF4" s="8">
        <v>0</v>
      </c>
      <c r="AG4" s="8">
        <v>1</v>
      </c>
      <c r="AH4" s="8">
        <v>1</v>
      </c>
      <c r="AI4" s="8">
        <v>4.7835258005936953E-67</v>
      </c>
      <c r="AJ4" s="8">
        <v>1</v>
      </c>
      <c r="AK4" s="8">
        <v>1.312592239028078E-62</v>
      </c>
      <c r="AL4" s="8">
        <v>0.86280388643582817</v>
      </c>
      <c r="AM4" s="8">
        <v>0.15443289176760841</v>
      </c>
      <c r="AN4" s="8">
        <v>0.85435357619109364</v>
      </c>
      <c r="AO4" s="8">
        <v>0.1456464238089063</v>
      </c>
      <c r="AP4" s="14">
        <v>5.2438014827760843E-155</v>
      </c>
      <c r="AQ4" s="8">
        <v>1</v>
      </c>
      <c r="AR4" s="8">
        <v>0</v>
      </c>
      <c r="AS4" s="8">
        <v>1</v>
      </c>
      <c r="AT4" s="8">
        <v>1</v>
      </c>
      <c r="AU4" s="8">
        <v>0</v>
      </c>
      <c r="AV4" s="8">
        <v>1</v>
      </c>
      <c r="AW4" s="8">
        <v>3.3143734010350243E-291</v>
      </c>
      <c r="AX4" s="8">
        <v>0.99948598562048263</v>
      </c>
      <c r="AY4" s="8">
        <v>6.7042759450837246E-4</v>
      </c>
      <c r="AZ4" s="8">
        <v>0.9994049598082726</v>
      </c>
      <c r="BA4" s="8">
        <v>5.9504019172738302E-4</v>
      </c>
      <c r="BB4" s="8">
        <v>1.607926949637815E-167</v>
      </c>
      <c r="BC4" s="8">
        <v>1</v>
      </c>
      <c r="BD4" s="8">
        <v>0</v>
      </c>
      <c r="BE4" s="8">
        <v>1</v>
      </c>
      <c r="BF4" s="8">
        <v>1</v>
      </c>
      <c r="BG4" s="8">
        <v>3.2724124931423089E-229</v>
      </c>
      <c r="BH4" s="8">
        <v>1</v>
      </c>
      <c r="BI4" s="8">
        <v>4.0965299665349387E-204</v>
      </c>
      <c r="BJ4" s="8" t="s">
        <v>152</v>
      </c>
    </row>
    <row r="5" spans="1:62" x14ac:dyDescent="0.35">
      <c r="A5" s="8" t="s">
        <v>15</v>
      </c>
      <c r="B5" s="8">
        <v>0.4849696355118181</v>
      </c>
      <c r="C5" s="8">
        <v>0.54500593559208865</v>
      </c>
      <c r="D5" s="8">
        <v>0.46995704661337301</v>
      </c>
      <c r="E5" s="8">
        <v>0.53004295338662699</v>
      </c>
      <c r="F5" s="8">
        <v>1.2129767875644901E-69</v>
      </c>
      <c r="G5" s="8">
        <v>1</v>
      </c>
      <c r="H5" s="8">
        <v>0</v>
      </c>
      <c r="I5" s="8">
        <v>1</v>
      </c>
      <c r="J5" s="8">
        <v>1</v>
      </c>
      <c r="K5" s="8">
        <v>1.043564636923742E-80</v>
      </c>
      <c r="L5" s="8">
        <v>1</v>
      </c>
      <c r="M5" s="8">
        <v>4.7920336003613243E-74</v>
      </c>
      <c r="N5" s="8">
        <v>0.93888725506558557</v>
      </c>
      <c r="O5" s="8">
        <v>7.0771444478710852E-2</v>
      </c>
      <c r="P5" s="8">
        <v>0.93416599198859274</v>
      </c>
      <c r="Q5" s="8">
        <v>6.5834008011407277E-2</v>
      </c>
      <c r="R5" s="8">
        <v>4.4255725709607187E-50</v>
      </c>
      <c r="S5" s="8">
        <v>1</v>
      </c>
      <c r="T5" s="8">
        <v>0</v>
      </c>
      <c r="U5" s="8">
        <v>1</v>
      </c>
      <c r="V5" s="8">
        <v>1</v>
      </c>
      <c r="W5" s="8">
        <v>3.7378802256302499E-102</v>
      </c>
      <c r="X5" s="8">
        <v>1</v>
      </c>
      <c r="Y5" s="8">
        <v>4.7715433194442063E-91</v>
      </c>
      <c r="Z5" s="8">
        <v>0.86280388643582817</v>
      </c>
      <c r="AA5" s="8">
        <v>0.15443289176760841</v>
      </c>
      <c r="AB5" s="8">
        <v>0.85435357619109364</v>
      </c>
      <c r="AC5" s="8">
        <v>0.1456464238089063</v>
      </c>
      <c r="AD5" s="8">
        <v>1.6755297730258412E-33</v>
      </c>
      <c r="AE5" s="8">
        <v>1</v>
      </c>
      <c r="AF5" s="8">
        <v>0</v>
      </c>
      <c r="AG5" s="8">
        <v>1</v>
      </c>
      <c r="AH5" s="8">
        <v>0.99998071475817496</v>
      </c>
      <c r="AI5" s="8">
        <v>2.6718596037924099E-5</v>
      </c>
      <c r="AJ5" s="8">
        <v>0.99997653407547116</v>
      </c>
      <c r="AK5" s="8">
        <v>2.3465924528857771E-5</v>
      </c>
      <c r="AL5" s="8">
        <v>1.2551204111500489E-4</v>
      </c>
      <c r="AM5" s="8">
        <v>0.99990686743660029</v>
      </c>
      <c r="AN5" s="8">
        <v>1.105881762928362E-4</v>
      </c>
      <c r="AO5" s="8">
        <v>0.99988941182370716</v>
      </c>
      <c r="AP5" s="8">
        <v>4.025191368698072E-115</v>
      </c>
      <c r="AQ5" s="8">
        <v>1</v>
      </c>
      <c r="AR5" s="8">
        <v>0</v>
      </c>
      <c r="AS5" s="8">
        <v>1</v>
      </c>
      <c r="AT5" s="8">
        <v>1</v>
      </c>
      <c r="AU5" s="8">
        <v>0</v>
      </c>
      <c r="AV5" s="8">
        <v>1</v>
      </c>
      <c r="AW5" s="8">
        <v>3.5240459434407239E-271</v>
      </c>
      <c r="AX5" s="8">
        <v>0.9676470434726987</v>
      </c>
      <c r="AY5" s="8">
        <v>3.8211572417738697E-2</v>
      </c>
      <c r="AZ5" s="8">
        <v>0.96477978536395614</v>
      </c>
      <c r="BA5" s="8">
        <v>3.5220214636043863E-2</v>
      </c>
      <c r="BB5" s="8">
        <v>9.5182185115089519E-84</v>
      </c>
      <c r="BC5" s="8">
        <v>1</v>
      </c>
      <c r="BD5" s="8">
        <v>0</v>
      </c>
      <c r="BE5" s="8">
        <v>1</v>
      </c>
      <c r="BF5" s="8">
        <v>1</v>
      </c>
      <c r="BG5" s="8">
        <v>5.2602556165464859E-255</v>
      </c>
      <c r="BH5" s="8">
        <v>1</v>
      </c>
      <c r="BI5" s="8">
        <v>1.435224475300917E-223</v>
      </c>
      <c r="BJ5" s="8" t="s">
        <v>152</v>
      </c>
    </row>
    <row r="6" spans="1:62" x14ac:dyDescent="0.35">
      <c r="A6" s="8" t="s">
        <v>16</v>
      </c>
      <c r="B6" s="8">
        <v>0.1067839002741523</v>
      </c>
      <c r="C6" s="8">
        <v>0.90645347017408007</v>
      </c>
      <c r="D6" s="8">
        <v>8.7422216805207897E-2</v>
      </c>
      <c r="E6" s="8">
        <v>0.9125777831947921</v>
      </c>
      <c r="F6" s="8">
        <v>1.045738419167208E-15</v>
      </c>
      <c r="G6" s="8">
        <v>0.99999999999999944</v>
      </c>
      <c r="H6" s="8">
        <v>6.6613381477509392E-16</v>
      </c>
      <c r="I6" s="8">
        <v>0.99999999999999933</v>
      </c>
      <c r="J6" s="8">
        <v>1</v>
      </c>
      <c r="K6" s="8">
        <v>1.8373954545833421E-58</v>
      </c>
      <c r="L6" s="8">
        <v>1</v>
      </c>
      <c r="M6" s="8">
        <v>3.4610951267802842E-55</v>
      </c>
      <c r="N6" s="8">
        <v>4.9504061134201882E-6</v>
      </c>
      <c r="O6" s="8">
        <v>0.99999652535152628</v>
      </c>
      <c r="P6" s="8">
        <v>4.3479729709972048E-6</v>
      </c>
      <c r="Q6" s="8">
        <v>0.999995652027029</v>
      </c>
      <c r="R6" s="8">
        <v>3.458226107812958E-12</v>
      </c>
      <c r="S6" s="8">
        <v>0.99999999999798395</v>
      </c>
      <c r="T6" s="8">
        <v>3.457900632497513E-12</v>
      </c>
      <c r="U6" s="8">
        <v>0.9999999999965421</v>
      </c>
      <c r="V6" s="8">
        <v>1</v>
      </c>
      <c r="W6" s="8">
        <v>5.8457810095231113E-93</v>
      </c>
      <c r="X6" s="8">
        <v>1</v>
      </c>
      <c r="Y6" s="8">
        <v>6.6360936160072326E-84</v>
      </c>
      <c r="Z6" s="8">
        <v>0.99288163498380022</v>
      </c>
      <c r="AA6" s="8">
        <v>8.7576396766929094E-3</v>
      </c>
      <c r="AB6" s="8">
        <v>0.99206933363011351</v>
      </c>
      <c r="AC6" s="8">
        <v>7.9306663698864906E-3</v>
      </c>
      <c r="AD6" s="8">
        <v>5.140143795173258E-4</v>
      </c>
      <c r="AE6" s="8">
        <v>0.99960803532611964</v>
      </c>
      <c r="AF6" s="8">
        <v>4.555594385768913E-4</v>
      </c>
      <c r="AG6" s="8">
        <v>0.99954444056142311</v>
      </c>
      <c r="AH6" s="8">
        <v>0.57472747643240507</v>
      </c>
      <c r="AI6" s="8">
        <v>0.45499406440791129</v>
      </c>
      <c r="AJ6" s="8">
        <v>0.55991577254663782</v>
      </c>
      <c r="AK6" s="8">
        <v>0.44008422745336218</v>
      </c>
      <c r="AL6" s="14">
        <v>8.8418329764702732E-10</v>
      </c>
      <c r="AM6" s="8">
        <v>0.99999999944987261</v>
      </c>
      <c r="AN6" s="8">
        <v>8.1864826029232063E-10</v>
      </c>
      <c r="AO6" s="8">
        <v>0.99999999918135174</v>
      </c>
      <c r="AP6" s="8">
        <v>2.025099633895601E-52</v>
      </c>
      <c r="AQ6" s="8">
        <v>1</v>
      </c>
      <c r="AR6" s="8">
        <v>0</v>
      </c>
      <c r="AS6" s="8">
        <v>1</v>
      </c>
      <c r="AT6" s="8">
        <v>1</v>
      </c>
      <c r="AU6" s="8">
        <v>3.9230591390833051E-278</v>
      </c>
      <c r="AV6" s="8">
        <v>1</v>
      </c>
      <c r="AW6" s="8">
        <v>2.3983391433546919E-240</v>
      </c>
      <c r="AX6" s="8">
        <v>2.284636495568472E-2</v>
      </c>
      <c r="AY6" s="8">
        <v>0.98094645180629603</v>
      </c>
      <c r="AZ6" s="8">
        <v>2.0915297282622421E-2</v>
      </c>
      <c r="BA6" s="8">
        <v>0.97908470271737758</v>
      </c>
      <c r="BB6" s="8">
        <v>1.247161530763398E-30</v>
      </c>
      <c r="BC6" s="8">
        <v>1</v>
      </c>
      <c r="BD6" s="8">
        <v>0</v>
      </c>
      <c r="BE6" s="8">
        <v>1</v>
      </c>
      <c r="BF6" s="8">
        <v>1</v>
      </c>
      <c r="BG6" s="8">
        <v>3.5740743462064531E-182</v>
      </c>
      <c r="BH6" s="8">
        <v>1</v>
      </c>
      <c r="BI6" s="8">
        <v>1.066565309165233E-166</v>
      </c>
      <c r="BJ6" s="8" t="s">
        <v>152</v>
      </c>
    </row>
    <row r="7" spans="1:62" x14ac:dyDescent="0.35">
      <c r="A7" s="8" t="s">
        <v>17</v>
      </c>
      <c r="B7" s="8">
        <v>0.17304251071291021</v>
      </c>
      <c r="C7" s="8">
        <v>0.84556710823239156</v>
      </c>
      <c r="D7" s="8">
        <v>0.16356481161757741</v>
      </c>
      <c r="E7" s="8">
        <v>0.83643518838242259</v>
      </c>
      <c r="F7" s="8">
        <v>2.6580516062331328E-70</v>
      </c>
      <c r="G7" s="8">
        <v>1</v>
      </c>
      <c r="H7" s="8">
        <v>0</v>
      </c>
      <c r="I7" s="8">
        <v>1</v>
      </c>
      <c r="J7" s="8">
        <v>3.7045825410822238E-3</v>
      </c>
      <c r="K7" s="8">
        <v>0.99705135870899886</v>
      </c>
      <c r="L7" s="8">
        <v>3.3278027414747058E-3</v>
      </c>
      <c r="M7" s="8">
        <v>0.99667219725852529</v>
      </c>
      <c r="N7" s="8">
        <v>0.99993127286383343</v>
      </c>
      <c r="O7" s="8">
        <v>9.3132563399741616E-5</v>
      </c>
      <c r="P7" s="8">
        <v>0.99991801303050887</v>
      </c>
      <c r="Q7" s="8">
        <v>8.1986969491158737E-5</v>
      </c>
      <c r="R7" s="8">
        <v>2.6580516062331328E-70</v>
      </c>
      <c r="S7" s="8">
        <v>1</v>
      </c>
      <c r="T7" s="8">
        <v>0</v>
      </c>
      <c r="U7" s="8">
        <v>1</v>
      </c>
      <c r="V7" s="8">
        <v>1</v>
      </c>
      <c r="W7" s="8">
        <v>1.240409552897812E-22</v>
      </c>
      <c r="X7" s="8">
        <v>1</v>
      </c>
      <c r="Y7" s="8">
        <v>2.4973315511776192E-22</v>
      </c>
      <c r="Z7" s="8">
        <v>0.99816142786523809</v>
      </c>
      <c r="AA7" s="8">
        <v>2.334560481166707E-3</v>
      </c>
      <c r="AB7" s="8">
        <v>0.99791072121591673</v>
      </c>
      <c r="AC7" s="8">
        <v>2.0892787840832449E-3</v>
      </c>
      <c r="AD7" s="8">
        <v>1.9304614207791681E-61</v>
      </c>
      <c r="AE7" s="8">
        <v>1</v>
      </c>
      <c r="AF7" s="8">
        <v>0</v>
      </c>
      <c r="AG7" s="8">
        <v>1</v>
      </c>
      <c r="AH7" s="14">
        <v>1.6755297730258412E-33</v>
      </c>
      <c r="AI7" s="8">
        <v>1</v>
      </c>
      <c r="AJ7" s="8">
        <v>0</v>
      </c>
      <c r="AK7" s="8">
        <v>1</v>
      </c>
      <c r="AL7" s="8">
        <v>2.7255805301668649E-2</v>
      </c>
      <c r="AM7" s="8">
        <v>0.97715363504431529</v>
      </c>
      <c r="AN7" s="8">
        <v>2.5008197742822699E-2</v>
      </c>
      <c r="AO7" s="8">
        <v>0.9749918022571773</v>
      </c>
      <c r="AP7" s="8">
        <v>2.1483468080309269E-120</v>
      </c>
      <c r="AQ7" s="8">
        <v>1</v>
      </c>
      <c r="AR7" s="8">
        <v>0</v>
      </c>
      <c r="AS7" s="8">
        <v>1</v>
      </c>
      <c r="AT7" s="8">
        <v>0.99999999999999778</v>
      </c>
      <c r="AU7" s="8">
        <v>3.2423801973958432E-15</v>
      </c>
      <c r="AV7" s="8">
        <v>0.99999999999999678</v>
      </c>
      <c r="AW7" s="8">
        <v>3.2198097325126299E-15</v>
      </c>
      <c r="AX7" s="8">
        <v>0.76301913543624389</v>
      </c>
      <c r="AY7" s="8">
        <v>0.26086961327395092</v>
      </c>
      <c r="AZ7" s="8">
        <v>0.7512411119350052</v>
      </c>
      <c r="BA7" s="8">
        <v>0.2487588880649948</v>
      </c>
      <c r="BB7" s="14">
        <v>7.0944418909488103E-108</v>
      </c>
      <c r="BC7" s="8">
        <v>1</v>
      </c>
      <c r="BD7" s="8">
        <v>0</v>
      </c>
      <c r="BE7" s="8">
        <v>1</v>
      </c>
      <c r="BF7" s="8">
        <v>0.99999587518426136</v>
      </c>
      <c r="BG7" s="8">
        <v>5.1933716582758664E-6</v>
      </c>
      <c r="BH7" s="8">
        <v>0.99999527857781301</v>
      </c>
      <c r="BI7" s="8">
        <v>4.721422187028885E-6</v>
      </c>
      <c r="BJ7" s="8" t="s">
        <v>152</v>
      </c>
    </row>
    <row r="8" spans="1:62" x14ac:dyDescent="0.35">
      <c r="A8" s="8" t="s">
        <v>18</v>
      </c>
      <c r="B8" s="8">
        <v>0.99998615736150531</v>
      </c>
      <c r="C8" s="8">
        <v>1.9285241824994172E-5</v>
      </c>
      <c r="D8" s="8">
        <v>0.99998306712934337</v>
      </c>
      <c r="E8" s="8">
        <v>1.6932870656650061E-5</v>
      </c>
      <c r="F8" s="8">
        <v>2.475632071390249E-24</v>
      </c>
      <c r="G8" s="8">
        <v>1</v>
      </c>
      <c r="H8" s="8">
        <v>0</v>
      </c>
      <c r="I8" s="8">
        <v>1</v>
      </c>
      <c r="J8" s="8">
        <v>0.99999997919254269</v>
      </c>
      <c r="K8" s="8">
        <v>3.1923094571434119E-8</v>
      </c>
      <c r="L8" s="8">
        <v>0.99999997137818786</v>
      </c>
      <c r="M8" s="8">
        <v>2.8621812133695279E-8</v>
      </c>
      <c r="N8" s="8">
        <v>0.99887778140824413</v>
      </c>
      <c r="O8" s="8">
        <v>1.440259242764247E-3</v>
      </c>
      <c r="P8" s="8">
        <v>0.99871558423648865</v>
      </c>
      <c r="Q8" s="8">
        <v>1.284415763511356E-3</v>
      </c>
      <c r="R8" s="8">
        <v>3.8989699383371863E-14</v>
      </c>
      <c r="S8" s="8">
        <v>0.99999999999997835</v>
      </c>
      <c r="T8" s="8">
        <v>4.2521541843143502E-14</v>
      </c>
      <c r="U8" s="8">
        <v>0.99999999999995748</v>
      </c>
      <c r="V8" s="8">
        <v>1</v>
      </c>
      <c r="W8" s="8">
        <v>4.9411160066861492E-25</v>
      </c>
      <c r="X8" s="8">
        <v>1</v>
      </c>
      <c r="Y8" s="8">
        <v>1.268795996811758E-24</v>
      </c>
      <c r="Z8" s="8">
        <v>0.99999757485877971</v>
      </c>
      <c r="AA8" s="8">
        <v>3.4746484737434672E-6</v>
      </c>
      <c r="AB8" s="8">
        <v>0.99999694678212048</v>
      </c>
      <c r="AC8" s="8">
        <v>3.0532178795044568E-6</v>
      </c>
      <c r="AD8" s="8">
        <v>4.8695444035950358E-8</v>
      </c>
      <c r="AE8" s="8">
        <v>0.99999996807690539</v>
      </c>
      <c r="AF8" s="8">
        <v>4.3535463345456549E-8</v>
      </c>
      <c r="AG8" s="8">
        <v>0.99999995646453665</v>
      </c>
      <c r="AH8" s="8">
        <v>1.838572134761929E-3</v>
      </c>
      <c r="AI8" s="8">
        <v>0.99855974075723575</v>
      </c>
      <c r="AJ8" s="8">
        <v>1.284415763511348E-3</v>
      </c>
      <c r="AK8" s="8">
        <v>0.99871558423648865</v>
      </c>
      <c r="AL8" s="8">
        <v>0.97715363504431529</v>
      </c>
      <c r="AM8" s="8">
        <v>2.7255805301668649E-2</v>
      </c>
      <c r="AN8" s="8">
        <v>0.97499180225717708</v>
      </c>
      <c r="AO8" s="8">
        <v>2.5008197742822879E-2</v>
      </c>
      <c r="AP8" s="8">
        <v>2.6178462369069562E-32</v>
      </c>
      <c r="AQ8" s="8">
        <v>1</v>
      </c>
      <c r="AR8" s="8">
        <v>0</v>
      </c>
      <c r="AS8" s="8">
        <v>1</v>
      </c>
      <c r="AT8" s="8">
        <v>1</v>
      </c>
      <c r="AU8" s="8">
        <v>9.0742231016000171E-42</v>
      </c>
      <c r="AV8" s="8">
        <v>1</v>
      </c>
      <c r="AW8" s="8">
        <v>3.5704841140735762E-41</v>
      </c>
      <c r="AX8" s="8">
        <v>0.99999999944987261</v>
      </c>
      <c r="AY8" s="8">
        <v>8.8418329764702732E-10</v>
      </c>
      <c r="AZ8" s="8">
        <v>0.99999999918135174</v>
      </c>
      <c r="BA8" s="8">
        <v>8.1864822514841845E-10</v>
      </c>
      <c r="BB8" s="8">
        <v>2.5234103374864841E-29</v>
      </c>
      <c r="BC8" s="8">
        <v>1</v>
      </c>
      <c r="BD8" s="8">
        <v>0</v>
      </c>
      <c r="BE8" s="8">
        <v>1</v>
      </c>
      <c r="BF8" s="8">
        <v>1</v>
      </c>
      <c r="BG8" s="8">
        <v>9.9681872091580943E-18</v>
      </c>
      <c r="BH8" s="8">
        <v>1</v>
      </c>
      <c r="BI8" s="8">
        <v>1.0518857015558629E-17</v>
      </c>
      <c r="BJ8" s="8" t="s">
        <v>152</v>
      </c>
    </row>
    <row r="9" spans="1:62" x14ac:dyDescent="0.35">
      <c r="A9" s="8" t="s">
        <v>19</v>
      </c>
      <c r="B9" s="8">
        <v>0.99124236032330704</v>
      </c>
      <c r="C9" s="8">
        <v>1.07186411397128E-2</v>
      </c>
      <c r="D9" s="8">
        <v>0.99027294186738102</v>
      </c>
      <c r="E9" s="8">
        <v>9.7270581326189907E-3</v>
      </c>
      <c r="F9" s="8">
        <v>1.208205309470976E-23</v>
      </c>
      <c r="G9" s="8">
        <v>1</v>
      </c>
      <c r="H9" s="8">
        <v>0</v>
      </c>
      <c r="I9" s="8">
        <v>1</v>
      </c>
      <c r="J9" s="8">
        <v>0.99999999645551363</v>
      </c>
      <c r="K9" s="8">
        <v>5.5654150471749074E-9</v>
      </c>
      <c r="L9" s="8">
        <v>0.99999999494030434</v>
      </c>
      <c r="M9" s="8">
        <v>5.0596957075444564E-9</v>
      </c>
      <c r="N9" s="8">
        <v>0.8932160997258477</v>
      </c>
      <c r="O9" s="8">
        <v>0.12132136960569349</v>
      </c>
      <c r="P9" s="8">
        <v>0.88610000300588521</v>
      </c>
      <c r="Q9" s="8">
        <v>0.1138999969941147</v>
      </c>
      <c r="R9" s="8">
        <v>3.5444863431141359E-9</v>
      </c>
      <c r="S9" s="8">
        <v>0.99999999775569159</v>
      </c>
      <c r="T9" s="8">
        <v>3.2357602153254561E-9</v>
      </c>
      <c r="U9" s="8">
        <v>0.99999999676423978</v>
      </c>
      <c r="V9" s="8">
        <v>1</v>
      </c>
      <c r="W9" s="8">
        <v>5.4870066049419023E-24</v>
      </c>
      <c r="X9" s="8">
        <v>1</v>
      </c>
      <c r="Y9" s="8">
        <v>1.262508831201369E-23</v>
      </c>
      <c r="Z9" s="8">
        <v>0.99999831688327856</v>
      </c>
      <c r="AA9" s="8">
        <v>2.425141220284132E-6</v>
      </c>
      <c r="AB9" s="8">
        <v>0.99999786766127818</v>
      </c>
      <c r="AC9" s="8">
        <v>2.1323387218256759E-6</v>
      </c>
      <c r="AD9" s="8">
        <v>2.9486412910011898E-3</v>
      </c>
      <c r="AE9" s="8">
        <v>0.99766543951883324</v>
      </c>
      <c r="AF9" s="8">
        <v>2.6437170183449821E-3</v>
      </c>
      <c r="AG9" s="8">
        <v>0.99735628298165502</v>
      </c>
      <c r="AH9" s="8">
        <v>0.15443289176760841</v>
      </c>
      <c r="AI9" s="8">
        <v>0.86280388643582817</v>
      </c>
      <c r="AJ9" s="8">
        <v>0.14564642380890641</v>
      </c>
      <c r="AK9" s="8">
        <v>0.85435357619109364</v>
      </c>
      <c r="AL9" s="8">
        <v>0.78565405479424744</v>
      </c>
      <c r="AM9" s="8">
        <v>0.23698086456375611</v>
      </c>
      <c r="AN9" s="8">
        <v>0.77450884036555889</v>
      </c>
      <c r="AO9" s="8">
        <v>0.22549115963444111</v>
      </c>
      <c r="AP9" s="8">
        <v>1.3198362023714001E-47</v>
      </c>
      <c r="AQ9" s="8">
        <v>1</v>
      </c>
      <c r="AR9" s="8">
        <v>0</v>
      </c>
      <c r="AS9" s="8">
        <v>1</v>
      </c>
      <c r="AT9" s="8">
        <v>1</v>
      </c>
      <c r="AU9" s="8">
        <v>8.4452298333022239E-27</v>
      </c>
      <c r="AV9" s="8">
        <v>1</v>
      </c>
      <c r="AW9" s="8">
        <v>1.2543756448573199E-26</v>
      </c>
      <c r="AX9" s="8">
        <v>0.99999504959388663</v>
      </c>
      <c r="AY9" s="8">
        <v>7.0134550586825282E-6</v>
      </c>
      <c r="AZ9" s="8">
        <v>0.99999384191193175</v>
      </c>
      <c r="BA9" s="8">
        <v>6.1580880682640709E-6</v>
      </c>
      <c r="BB9" s="8">
        <v>1.8390390166130869E-43</v>
      </c>
      <c r="BC9" s="8">
        <v>1</v>
      </c>
      <c r="BD9" s="8">
        <v>0</v>
      </c>
      <c r="BE9" s="8">
        <v>1</v>
      </c>
      <c r="BF9" s="8">
        <v>1</v>
      </c>
      <c r="BG9" s="8">
        <v>2.780878669386676E-24</v>
      </c>
      <c r="BH9" s="8">
        <v>1</v>
      </c>
      <c r="BI9" s="8">
        <v>3.685929971309268E-24</v>
      </c>
      <c r="BJ9" s="8" t="s">
        <v>152</v>
      </c>
    </row>
    <row r="10" spans="1:62" x14ac:dyDescent="0.35">
      <c r="A10" s="8" t="s">
        <v>20</v>
      </c>
      <c r="B10" s="8">
        <v>0.91843865693126425</v>
      </c>
      <c r="C10" s="8">
        <v>9.3546529825919919E-2</v>
      </c>
      <c r="D10" s="8">
        <v>0.91257778319479266</v>
      </c>
      <c r="E10" s="8">
        <v>8.7422216805207342E-2</v>
      </c>
      <c r="F10" s="8">
        <v>5.7444478971644066E-23</v>
      </c>
      <c r="G10" s="8">
        <v>1</v>
      </c>
      <c r="H10" s="8">
        <v>0</v>
      </c>
      <c r="I10" s="8">
        <v>1</v>
      </c>
      <c r="J10" s="8">
        <v>1</v>
      </c>
      <c r="K10" s="8">
        <v>1.213894333138013E-59</v>
      </c>
      <c r="L10" s="8">
        <v>1</v>
      </c>
      <c r="M10" s="8">
        <v>3.225200149802477E-56</v>
      </c>
      <c r="N10" s="8">
        <v>1.305113666870847E-2</v>
      </c>
      <c r="O10" s="8">
        <v>0.98928135886028723</v>
      </c>
      <c r="P10" s="8">
        <v>1.186925762502733E-2</v>
      </c>
      <c r="Q10" s="8">
        <v>0.98813074237497267</v>
      </c>
      <c r="R10" s="8">
        <v>8.6880052469512098E-9</v>
      </c>
      <c r="S10" s="8">
        <v>0.99999999443458498</v>
      </c>
      <c r="T10" s="8">
        <v>7.8680845172485192E-9</v>
      </c>
      <c r="U10" s="8">
        <v>0.99999999213191548</v>
      </c>
      <c r="V10" s="8">
        <v>1</v>
      </c>
      <c r="W10" s="8">
        <v>1.213894333138013E-59</v>
      </c>
      <c r="X10" s="8">
        <v>1</v>
      </c>
      <c r="Y10" s="8">
        <v>3.225200149802477E-56</v>
      </c>
      <c r="Z10" s="8">
        <v>0.96178842758226124</v>
      </c>
      <c r="AA10" s="8">
        <v>4.4907133435382003E-2</v>
      </c>
      <c r="AB10" s="8">
        <v>0.9585134696377936</v>
      </c>
      <c r="AC10" s="8">
        <v>4.1486530362206432E-2</v>
      </c>
      <c r="AD10" s="8">
        <v>0.57472747643240507</v>
      </c>
      <c r="AE10" s="8">
        <v>0.45499406440791129</v>
      </c>
      <c r="AF10" s="8">
        <v>0.55991577254663782</v>
      </c>
      <c r="AG10" s="8">
        <v>0.44008422745336218</v>
      </c>
      <c r="AH10" s="8">
        <v>1</v>
      </c>
      <c r="AI10" s="8">
        <v>9.6049905137288658E-26</v>
      </c>
      <c r="AJ10" s="8">
        <v>1</v>
      </c>
      <c r="AK10" s="8">
        <v>2.6664826888956972E-25</v>
      </c>
      <c r="AL10" s="8">
        <v>0.76301913543624389</v>
      </c>
      <c r="AM10" s="8">
        <v>0.26086961327395092</v>
      </c>
      <c r="AN10" s="8">
        <v>0.7512411119350052</v>
      </c>
      <c r="AO10" s="8">
        <v>0.2487588880649948</v>
      </c>
      <c r="AP10" s="8">
        <v>5.9142134443046064E-74</v>
      </c>
      <c r="AQ10" s="8">
        <v>1</v>
      </c>
      <c r="AR10" s="8">
        <v>0</v>
      </c>
      <c r="AS10" s="8">
        <v>1</v>
      </c>
      <c r="AT10" s="8">
        <v>1</v>
      </c>
      <c r="AU10" s="8">
        <v>1.149636492995736E-151</v>
      </c>
      <c r="AV10" s="8">
        <v>1</v>
      </c>
      <c r="AW10" s="8">
        <v>3.7993037358794348E-141</v>
      </c>
      <c r="AX10" s="8">
        <v>0.99999298654494129</v>
      </c>
      <c r="AY10" s="8">
        <v>9.8807434232840573E-6</v>
      </c>
      <c r="AZ10" s="8">
        <v>0.99999132563559712</v>
      </c>
      <c r="BA10" s="8">
        <v>8.6743644029296506E-6</v>
      </c>
      <c r="BB10" s="8">
        <v>3.9103535068318982E-91</v>
      </c>
      <c r="BC10" s="8">
        <v>1</v>
      </c>
      <c r="BD10" s="8">
        <v>0</v>
      </c>
      <c r="BE10" s="8">
        <v>1</v>
      </c>
      <c r="BF10" s="8">
        <v>1</v>
      </c>
      <c r="BG10" s="8">
        <v>4.3692845383927091E-162</v>
      </c>
      <c r="BH10" s="8">
        <v>1</v>
      </c>
      <c r="BI10" s="8">
        <v>5.5092814840448604E-150</v>
      </c>
      <c r="BJ10" s="8" t="s">
        <v>152</v>
      </c>
    </row>
    <row r="11" spans="1:62" x14ac:dyDescent="0.35">
      <c r="A11" s="8" t="s">
        <v>21</v>
      </c>
      <c r="B11" s="8">
        <v>0.51503036448818196</v>
      </c>
      <c r="C11" s="8">
        <v>0.51503036448818196</v>
      </c>
      <c r="D11" s="8">
        <v>0.5</v>
      </c>
      <c r="E11" s="8">
        <v>0.5</v>
      </c>
      <c r="F11" s="8">
        <v>0.99993127286383343</v>
      </c>
      <c r="G11" s="8">
        <v>9.3132563399741616E-5</v>
      </c>
      <c r="H11" s="8">
        <v>0.99991801303050887</v>
      </c>
      <c r="I11" s="8">
        <v>8.1986969491158737E-5</v>
      </c>
      <c r="J11" s="8">
        <v>0.99999988863049394</v>
      </c>
      <c r="K11" s="8">
        <v>1.6698232803194559E-7</v>
      </c>
      <c r="L11" s="8">
        <v>0.99999985177723072</v>
      </c>
      <c r="M11" s="8">
        <v>1.482227692405834E-7</v>
      </c>
      <c r="N11" s="8">
        <v>7.9707961039300455E-7</v>
      </c>
      <c r="O11" s="8">
        <v>0.99999945612132479</v>
      </c>
      <c r="P11" s="8">
        <v>7.028967590194668E-7</v>
      </c>
      <c r="Q11" s="8">
        <v>0.99999929710324098</v>
      </c>
      <c r="R11" s="8">
        <v>0.99537016444620019</v>
      </c>
      <c r="S11" s="8">
        <v>5.7558510126729696E-3</v>
      </c>
      <c r="T11" s="8">
        <v>0.99480910210514906</v>
      </c>
      <c r="U11" s="8">
        <v>5.1908978948508964E-3</v>
      </c>
      <c r="V11" s="8">
        <v>8.6972830393244492E-4</v>
      </c>
      <c r="W11" s="8">
        <v>0.99932957240549158</v>
      </c>
      <c r="X11" s="8">
        <v>7.7310173854039377E-4</v>
      </c>
      <c r="Y11" s="8">
        <v>0.99922689826145961</v>
      </c>
      <c r="Z11" s="8">
        <v>0.99816142786523809</v>
      </c>
      <c r="AA11" s="8">
        <v>2.334560481166707E-3</v>
      </c>
      <c r="AB11" s="8">
        <v>0.99791072121591673</v>
      </c>
      <c r="AC11" s="8">
        <v>2.0892787840832449E-3</v>
      </c>
      <c r="AD11" s="8">
        <v>0.99970272376273472</v>
      </c>
      <c r="AE11" s="8">
        <v>3.9196467388036299E-4</v>
      </c>
      <c r="AF11" s="8">
        <v>0.99965308112455031</v>
      </c>
      <c r="AG11" s="8">
        <v>3.4691887544967281E-4</v>
      </c>
      <c r="AH11" s="8">
        <v>0.68790182259992472</v>
      </c>
      <c r="AI11" s="8">
        <v>0.33924030681285811</v>
      </c>
      <c r="AJ11" s="8">
        <v>0.67446168296108322</v>
      </c>
      <c r="AK11" s="8">
        <v>0.32553831703891678</v>
      </c>
      <c r="AL11" s="8">
        <v>0.99999997919254269</v>
      </c>
      <c r="AM11" s="8">
        <v>3.1923094571434119E-8</v>
      </c>
      <c r="AN11" s="8">
        <v>0.99999997137818786</v>
      </c>
      <c r="AO11" s="8">
        <v>2.8621812133695279E-8</v>
      </c>
      <c r="AP11" s="8">
        <v>0.99999751877976972</v>
      </c>
      <c r="AQ11" s="8">
        <v>3.361399988478439E-6</v>
      </c>
      <c r="AR11" s="8">
        <v>0.99999700574614336</v>
      </c>
      <c r="AS11" s="8">
        <v>2.9942538566125659E-6</v>
      </c>
      <c r="AT11" s="8">
        <v>0.99993150454811197</v>
      </c>
      <c r="AU11" s="8">
        <v>8.3628473903596073E-5</v>
      </c>
      <c r="AV11" s="8">
        <v>0.99992350173210398</v>
      </c>
      <c r="AW11" s="8">
        <v>7.6498267895998515E-5</v>
      </c>
      <c r="AX11" s="8">
        <v>1.2551204111500489E-4</v>
      </c>
      <c r="AY11" s="8">
        <v>0.99990686743660029</v>
      </c>
      <c r="AZ11" s="8">
        <v>1.105881762928362E-4</v>
      </c>
      <c r="BA11" s="8">
        <v>0.99988941182370716</v>
      </c>
      <c r="BB11" s="8">
        <v>0.99877962679942434</v>
      </c>
      <c r="BC11" s="8">
        <v>1.5051032699417129E-3</v>
      </c>
      <c r="BD11" s="8">
        <v>0.99863500384341108</v>
      </c>
      <c r="BE11" s="8">
        <v>1.364996156588868E-3</v>
      </c>
      <c r="BF11" s="8">
        <v>1</v>
      </c>
      <c r="BG11" s="8">
        <v>1.547601377779754E-22</v>
      </c>
      <c r="BH11" s="8">
        <v>1</v>
      </c>
      <c r="BI11" s="8">
        <v>1.911796903706294E-22</v>
      </c>
      <c r="BJ11" s="8" t="s">
        <v>152</v>
      </c>
    </row>
    <row r="12" spans="1:62" x14ac:dyDescent="0.35">
      <c r="A12" s="8" t="s">
        <v>22</v>
      </c>
      <c r="B12" s="8">
        <v>1.5346390564693779E-18</v>
      </c>
      <c r="C12" s="8">
        <v>1</v>
      </c>
      <c r="D12" s="8">
        <v>0</v>
      </c>
      <c r="E12" s="8">
        <v>1</v>
      </c>
      <c r="F12" s="8">
        <v>0.63275715045003333</v>
      </c>
      <c r="G12" s="8">
        <v>0.39596959597855169</v>
      </c>
      <c r="H12" s="8">
        <v>0.61848769972350237</v>
      </c>
      <c r="I12" s="8">
        <v>0.38151230027649757</v>
      </c>
      <c r="J12" s="8">
        <v>0.99999999999932698</v>
      </c>
      <c r="K12" s="8">
        <v>1.168289654423001E-12</v>
      </c>
      <c r="L12" s="8">
        <v>0.99999999999880962</v>
      </c>
      <c r="M12" s="8">
        <v>1.1904094046586059E-12</v>
      </c>
      <c r="N12" s="8">
        <v>6.0586065370963564E-37</v>
      </c>
      <c r="O12" s="8">
        <v>1</v>
      </c>
      <c r="P12" s="8">
        <v>0</v>
      </c>
      <c r="Q12" s="8">
        <v>1</v>
      </c>
      <c r="R12" s="8">
        <v>0.17304251071291021</v>
      </c>
      <c r="S12" s="8">
        <v>0.84556710823239156</v>
      </c>
      <c r="T12" s="8">
        <v>0.16356481161757741</v>
      </c>
      <c r="U12" s="8">
        <v>0.83643518838242259</v>
      </c>
      <c r="V12" s="8">
        <v>1</v>
      </c>
      <c r="W12" s="8">
        <v>1.741043016652972E-42</v>
      </c>
      <c r="X12" s="8">
        <v>1</v>
      </c>
      <c r="Y12" s="8">
        <v>6.604562072102192E-41</v>
      </c>
      <c r="Z12" s="8">
        <v>3.1923094571434119E-8</v>
      </c>
      <c r="AA12" s="8">
        <v>0.99999997919254269</v>
      </c>
      <c r="AB12" s="8">
        <v>1.87134486795415E-8</v>
      </c>
      <c r="AC12" s="8">
        <v>0.99999998128655132</v>
      </c>
      <c r="AD12" s="8">
        <v>2.7255805301668649E-2</v>
      </c>
      <c r="AE12" s="8">
        <v>0.97715363504431529</v>
      </c>
      <c r="AF12" s="8">
        <v>2.5008197742822699E-2</v>
      </c>
      <c r="AG12" s="8">
        <v>0.9749918022571773</v>
      </c>
      <c r="AH12" s="8">
        <v>0.28593891061226778</v>
      </c>
      <c r="AI12" s="8">
        <v>0.73913038672604903</v>
      </c>
      <c r="AJ12" s="8">
        <v>0.27324679770329119</v>
      </c>
      <c r="AK12" s="8">
        <v>0.72675320229670881</v>
      </c>
      <c r="AL12" s="8">
        <v>1.161548776651688E-6</v>
      </c>
      <c r="AM12" s="8">
        <v>0.99999920292038957</v>
      </c>
      <c r="AN12" s="8">
        <v>1.023117284004726E-6</v>
      </c>
      <c r="AO12" s="8">
        <v>0.999998976882716</v>
      </c>
      <c r="AP12" s="8">
        <v>0.7483875338808782</v>
      </c>
      <c r="AQ12" s="8">
        <v>0.27236850725179079</v>
      </c>
      <c r="AR12" s="8">
        <v>0.73812537078669005</v>
      </c>
      <c r="AS12" s="8">
        <v>0.26187462921331001</v>
      </c>
      <c r="AT12" s="8">
        <v>1</v>
      </c>
      <c r="AU12" s="8">
        <v>4.5904208527323692E-19</v>
      </c>
      <c r="AV12" s="8">
        <v>1</v>
      </c>
      <c r="AW12" s="8">
        <v>5.0336193513219928E-19</v>
      </c>
      <c r="AX12" s="8">
        <v>7.2840856359823728E-30</v>
      </c>
      <c r="AY12" s="8">
        <v>1</v>
      </c>
      <c r="AZ12" s="8">
        <v>0</v>
      </c>
      <c r="BA12" s="8">
        <v>1</v>
      </c>
      <c r="BB12" s="8">
        <v>0.36292880816051931</v>
      </c>
      <c r="BC12" s="8">
        <v>0.66070784679000227</v>
      </c>
      <c r="BD12" s="8">
        <v>0.32768894227798362</v>
      </c>
      <c r="BE12" s="8">
        <v>0.67231105772201638</v>
      </c>
      <c r="BF12" s="8">
        <v>1</v>
      </c>
      <c r="BG12" s="8">
        <v>8.0512668273345697E-115</v>
      </c>
      <c r="BH12" s="8">
        <v>1</v>
      </c>
      <c r="BI12" s="8">
        <v>5.4809774971718113E-109</v>
      </c>
      <c r="BJ12" s="8" t="s">
        <v>152</v>
      </c>
    </row>
    <row r="13" spans="1:62" x14ac:dyDescent="0.35">
      <c r="A13" s="8" t="s">
        <v>23</v>
      </c>
      <c r="B13" s="8">
        <v>1.1679391231761289E-62</v>
      </c>
      <c r="C13" s="8">
        <v>1</v>
      </c>
      <c r="D13" s="8">
        <v>0</v>
      </c>
      <c r="E13" s="8">
        <v>1</v>
      </c>
      <c r="F13" s="8">
        <v>5.0438205584933382E-5</v>
      </c>
      <c r="G13" s="8">
        <v>0.99996318795309103</v>
      </c>
      <c r="H13" s="8">
        <v>4.4339291497941247E-5</v>
      </c>
      <c r="I13" s="8">
        <v>0.99995566070850206</v>
      </c>
      <c r="J13" s="8">
        <v>0.99999999965971842</v>
      </c>
      <c r="K13" s="8">
        <v>5.5012734621003682E-10</v>
      </c>
      <c r="L13" s="8">
        <v>0.99999999948793916</v>
      </c>
      <c r="M13" s="8">
        <v>5.1206087656329149E-10</v>
      </c>
      <c r="N13" s="15">
        <v>5.4826488871355998E-69</v>
      </c>
      <c r="O13" s="8">
        <v>1</v>
      </c>
      <c r="P13" s="8">
        <v>0</v>
      </c>
      <c r="Q13" s="8">
        <v>1</v>
      </c>
      <c r="R13" s="8">
        <v>0.82695748928708979</v>
      </c>
      <c r="S13" s="8">
        <v>0.19302048399242741</v>
      </c>
      <c r="T13" s="8">
        <v>0.8171438518592431</v>
      </c>
      <c r="U13" s="8">
        <v>0.18285614814075679</v>
      </c>
      <c r="V13" s="8">
        <v>1</v>
      </c>
      <c r="W13" s="8">
        <v>2.185738596483581E-25</v>
      </c>
      <c r="X13" s="8">
        <v>1</v>
      </c>
      <c r="Y13" s="8">
        <v>5.8329460102882498E-25</v>
      </c>
      <c r="Z13" s="14">
        <v>3.0795873879392979E-60</v>
      </c>
      <c r="AA13" s="8">
        <v>1</v>
      </c>
      <c r="AB13" s="8">
        <v>0</v>
      </c>
      <c r="AC13" s="8">
        <v>1</v>
      </c>
      <c r="AD13" s="8">
        <v>0.98928135886028723</v>
      </c>
      <c r="AE13" s="8">
        <v>1.305113666870847E-2</v>
      </c>
      <c r="AF13" s="8">
        <v>0.98813074237497267</v>
      </c>
      <c r="AG13" s="8">
        <v>1.186925762502729E-2</v>
      </c>
      <c r="AH13" s="8">
        <v>6.1112744934414411E-2</v>
      </c>
      <c r="AI13" s="8">
        <v>0.94748427449911499</v>
      </c>
      <c r="AJ13" s="8">
        <v>5.6718190418091563E-2</v>
      </c>
      <c r="AK13" s="8">
        <v>0.94328180958190844</v>
      </c>
      <c r="AL13" s="8">
        <v>5.1856979116479421E-55</v>
      </c>
      <c r="AM13" s="8">
        <v>1</v>
      </c>
      <c r="AN13" s="8">
        <v>0</v>
      </c>
      <c r="AO13" s="8">
        <v>1</v>
      </c>
      <c r="AP13" s="8">
        <v>5.8126506089259974E-31</v>
      </c>
      <c r="AQ13" s="8">
        <v>1</v>
      </c>
      <c r="AR13" s="8">
        <v>0</v>
      </c>
      <c r="AS13" s="8">
        <v>1</v>
      </c>
      <c r="AT13" s="8">
        <v>0.99999999999978373</v>
      </c>
      <c r="AU13" s="8">
        <v>3.1212304272284249E-13</v>
      </c>
      <c r="AV13" s="8">
        <v>0.99999999999970135</v>
      </c>
      <c r="AW13" s="8">
        <v>2.9860529537364592E-13</v>
      </c>
      <c r="AX13" s="14">
        <v>2.4113559914503591E-34</v>
      </c>
      <c r="AY13" s="8">
        <v>1</v>
      </c>
      <c r="AZ13" s="8">
        <v>0</v>
      </c>
      <c r="BA13" s="8">
        <v>1</v>
      </c>
      <c r="BB13" s="8">
        <v>2.969449419363383E-12</v>
      </c>
      <c r="BC13" s="8">
        <v>0.9999999999981164</v>
      </c>
      <c r="BD13" s="8">
        <v>2.87259105391513E-12</v>
      </c>
      <c r="BE13" s="8">
        <v>0.99999999999712741</v>
      </c>
      <c r="BF13" s="8">
        <v>1</v>
      </c>
      <c r="BG13" s="8">
        <v>5.7302328655877234E-38</v>
      </c>
      <c r="BH13" s="8">
        <v>1</v>
      </c>
      <c r="BI13" s="8">
        <v>1.67810546838029E-37</v>
      </c>
      <c r="BJ13" s="8" t="s">
        <v>152</v>
      </c>
    </row>
    <row r="14" spans="1:62" x14ac:dyDescent="0.35">
      <c r="A14" s="10" t="s">
        <v>24</v>
      </c>
      <c r="B14" s="10">
        <v>4.4907133435382003E-2</v>
      </c>
      <c r="C14" s="10">
        <v>0.96178842758226124</v>
      </c>
      <c r="D14" s="10">
        <v>4.1486530362206182E-2</v>
      </c>
      <c r="E14" s="10">
        <v>0.95851346963779382</v>
      </c>
      <c r="F14" s="10">
        <v>0.36724284954996672</v>
      </c>
      <c r="G14" s="10">
        <v>0.66075969318714201</v>
      </c>
      <c r="H14" s="10">
        <v>0.35312798105242671</v>
      </c>
      <c r="I14" s="10">
        <v>0.64687201894757329</v>
      </c>
      <c r="J14" s="10">
        <v>0.99887778140824413</v>
      </c>
      <c r="K14" s="10">
        <v>1.440259242764247E-3</v>
      </c>
      <c r="L14" s="10">
        <v>0.99871558423648865</v>
      </c>
      <c r="M14" s="10">
        <v>1.284415763511356E-3</v>
      </c>
      <c r="N14" s="10">
        <v>2.1659689066834469E-14</v>
      </c>
      <c r="O14" s="10">
        <v>0.99999999999998801</v>
      </c>
      <c r="P14" s="10">
        <v>2.3869795029440869E-14</v>
      </c>
      <c r="Q14" s="10">
        <v>0.99999999999997613</v>
      </c>
      <c r="R14" s="10">
        <v>1.305113666870847E-2</v>
      </c>
      <c r="S14" s="10">
        <v>0.98928135886028723</v>
      </c>
      <c r="T14" s="10">
        <v>1.186925762502733E-2</v>
      </c>
      <c r="U14" s="10">
        <v>0.98813074237497267</v>
      </c>
      <c r="V14" s="10">
        <v>1</v>
      </c>
      <c r="W14" s="10">
        <v>5.6723166494676379E-22</v>
      </c>
      <c r="X14" s="10">
        <v>1</v>
      </c>
      <c r="Y14" s="10">
        <v>1.07384054722145E-21</v>
      </c>
      <c r="Z14" s="10">
        <v>3.8211572417738697E-2</v>
      </c>
      <c r="AA14" s="10">
        <v>0.9676470434726987</v>
      </c>
      <c r="AB14" s="10">
        <v>3.5220214636044078E-2</v>
      </c>
      <c r="AC14" s="10">
        <v>0.96477978536395592</v>
      </c>
      <c r="AD14" s="10">
        <v>0.99288163498380022</v>
      </c>
      <c r="AE14" s="10">
        <v>8.7576396766929094E-3</v>
      </c>
      <c r="AF14" s="10">
        <v>0.99206933363011351</v>
      </c>
      <c r="AG14" s="10">
        <v>7.9306663698864906E-3</v>
      </c>
      <c r="AH14" s="10">
        <v>0.33924030681285811</v>
      </c>
      <c r="AI14" s="10">
        <v>0.68790182259992472</v>
      </c>
      <c r="AJ14" s="10">
        <v>0.29887292785152092</v>
      </c>
      <c r="AK14" s="10">
        <v>0.70112707214847914</v>
      </c>
      <c r="AL14" s="10">
        <v>2.9486412910011898E-3</v>
      </c>
      <c r="AM14" s="10">
        <v>0.99766543951883324</v>
      </c>
      <c r="AN14" s="10">
        <v>2.6437170183449821E-3</v>
      </c>
      <c r="AO14" s="10">
        <v>0.99735628298165502</v>
      </c>
      <c r="AP14" s="10">
        <v>2.5183081063873241E-5</v>
      </c>
      <c r="AQ14" s="10">
        <v>0.9999808867880905</v>
      </c>
      <c r="AR14" s="10">
        <v>2.247033824609446E-5</v>
      </c>
      <c r="AS14" s="10">
        <v>0.99997752966175391</v>
      </c>
      <c r="AT14" s="10">
        <v>0.99000827141995984</v>
      </c>
      <c r="AU14" s="10">
        <v>1.1389278381152701E-2</v>
      </c>
      <c r="AV14" s="10">
        <v>0.98931514698808831</v>
      </c>
      <c r="AW14" s="10">
        <v>1.0684853011911671E-2</v>
      </c>
      <c r="AX14" s="10">
        <v>0.99932957240549158</v>
      </c>
      <c r="AY14" s="10">
        <v>8.6972830393244492E-4</v>
      </c>
      <c r="AZ14" s="10">
        <v>0.99922689826145961</v>
      </c>
      <c r="BA14" s="10">
        <v>7.7310173854037219E-4</v>
      </c>
      <c r="BB14" s="10">
        <v>0.99296981203001355</v>
      </c>
      <c r="BC14" s="10">
        <v>8.381400206210492E-3</v>
      </c>
      <c r="BD14" s="10">
        <v>0.99229911841552376</v>
      </c>
      <c r="BE14" s="10">
        <v>7.700881584476231E-3</v>
      </c>
      <c r="BF14" s="10">
        <v>0.99999999997064792</v>
      </c>
      <c r="BG14" s="10">
        <v>4.0918414440758531E-11</v>
      </c>
      <c r="BH14" s="10">
        <v>0.99999999996197841</v>
      </c>
      <c r="BI14" s="10">
        <v>3.8021612174152023E-11</v>
      </c>
      <c r="BJ14" s="10" t="s">
        <v>169</v>
      </c>
    </row>
    <row r="15" spans="1:62" x14ac:dyDescent="0.35">
      <c r="A15" s="10" t="s">
        <v>25</v>
      </c>
      <c r="B15" s="10">
        <v>7.7224614927399764E-19</v>
      </c>
      <c r="C15" s="10">
        <v>1</v>
      </c>
      <c r="D15" s="10">
        <v>0</v>
      </c>
      <c r="E15" s="10">
        <v>1</v>
      </c>
      <c r="F15" s="10">
        <v>1.8925852581976919E-54</v>
      </c>
      <c r="G15" s="10">
        <v>1</v>
      </c>
      <c r="H15" s="10">
        <v>0</v>
      </c>
      <c r="I15" s="10">
        <v>1</v>
      </c>
      <c r="J15" s="10">
        <v>0.99999997919254269</v>
      </c>
      <c r="K15" s="10">
        <v>3.1923094571434119E-8</v>
      </c>
      <c r="L15" s="10">
        <v>0.99999997137818786</v>
      </c>
      <c r="M15" s="10">
        <v>2.8621812133695279E-8</v>
      </c>
      <c r="N15" s="10">
        <v>1.7849653315840999E-29</v>
      </c>
      <c r="O15" s="10">
        <v>1</v>
      </c>
      <c r="P15" s="10">
        <v>0</v>
      </c>
      <c r="Q15" s="10">
        <v>1</v>
      </c>
      <c r="R15" s="14">
        <v>1.122046647098312E-86</v>
      </c>
      <c r="S15" s="10">
        <v>1</v>
      </c>
      <c r="T15" s="10">
        <v>0</v>
      </c>
      <c r="U15" s="10">
        <v>1</v>
      </c>
      <c r="V15" s="10">
        <v>1</v>
      </c>
      <c r="W15" s="10">
        <v>5.9628957811031605E-47</v>
      </c>
      <c r="X15" s="10">
        <v>1</v>
      </c>
      <c r="Y15" s="10">
        <v>5.857781257806386E-45</v>
      </c>
      <c r="Z15" s="14">
        <v>5.8967090318025666E-12</v>
      </c>
      <c r="AA15" s="10">
        <v>0.99999999999654177</v>
      </c>
      <c r="AB15" s="10">
        <v>5.8444360462317491E-12</v>
      </c>
      <c r="AC15" s="10">
        <v>0.99999999999415556</v>
      </c>
      <c r="AD15" s="14">
        <v>1.968098275663992E-45</v>
      </c>
      <c r="AE15" s="10">
        <v>1</v>
      </c>
      <c r="AF15" s="10">
        <v>0</v>
      </c>
      <c r="AG15" s="10">
        <v>1</v>
      </c>
      <c r="AH15" s="10">
        <v>0.99766543951883324</v>
      </c>
      <c r="AI15" s="10">
        <v>2.9486412910011898E-3</v>
      </c>
      <c r="AJ15" s="10">
        <v>0.99735628298165491</v>
      </c>
      <c r="AK15" s="10">
        <v>2.6437170183450541E-3</v>
      </c>
      <c r="AL15" s="14">
        <v>9.692158585558598E-39</v>
      </c>
      <c r="AM15" s="10">
        <v>1</v>
      </c>
      <c r="AN15" s="10">
        <v>0</v>
      </c>
      <c r="AO15" s="10">
        <v>1</v>
      </c>
      <c r="AP15" s="14">
        <v>2.4761685451323939E-94</v>
      </c>
      <c r="AQ15" s="10">
        <v>1</v>
      </c>
      <c r="AR15" s="10">
        <v>0</v>
      </c>
      <c r="AS15" s="10">
        <v>1</v>
      </c>
      <c r="AT15" s="10">
        <v>1</v>
      </c>
      <c r="AU15" s="10">
        <v>2.6140504054922549E-67</v>
      </c>
      <c r="AV15" s="10">
        <v>1</v>
      </c>
      <c r="AW15" s="10">
        <v>1.745617922261435E-65</v>
      </c>
      <c r="AX15" s="10">
        <v>2.475632071390249E-24</v>
      </c>
      <c r="AY15" s="10">
        <v>1</v>
      </c>
      <c r="AZ15" s="10">
        <v>0</v>
      </c>
      <c r="BA15" s="10">
        <v>1</v>
      </c>
      <c r="BB15" s="10">
        <v>1.5210096663140131E-68</v>
      </c>
      <c r="BC15" s="10">
        <v>1</v>
      </c>
      <c r="BD15" s="10">
        <v>0</v>
      </c>
      <c r="BE15" s="10">
        <v>1</v>
      </c>
      <c r="BF15" s="10">
        <v>1</v>
      </c>
      <c r="BG15" s="10">
        <v>2.1925707043259681E-54</v>
      </c>
      <c r="BH15" s="10">
        <v>1</v>
      </c>
      <c r="BI15" s="10">
        <v>2.905802465576444E-53</v>
      </c>
      <c r="BJ15" s="10" t="s">
        <v>169</v>
      </c>
    </row>
    <row r="16" spans="1:62" x14ac:dyDescent="0.35">
      <c r="A16" s="10" t="s">
        <v>26</v>
      </c>
      <c r="B16" s="10">
        <v>1.918859589311014E-19</v>
      </c>
      <c r="C16" s="10">
        <v>1</v>
      </c>
      <c r="D16" s="10">
        <v>0</v>
      </c>
      <c r="E16" s="10">
        <v>1</v>
      </c>
      <c r="F16" s="10">
        <v>0.99124236032330704</v>
      </c>
      <c r="G16" s="10">
        <v>1.07186411397128E-2</v>
      </c>
      <c r="H16" s="10">
        <v>0.99027294186738102</v>
      </c>
      <c r="I16" s="10">
        <v>9.7270581326189907E-3</v>
      </c>
      <c r="J16" s="10">
        <v>0.42527252356759487</v>
      </c>
      <c r="K16" s="10">
        <v>0.60403040402144836</v>
      </c>
      <c r="L16" s="10">
        <v>0.41054879177597958</v>
      </c>
      <c r="M16" s="10">
        <v>0.58945120822402042</v>
      </c>
      <c r="N16" s="14">
        <v>5.7689595534142922E-71</v>
      </c>
      <c r="O16" s="10">
        <v>1</v>
      </c>
      <c r="P16" s="10">
        <v>0</v>
      </c>
      <c r="Q16" s="10">
        <v>1</v>
      </c>
      <c r="R16" s="10">
        <v>0.1371961135641718</v>
      </c>
      <c r="S16" s="10">
        <v>0.87867863039430649</v>
      </c>
      <c r="T16" s="10">
        <v>0.12909752379197201</v>
      </c>
      <c r="U16" s="10">
        <v>0.87090247620802796</v>
      </c>
      <c r="V16" s="10">
        <v>0.99987448795888501</v>
      </c>
      <c r="W16" s="10">
        <v>1.682231284959967E-4</v>
      </c>
      <c r="X16" s="10">
        <v>0.99985163384435338</v>
      </c>
      <c r="Y16" s="10">
        <v>1.4836615564657029E-4</v>
      </c>
      <c r="Z16" s="10">
        <v>0.1371961135641718</v>
      </c>
      <c r="AA16" s="10">
        <v>0.87867863039430649</v>
      </c>
      <c r="AB16" s="10">
        <v>0.12909752379197201</v>
      </c>
      <c r="AC16" s="10">
        <v>0.87090247620802796</v>
      </c>
      <c r="AD16" s="10">
        <v>0.99990686743660029</v>
      </c>
      <c r="AE16" s="10">
        <v>1.2551204111500489E-4</v>
      </c>
      <c r="AF16" s="10">
        <v>0.99988941182370716</v>
      </c>
      <c r="AG16" s="10">
        <v>1.1058817629283019E-4</v>
      </c>
      <c r="AH16" s="14">
        <v>5.8967090318025666E-12</v>
      </c>
      <c r="AI16" s="10">
        <v>0.99999999999654177</v>
      </c>
      <c r="AJ16" s="10">
        <v>5.8444360462317491E-12</v>
      </c>
      <c r="AK16" s="10">
        <v>0.99999999999415556</v>
      </c>
      <c r="AL16" s="10">
        <v>1.672935226012477E-36</v>
      </c>
      <c r="AM16" s="10">
        <v>1</v>
      </c>
      <c r="AN16" s="10">
        <v>0</v>
      </c>
      <c r="AO16" s="10">
        <v>1</v>
      </c>
      <c r="AP16" s="10">
        <v>5.1969834598291027E-2</v>
      </c>
      <c r="AQ16" s="10">
        <v>0.95447107825781818</v>
      </c>
      <c r="AR16" s="10">
        <v>4.8689072050409288E-2</v>
      </c>
      <c r="AS16" s="10">
        <v>0.95131092794959071</v>
      </c>
      <c r="AT16" s="10">
        <v>0.99000827141995984</v>
      </c>
      <c r="AU16" s="10">
        <v>1.1389278381152701E-2</v>
      </c>
      <c r="AV16" s="10">
        <v>0.98931514698808831</v>
      </c>
      <c r="AW16" s="10">
        <v>1.0684853011911671E-2</v>
      </c>
      <c r="AX16" s="10">
        <v>2.4893806564397472E-7</v>
      </c>
      <c r="AY16" s="10">
        <v>0.99999983301767192</v>
      </c>
      <c r="AZ16" s="10">
        <v>2.205410271072239E-7</v>
      </c>
      <c r="BA16" s="10">
        <v>0.99999977945897289</v>
      </c>
      <c r="BB16" s="10">
        <v>0.38709935059452272</v>
      </c>
      <c r="BC16" s="10">
        <v>0.63707119183948069</v>
      </c>
      <c r="BD16" s="10">
        <v>0.37494350406863092</v>
      </c>
      <c r="BE16" s="10">
        <v>0.62505649593136914</v>
      </c>
      <c r="BF16" s="10">
        <v>1</v>
      </c>
      <c r="BG16" s="10">
        <v>2.502550522802907E-62</v>
      </c>
      <c r="BH16" s="10">
        <v>1</v>
      </c>
      <c r="BI16" s="10">
        <v>1.9331846855550121E-60</v>
      </c>
      <c r="BJ16" s="10" t="s">
        <v>169</v>
      </c>
    </row>
    <row r="17" spans="1:62" x14ac:dyDescent="0.35">
      <c r="A17" s="10" t="s">
        <v>27</v>
      </c>
      <c r="B17" s="10">
        <v>1.045738419167208E-15</v>
      </c>
      <c r="C17" s="10">
        <v>0.99999999999999944</v>
      </c>
      <c r="D17" s="10">
        <v>6.6613381477509392E-16</v>
      </c>
      <c r="E17" s="10">
        <v>0.99999999999999933</v>
      </c>
      <c r="F17" s="10">
        <v>5.0454549307334114E-103</v>
      </c>
      <c r="G17" s="10">
        <v>1</v>
      </c>
      <c r="H17" s="10">
        <v>0</v>
      </c>
      <c r="I17" s="10">
        <v>1</v>
      </c>
      <c r="J17" s="10">
        <v>0.99999999999999811</v>
      </c>
      <c r="K17" s="10">
        <v>3.5800149477577373E-15</v>
      </c>
      <c r="L17" s="10">
        <v>0.99999999999999589</v>
      </c>
      <c r="M17" s="10">
        <v>4.1172859136787213E-15</v>
      </c>
      <c r="N17" s="10">
        <v>5.2515725500884958E-2</v>
      </c>
      <c r="O17" s="10">
        <v>0.955092866564618</v>
      </c>
      <c r="P17" s="10">
        <v>4.8627214219501669E-2</v>
      </c>
      <c r="Q17" s="10">
        <v>0.95137278578049833</v>
      </c>
      <c r="R17" s="10">
        <v>8.8247572463066848E-105</v>
      </c>
      <c r="S17" s="10">
        <v>1</v>
      </c>
      <c r="T17" s="10">
        <v>0</v>
      </c>
      <c r="U17" s="10">
        <v>1</v>
      </c>
      <c r="V17" s="10">
        <v>1</v>
      </c>
      <c r="W17" s="10">
        <v>1.2400197949969341E-71</v>
      </c>
      <c r="X17" s="10">
        <v>1</v>
      </c>
      <c r="Y17" s="10">
        <v>1.6860665371692589E-66</v>
      </c>
      <c r="Z17" s="10">
        <v>5.0438205584933382E-5</v>
      </c>
      <c r="AA17" s="10">
        <v>0.99996318795309103</v>
      </c>
      <c r="AB17" s="10">
        <v>4.4339291497941247E-5</v>
      </c>
      <c r="AC17" s="10">
        <v>0.99995566070850206</v>
      </c>
      <c r="AD17" s="10">
        <v>2.3998560594315532E-74</v>
      </c>
      <c r="AE17" s="10">
        <v>1</v>
      </c>
      <c r="AF17" s="10">
        <v>0</v>
      </c>
      <c r="AG17" s="10">
        <v>1</v>
      </c>
      <c r="AH17" s="10">
        <v>0.99998615736150531</v>
      </c>
      <c r="AI17" s="10">
        <v>1.9285241824994172E-5</v>
      </c>
      <c r="AJ17" s="10">
        <v>0.99998306712934337</v>
      </c>
      <c r="AK17" s="10">
        <v>1.6932870656650061E-5</v>
      </c>
      <c r="AL17" s="10">
        <v>3.0305948869746912E-18</v>
      </c>
      <c r="AM17" s="10">
        <v>1</v>
      </c>
      <c r="AN17" s="10">
        <v>0</v>
      </c>
      <c r="AO17" s="10">
        <v>1</v>
      </c>
      <c r="AP17" s="10">
        <v>5.3115811875040262E-182</v>
      </c>
      <c r="AQ17" s="10">
        <v>1</v>
      </c>
      <c r="AR17" s="10">
        <v>0</v>
      </c>
      <c r="AS17" s="10">
        <v>1</v>
      </c>
      <c r="AT17" s="10">
        <v>1</v>
      </c>
      <c r="AU17" s="10">
        <v>2.380395867654661E-121</v>
      </c>
      <c r="AV17" s="10">
        <v>1</v>
      </c>
      <c r="AW17" s="10">
        <v>8.6743319498620548E-115</v>
      </c>
      <c r="AX17" s="10">
        <v>9.3132563399741616E-5</v>
      </c>
      <c r="AY17" s="10">
        <v>0.99993127286383343</v>
      </c>
      <c r="AZ17" s="10">
        <v>6.0456000638975382E-5</v>
      </c>
      <c r="BA17" s="10">
        <v>0.99993954399936102</v>
      </c>
      <c r="BB17" s="14">
        <v>3.490328385852726E-112</v>
      </c>
      <c r="BC17" s="10">
        <v>1</v>
      </c>
      <c r="BD17" s="10">
        <v>0</v>
      </c>
      <c r="BE17" s="10">
        <v>1</v>
      </c>
      <c r="BF17" s="10">
        <v>1</v>
      </c>
      <c r="BG17" s="10">
        <v>2.8897837116281568E-187</v>
      </c>
      <c r="BH17" s="10">
        <v>1</v>
      </c>
      <c r="BI17" s="10">
        <v>7.2432189792769811E-171</v>
      </c>
      <c r="BJ17" s="10" t="s">
        <v>169</v>
      </c>
    </row>
    <row r="18" spans="1:62" x14ac:dyDescent="0.35">
      <c r="A18" s="10" t="s">
        <v>28</v>
      </c>
      <c r="B18" s="10">
        <v>1.682231284959967E-4</v>
      </c>
      <c r="C18" s="10">
        <v>0.99987448795888501</v>
      </c>
      <c r="D18" s="10">
        <v>1.4836615564661759E-4</v>
      </c>
      <c r="E18" s="10">
        <v>0.99985163384435338</v>
      </c>
      <c r="F18" s="10">
        <v>1.113695060809213E-7</v>
      </c>
      <c r="G18" s="10">
        <v>0.99999992614603173</v>
      </c>
      <c r="H18" s="10">
        <v>9.9071855386156926E-8</v>
      </c>
      <c r="I18" s="10">
        <v>0.99999990092814461</v>
      </c>
      <c r="J18" s="10">
        <v>1</v>
      </c>
      <c r="K18" s="10">
        <v>7.4354863343056346E-32</v>
      </c>
      <c r="L18" s="10">
        <v>1</v>
      </c>
      <c r="M18" s="10">
        <v>4.5076699615079748E-31</v>
      </c>
      <c r="N18" s="10">
        <v>0.99999831688327856</v>
      </c>
      <c r="O18" s="10">
        <v>2.425141220284132E-6</v>
      </c>
      <c r="P18" s="10">
        <v>0.99999786766127818</v>
      </c>
      <c r="Q18" s="10">
        <v>2.1323387218256759E-6</v>
      </c>
      <c r="R18" s="10">
        <v>7.9707961039300455E-7</v>
      </c>
      <c r="S18" s="10">
        <v>0.99999945612132479</v>
      </c>
      <c r="T18" s="10">
        <v>7.028967590194668E-7</v>
      </c>
      <c r="U18" s="10">
        <v>0.99999929710324098</v>
      </c>
      <c r="V18" s="10">
        <v>1</v>
      </c>
      <c r="W18" s="10">
        <v>4.7504017313034421E-31</v>
      </c>
      <c r="X18" s="10">
        <v>1</v>
      </c>
      <c r="Y18" s="10">
        <v>2.5687845571579409E-30</v>
      </c>
      <c r="Z18" s="10">
        <v>3.8211572417738697E-2</v>
      </c>
      <c r="AA18" s="10">
        <v>0.9676470434726987</v>
      </c>
      <c r="AB18" s="10">
        <v>3.5220214636044078E-2</v>
      </c>
      <c r="AC18" s="10">
        <v>0.96477978536395592</v>
      </c>
      <c r="AD18" s="10">
        <v>3.1923094571434119E-8</v>
      </c>
      <c r="AE18" s="10">
        <v>0.99999997919254269</v>
      </c>
      <c r="AF18" s="10">
        <v>1.87134486795415E-8</v>
      </c>
      <c r="AG18" s="10">
        <v>0.99999998128655132</v>
      </c>
      <c r="AH18" s="10">
        <v>0.99960803532611964</v>
      </c>
      <c r="AI18" s="10">
        <v>5.140143795173258E-4</v>
      </c>
      <c r="AJ18" s="10">
        <v>0.99954444056142311</v>
      </c>
      <c r="AK18" s="10">
        <v>4.5555943857685638E-4</v>
      </c>
      <c r="AL18" s="10">
        <v>2.4893806564397472E-7</v>
      </c>
      <c r="AM18" s="10">
        <v>0.99999983301767192</v>
      </c>
      <c r="AN18" s="10">
        <v>2.205410271072239E-7</v>
      </c>
      <c r="AO18" s="10">
        <v>0.99999977945897289</v>
      </c>
      <c r="AP18" s="10">
        <v>9.5587579314308072E-2</v>
      </c>
      <c r="AQ18" s="10">
        <v>0.91479567364157521</v>
      </c>
      <c r="AR18" s="10">
        <v>9.0299808246961932E-2</v>
      </c>
      <c r="AS18" s="10">
        <v>0.90970019175303807</v>
      </c>
      <c r="AT18" s="10">
        <v>1</v>
      </c>
      <c r="AU18" s="10">
        <v>5.0946124501019883E-84</v>
      </c>
      <c r="AV18" s="10">
        <v>1</v>
      </c>
      <c r="AW18" s="10">
        <v>1.241701567465425E-80</v>
      </c>
      <c r="AX18" s="10">
        <v>0.42527252356759487</v>
      </c>
      <c r="AY18" s="10">
        <v>0.60403040402144836</v>
      </c>
      <c r="AZ18" s="10">
        <v>0.41054879177597958</v>
      </c>
      <c r="BA18" s="10">
        <v>0.58945120822402042</v>
      </c>
      <c r="BB18" s="10">
        <v>0.96542573740292892</v>
      </c>
      <c r="BC18" s="10">
        <v>3.9745751432072991E-2</v>
      </c>
      <c r="BD18" s="10">
        <v>0.96288675859325568</v>
      </c>
      <c r="BE18" s="10">
        <v>3.7113241406744317E-2</v>
      </c>
      <c r="BF18" s="10">
        <v>1</v>
      </c>
      <c r="BG18" s="10">
        <v>2.502550522802907E-62</v>
      </c>
      <c r="BH18" s="10">
        <v>1</v>
      </c>
      <c r="BI18" s="10">
        <v>8.5675094594325598E-61</v>
      </c>
      <c r="BJ18" s="10" t="s">
        <v>169</v>
      </c>
    </row>
    <row r="19" spans="1:62" x14ac:dyDescent="0.35">
      <c r="A19" s="10" t="s">
        <v>29</v>
      </c>
      <c r="B19" s="10">
        <v>0.12132136960569349</v>
      </c>
      <c r="C19" s="10">
        <v>0.8932160997258477</v>
      </c>
      <c r="D19" s="10">
        <v>0.11389999699411479</v>
      </c>
      <c r="E19" s="10">
        <v>0.88610000300588521</v>
      </c>
      <c r="F19" s="10">
        <v>2.9804535640973499E-16</v>
      </c>
      <c r="G19" s="10">
        <v>0.99999999999999989</v>
      </c>
      <c r="H19" s="10">
        <v>3.3306690738754701E-16</v>
      </c>
      <c r="I19" s="10">
        <v>0.99999999999999967</v>
      </c>
      <c r="J19" s="10">
        <v>1</v>
      </c>
      <c r="K19" s="10">
        <v>2.3349270348625991E-91</v>
      </c>
      <c r="L19" s="10">
        <v>1</v>
      </c>
      <c r="M19" s="10">
        <v>5.2286141792269769E-82</v>
      </c>
      <c r="N19" s="10">
        <v>0.99999999999000511</v>
      </c>
      <c r="O19" s="10">
        <v>1.6840591736383231E-11</v>
      </c>
      <c r="P19" s="10">
        <v>0.99999999998358124</v>
      </c>
      <c r="Q19" s="10">
        <v>1.6418793249366909E-11</v>
      </c>
      <c r="R19" s="10">
        <v>4.1928894555716279E-26</v>
      </c>
      <c r="S19" s="10">
        <v>1</v>
      </c>
      <c r="T19" s="10">
        <v>0</v>
      </c>
      <c r="U19" s="10">
        <v>1</v>
      </c>
      <c r="V19" s="10">
        <v>1</v>
      </c>
      <c r="W19" s="10">
        <v>1.378744080652062E-40</v>
      </c>
      <c r="X19" s="10">
        <v>1</v>
      </c>
      <c r="Y19" s="10">
        <v>3.6055191761920078E-39</v>
      </c>
      <c r="Z19" s="10">
        <v>0.9676470434726987</v>
      </c>
      <c r="AA19" s="10">
        <v>3.8211572417738697E-2</v>
      </c>
      <c r="AB19" s="10">
        <v>0.96477978536395614</v>
      </c>
      <c r="AC19" s="10">
        <v>3.5220214636043863E-2</v>
      </c>
      <c r="AD19" s="10">
        <v>2.2664703991124299E-20</v>
      </c>
      <c r="AE19" s="10">
        <v>1</v>
      </c>
      <c r="AF19" s="10">
        <v>0</v>
      </c>
      <c r="AG19" s="10">
        <v>1</v>
      </c>
      <c r="AH19" s="10">
        <v>1</v>
      </c>
      <c r="AI19" s="10">
        <v>8.9801460878349132E-66</v>
      </c>
      <c r="AJ19" s="10">
        <v>1</v>
      </c>
      <c r="AK19" s="10">
        <v>1.61356323282522E-61</v>
      </c>
      <c r="AL19" s="10">
        <v>2.7255805301668649E-2</v>
      </c>
      <c r="AM19" s="10">
        <v>0.97715363504431529</v>
      </c>
      <c r="AN19" s="10">
        <v>2.5008197742822699E-2</v>
      </c>
      <c r="AO19" s="10">
        <v>0.9749918022571773</v>
      </c>
      <c r="AP19" s="10">
        <v>2.6965330002910321E-31</v>
      </c>
      <c r="AQ19" s="10">
        <v>1</v>
      </c>
      <c r="AR19" s="10">
        <v>0</v>
      </c>
      <c r="AS19" s="10">
        <v>1</v>
      </c>
      <c r="AT19" s="10">
        <v>1</v>
      </c>
      <c r="AU19" s="10">
        <v>8.37768328240384E-258</v>
      </c>
      <c r="AV19" s="10">
        <v>1</v>
      </c>
      <c r="AW19" s="10">
        <v>1.2395709101915819E-225</v>
      </c>
      <c r="AX19" s="10">
        <v>0.76301913543624389</v>
      </c>
      <c r="AY19" s="10">
        <v>0.26086961327395092</v>
      </c>
      <c r="AZ19" s="10">
        <v>0.7512411119350052</v>
      </c>
      <c r="BA19" s="10">
        <v>0.2487588880649948</v>
      </c>
      <c r="BB19" s="10">
        <v>2.4571613899838639E-21</v>
      </c>
      <c r="BC19" s="10">
        <v>1</v>
      </c>
      <c r="BD19" s="10">
        <v>0</v>
      </c>
      <c r="BE19" s="10">
        <v>1</v>
      </c>
      <c r="BF19" s="10">
        <v>1</v>
      </c>
      <c r="BG19" s="10">
        <v>1.5944933614850079E-262</v>
      </c>
      <c r="BH19" s="10">
        <v>1</v>
      </c>
      <c r="BI19" s="10">
        <v>4.2914289777973262E-229</v>
      </c>
      <c r="BJ19" s="10" t="s">
        <v>169</v>
      </c>
    </row>
    <row r="20" spans="1:62" x14ac:dyDescent="0.35">
      <c r="A20" s="10" t="s">
        <v>30</v>
      </c>
      <c r="B20" s="10">
        <v>0.21434594520575251</v>
      </c>
      <c r="C20" s="10">
        <v>0.80697951600757256</v>
      </c>
      <c r="D20" s="10">
        <v>0.20350801363568721</v>
      </c>
      <c r="E20" s="10">
        <v>0.79649198636431284</v>
      </c>
      <c r="F20" s="10">
        <v>7.2840856359823728E-30</v>
      </c>
      <c r="G20" s="10">
        <v>1</v>
      </c>
      <c r="H20" s="10">
        <v>0</v>
      </c>
      <c r="I20" s="10">
        <v>1</v>
      </c>
      <c r="J20" s="10">
        <v>1</v>
      </c>
      <c r="K20" s="10">
        <v>1.027366975828463E-144</v>
      </c>
      <c r="L20" s="10">
        <v>1</v>
      </c>
      <c r="M20" s="10">
        <v>4.615132912585521E-121</v>
      </c>
      <c r="N20" s="10">
        <v>6.1112744934414411E-2</v>
      </c>
      <c r="O20" s="10">
        <v>0.94748427449911499</v>
      </c>
      <c r="P20" s="10">
        <v>5.6718190418091563E-2</v>
      </c>
      <c r="Q20" s="10">
        <v>0.94328180958190844</v>
      </c>
      <c r="R20" s="10">
        <v>5.285215232807774E-21</v>
      </c>
      <c r="S20" s="10">
        <v>1</v>
      </c>
      <c r="T20" s="10">
        <v>0</v>
      </c>
      <c r="U20" s="10">
        <v>1</v>
      </c>
      <c r="V20" s="10">
        <v>1</v>
      </c>
      <c r="W20" s="10">
        <v>1.173198000799468E-39</v>
      </c>
      <c r="X20" s="10">
        <v>1</v>
      </c>
      <c r="Y20" s="10">
        <v>2.5751808329932719E-38</v>
      </c>
      <c r="Z20" s="10">
        <v>0.99629541745891781</v>
      </c>
      <c r="AA20" s="10">
        <v>4.6298355537997774E-3</v>
      </c>
      <c r="AB20" s="10">
        <v>0.99583292771109133</v>
      </c>
      <c r="AC20" s="10">
        <v>4.1670722889086756E-3</v>
      </c>
      <c r="AD20" s="10">
        <v>3.1923094571434119E-8</v>
      </c>
      <c r="AE20" s="10">
        <v>0.99999997919254269</v>
      </c>
      <c r="AF20" s="10">
        <v>1.87134486795415E-8</v>
      </c>
      <c r="AG20" s="10">
        <v>0.99999998128655132</v>
      </c>
      <c r="AH20" s="10">
        <v>1</v>
      </c>
      <c r="AI20" s="10">
        <v>4.8454365689446407E-130</v>
      </c>
      <c r="AJ20" s="10">
        <v>1</v>
      </c>
      <c r="AK20" s="10">
        <v>2.62159062588003E-111</v>
      </c>
      <c r="AL20" s="10">
        <v>0.63275715045003333</v>
      </c>
      <c r="AM20" s="10">
        <v>0.39596959597855169</v>
      </c>
      <c r="AN20" s="10">
        <v>0.61848769972350237</v>
      </c>
      <c r="AO20" s="10">
        <v>0.38151230027649757</v>
      </c>
      <c r="AP20" s="10">
        <v>4.4359760990076852E-41</v>
      </c>
      <c r="AQ20" s="10">
        <v>1</v>
      </c>
      <c r="AR20" s="10">
        <v>0</v>
      </c>
      <c r="AS20" s="10">
        <v>1</v>
      </c>
      <c r="AT20" s="10">
        <v>1</v>
      </c>
      <c r="AU20" s="10">
        <v>0</v>
      </c>
      <c r="AV20" s="10">
        <v>1</v>
      </c>
      <c r="AW20" s="10">
        <v>7.1245199745431177E-282</v>
      </c>
      <c r="AX20" s="10">
        <v>0.99983177687150404</v>
      </c>
      <c r="AY20" s="10">
        <v>2.2423766932352069E-4</v>
      </c>
      <c r="AZ20" s="10">
        <v>0.99980201728178342</v>
      </c>
      <c r="BA20" s="10">
        <v>1.979827182166197E-4</v>
      </c>
      <c r="BB20" s="10">
        <v>5.2762133051328716E-25</v>
      </c>
      <c r="BC20" s="10">
        <v>1</v>
      </c>
      <c r="BD20" s="10">
        <v>0</v>
      </c>
      <c r="BE20" s="10">
        <v>1</v>
      </c>
      <c r="BF20" s="10">
        <v>1</v>
      </c>
      <c r="BG20" s="10">
        <v>0</v>
      </c>
      <c r="BH20" s="10">
        <v>1</v>
      </c>
      <c r="BI20" s="10">
        <v>5.4424671500286204E-292</v>
      </c>
      <c r="BJ20" s="10" t="s">
        <v>169</v>
      </c>
    </row>
    <row r="21" spans="1:62" x14ac:dyDescent="0.35">
      <c r="A21" s="10" t="s">
        <v>31</v>
      </c>
      <c r="B21" s="10">
        <v>0.1371961135641718</v>
      </c>
      <c r="C21" s="10">
        <v>0.87867863039430649</v>
      </c>
      <c r="D21" s="10">
        <v>0.12909752379197201</v>
      </c>
      <c r="E21" s="10">
        <v>0.87090247620802796</v>
      </c>
      <c r="F21" s="10">
        <v>2.521374157347619E-28</v>
      </c>
      <c r="G21" s="10">
        <v>1</v>
      </c>
      <c r="H21" s="10">
        <v>0</v>
      </c>
      <c r="I21" s="10">
        <v>1</v>
      </c>
      <c r="J21" s="10">
        <v>0.99990686743660029</v>
      </c>
      <c r="K21" s="10">
        <v>1.2551204111500489E-4</v>
      </c>
      <c r="L21" s="10">
        <v>0.99988941182370716</v>
      </c>
      <c r="M21" s="10">
        <v>1.1058817629283019E-4</v>
      </c>
      <c r="N21" s="10">
        <v>1</v>
      </c>
      <c r="O21" s="10">
        <v>4.9411160066861492E-25</v>
      </c>
      <c r="P21" s="10">
        <v>1</v>
      </c>
      <c r="Q21" s="10">
        <v>1.268795996811758E-24</v>
      </c>
      <c r="R21" s="10">
        <v>1.885928027292221E-31</v>
      </c>
      <c r="S21" s="10">
        <v>1</v>
      </c>
      <c r="T21" s="10">
        <v>0</v>
      </c>
      <c r="U21" s="10">
        <v>1</v>
      </c>
      <c r="V21" s="10">
        <v>1</v>
      </c>
      <c r="W21" s="10">
        <v>7.7444877599609219E-61</v>
      </c>
      <c r="X21" s="10">
        <v>1</v>
      </c>
      <c r="Y21" s="10">
        <v>2.9381118074175331E-57</v>
      </c>
      <c r="Z21" s="10">
        <v>0.15443289176760841</v>
      </c>
      <c r="AA21" s="10">
        <v>0.86280388643582817</v>
      </c>
      <c r="AB21" s="10">
        <v>0.14564642380890641</v>
      </c>
      <c r="AC21" s="10">
        <v>0.85435357619109364</v>
      </c>
      <c r="AD21" s="10">
        <v>1.1598697554267099E-17</v>
      </c>
      <c r="AE21" s="10">
        <v>1</v>
      </c>
      <c r="AF21" s="10">
        <v>0</v>
      </c>
      <c r="AG21" s="10">
        <v>1</v>
      </c>
      <c r="AH21" s="10">
        <v>0.80697951600757256</v>
      </c>
      <c r="AI21" s="10">
        <v>0.21434594520575251</v>
      </c>
      <c r="AJ21" s="10">
        <v>0.79649198636431284</v>
      </c>
      <c r="AK21" s="10">
        <v>0.20350801363568721</v>
      </c>
      <c r="AL21" s="10">
        <v>0.42527252356759487</v>
      </c>
      <c r="AM21" s="10">
        <v>0.60403040402144836</v>
      </c>
      <c r="AN21" s="10">
        <v>0.41054879177597958</v>
      </c>
      <c r="AO21" s="10">
        <v>0.58945120822402042</v>
      </c>
      <c r="AP21" s="10">
        <v>1.8422099449169651E-48</v>
      </c>
      <c r="AQ21" s="10">
        <v>1</v>
      </c>
      <c r="AR21" s="10">
        <v>0</v>
      </c>
      <c r="AS21" s="10">
        <v>1</v>
      </c>
      <c r="AT21" s="10">
        <v>0.99999999999999523</v>
      </c>
      <c r="AU21" s="10">
        <v>7.1169296799530213E-15</v>
      </c>
      <c r="AV21" s="10">
        <v>0.99999999999999301</v>
      </c>
      <c r="AW21" s="10">
        <v>7.0174136617221408E-15</v>
      </c>
      <c r="AX21" s="10">
        <v>0.15443289176760841</v>
      </c>
      <c r="AY21" s="10">
        <v>0.86280388643582817</v>
      </c>
      <c r="AZ21" s="10">
        <v>0.14564642380890641</v>
      </c>
      <c r="BA21" s="10">
        <v>0.85435357619109364</v>
      </c>
      <c r="BB21" s="10">
        <v>2.663512752393369E-30</v>
      </c>
      <c r="BC21" s="10">
        <v>1</v>
      </c>
      <c r="BD21" s="10">
        <v>0</v>
      </c>
      <c r="BE21" s="10">
        <v>1</v>
      </c>
      <c r="BF21" s="10">
        <v>1</v>
      </c>
      <c r="BG21" s="10">
        <v>1.9654896879821679E-55</v>
      </c>
      <c r="BH21" s="10">
        <v>1</v>
      </c>
      <c r="BI21" s="10">
        <v>2.928129176771024E-54</v>
      </c>
      <c r="BJ21" s="10" t="s">
        <v>169</v>
      </c>
    </row>
    <row r="22" spans="1:62" x14ac:dyDescent="0.35">
      <c r="A22" s="10" t="s">
        <v>32</v>
      </c>
      <c r="B22" s="10">
        <v>1.07186411397128E-2</v>
      </c>
      <c r="C22" s="10">
        <v>0.99124236032330704</v>
      </c>
      <c r="D22" s="10">
        <v>9.727058132618871E-3</v>
      </c>
      <c r="E22" s="10">
        <v>0.99027294186738113</v>
      </c>
      <c r="F22" s="10">
        <v>2.0822370290439729E-66</v>
      </c>
      <c r="G22" s="10">
        <v>1</v>
      </c>
      <c r="H22" s="10">
        <v>0</v>
      </c>
      <c r="I22" s="10">
        <v>1</v>
      </c>
      <c r="J22" s="10">
        <v>1</v>
      </c>
      <c r="K22" s="10">
        <v>2.475632071390249E-24</v>
      </c>
      <c r="L22" s="10">
        <v>1</v>
      </c>
      <c r="M22" s="10">
        <v>5.9028902764989423E-24</v>
      </c>
      <c r="N22" s="10">
        <v>1</v>
      </c>
      <c r="O22" s="10">
        <v>1.6835630691730059E-48</v>
      </c>
      <c r="P22" s="10">
        <v>1</v>
      </c>
      <c r="Q22" s="10">
        <v>2.3595933187347531E-46</v>
      </c>
      <c r="R22" s="10">
        <v>1.869928608147261E-43</v>
      </c>
      <c r="S22" s="10">
        <v>1</v>
      </c>
      <c r="T22" s="10">
        <v>0</v>
      </c>
      <c r="U22" s="10">
        <v>1</v>
      </c>
      <c r="V22" s="10">
        <v>1</v>
      </c>
      <c r="W22" s="10">
        <v>9.3964645870206983E-120</v>
      </c>
      <c r="X22" s="10">
        <v>1</v>
      </c>
      <c r="Y22" s="10">
        <v>4.3523006055437188E-104</v>
      </c>
      <c r="Z22" s="10">
        <v>0.60403040402144836</v>
      </c>
      <c r="AA22" s="10">
        <v>0.42527252356759487</v>
      </c>
      <c r="AB22" s="10">
        <v>0.58945120822402042</v>
      </c>
      <c r="AC22" s="10">
        <v>0.41054879177597953</v>
      </c>
      <c r="AD22" s="10">
        <v>2.755242345259783E-38</v>
      </c>
      <c r="AE22" s="10">
        <v>1</v>
      </c>
      <c r="AF22" s="10">
        <v>0</v>
      </c>
      <c r="AG22" s="10">
        <v>1</v>
      </c>
      <c r="AH22" s="10">
        <v>0.99993127286383343</v>
      </c>
      <c r="AI22" s="10">
        <v>9.3132563399741616E-5</v>
      </c>
      <c r="AJ22" s="10">
        <v>0.99991801303050887</v>
      </c>
      <c r="AK22" s="10">
        <v>8.1986969491158737E-5</v>
      </c>
      <c r="AL22" s="10">
        <v>4.6298355537997774E-3</v>
      </c>
      <c r="AM22" s="10">
        <v>0.99629541745891781</v>
      </c>
      <c r="AN22" s="10">
        <v>4.1670722889086687E-3</v>
      </c>
      <c r="AO22" s="10">
        <v>0.99583292771109133</v>
      </c>
      <c r="AP22" s="10">
        <v>1.3191131187384769E-69</v>
      </c>
      <c r="AQ22" s="10">
        <v>1</v>
      </c>
      <c r="AR22" s="10">
        <v>0</v>
      </c>
      <c r="AS22" s="10">
        <v>1</v>
      </c>
      <c r="AT22" s="10">
        <v>1</v>
      </c>
      <c r="AU22" s="10">
        <v>1.74325485086769E-18</v>
      </c>
      <c r="AV22" s="10">
        <v>1</v>
      </c>
      <c r="AW22" s="10">
        <v>1.879041622314169E-18</v>
      </c>
      <c r="AX22" s="10">
        <v>0.99887778140824413</v>
      </c>
      <c r="AY22" s="10">
        <v>1.440259242764247E-3</v>
      </c>
      <c r="AZ22" s="10">
        <v>0.99871558423648865</v>
      </c>
      <c r="BA22" s="10">
        <v>1.284415763511356E-3</v>
      </c>
      <c r="BB22" s="10">
        <v>6.8299789291691108E-49</v>
      </c>
      <c r="BC22" s="10">
        <v>1</v>
      </c>
      <c r="BD22" s="10">
        <v>0</v>
      </c>
      <c r="BE22" s="10">
        <v>1</v>
      </c>
      <c r="BF22" s="10">
        <v>1</v>
      </c>
      <c r="BG22" s="10">
        <v>1.70699680684202E-134</v>
      </c>
      <c r="BH22" s="10">
        <v>1</v>
      </c>
      <c r="BI22" s="10">
        <v>2.4717574080639721E-126</v>
      </c>
      <c r="BJ22" s="10" t="s">
        <v>169</v>
      </c>
    </row>
    <row r="23" spans="1:62" x14ac:dyDescent="0.35">
      <c r="A23" s="10" t="s">
        <v>33</v>
      </c>
      <c r="B23" s="10">
        <v>7.773941077768152E-11</v>
      </c>
      <c r="C23" s="10">
        <v>0.99999999995303379</v>
      </c>
      <c r="D23" s="10">
        <v>7.414890923485018E-11</v>
      </c>
      <c r="E23" s="10">
        <v>0.99999999992585109</v>
      </c>
      <c r="F23" s="10">
        <v>3.402815753304427E-10</v>
      </c>
      <c r="G23" s="10">
        <v>0.99999999979075116</v>
      </c>
      <c r="H23" s="10">
        <v>3.1851921100667369E-10</v>
      </c>
      <c r="I23" s="10">
        <v>0.99999999968148079</v>
      </c>
      <c r="J23" s="10">
        <v>0.99999999999999645</v>
      </c>
      <c r="K23" s="10">
        <v>6.5633437089035283E-15</v>
      </c>
      <c r="L23" s="10">
        <v>0.99999999999999256</v>
      </c>
      <c r="M23" s="10">
        <v>7.4412160783291908E-15</v>
      </c>
      <c r="N23" s="10">
        <v>0.99999999999999989</v>
      </c>
      <c r="O23" s="10">
        <v>2.9804535640973499E-16</v>
      </c>
      <c r="P23" s="10">
        <v>0.99999999999999967</v>
      </c>
      <c r="Q23" s="10">
        <v>3.648972880327134E-16</v>
      </c>
      <c r="R23" s="10">
        <v>8.1561343068735734E-2</v>
      </c>
      <c r="S23" s="10">
        <v>0.92922855552128913</v>
      </c>
      <c r="T23" s="10">
        <v>7.6046316240789946E-2</v>
      </c>
      <c r="U23" s="10">
        <v>0.92395368375921005</v>
      </c>
      <c r="V23" s="10">
        <v>1</v>
      </c>
      <c r="W23" s="10">
        <v>1.161278070274943E-73</v>
      </c>
      <c r="X23" s="10">
        <v>1</v>
      </c>
      <c r="Y23" s="10">
        <v>3.3289287407251578E-68</v>
      </c>
      <c r="Z23" s="10">
        <v>0.9869488633312915</v>
      </c>
      <c r="AA23" s="10">
        <v>1.5809691752536308E-2</v>
      </c>
      <c r="AB23" s="10">
        <v>0.98559063337486219</v>
      </c>
      <c r="AC23" s="10">
        <v>1.440936662513778E-2</v>
      </c>
      <c r="AD23" s="10">
        <v>5.2515725500884958E-2</v>
      </c>
      <c r="AE23" s="10">
        <v>0.955092866564618</v>
      </c>
      <c r="AF23" s="10">
        <v>4.8627214219501669E-2</v>
      </c>
      <c r="AG23" s="10">
        <v>0.95137278578049833</v>
      </c>
      <c r="AH23" s="10">
        <v>0.99999999999654177</v>
      </c>
      <c r="AI23" s="10">
        <v>5.8967090318025666E-12</v>
      </c>
      <c r="AJ23" s="10">
        <v>0.99999999999415556</v>
      </c>
      <c r="AK23" s="10">
        <v>5.8444537816941723E-12</v>
      </c>
      <c r="AL23" s="10">
        <v>2.1930268365218381E-13</v>
      </c>
      <c r="AM23" s="10">
        <v>0.99999999999987599</v>
      </c>
      <c r="AN23" s="10">
        <v>2.3059332221464501E-13</v>
      </c>
      <c r="AO23" s="10">
        <v>0.99999999999976941</v>
      </c>
      <c r="AP23" s="10">
        <v>7.286550271003536E-16</v>
      </c>
      <c r="AQ23" s="10">
        <v>0.99999999999999956</v>
      </c>
      <c r="AR23" s="10">
        <v>7.7715611723760958E-16</v>
      </c>
      <c r="AS23" s="10">
        <v>0.99999999999999922</v>
      </c>
      <c r="AT23" s="10">
        <v>0.8134953038914281</v>
      </c>
      <c r="AU23" s="10">
        <v>0.2000745154932691</v>
      </c>
      <c r="AV23" s="10">
        <v>0.80678611743958184</v>
      </c>
      <c r="AW23" s="10">
        <v>0.19321388256041819</v>
      </c>
      <c r="AX23" s="10">
        <v>9.3132563399741616E-5</v>
      </c>
      <c r="AY23" s="10">
        <v>0.99993127286383343</v>
      </c>
      <c r="AZ23" s="10">
        <v>8.1986969491132378E-5</v>
      </c>
      <c r="BA23" s="10">
        <v>0.99991801303050887</v>
      </c>
      <c r="BB23" s="10">
        <v>0.46190782651296952</v>
      </c>
      <c r="BC23" s="10">
        <v>0.56331564741138507</v>
      </c>
      <c r="BD23" s="10">
        <v>0.44926626532927483</v>
      </c>
      <c r="BE23" s="10">
        <v>0.55073373467072517</v>
      </c>
      <c r="BF23" s="10">
        <v>1</v>
      </c>
      <c r="BG23" s="10">
        <v>7.9226059374360175E-39</v>
      </c>
      <c r="BH23" s="10">
        <v>1</v>
      </c>
      <c r="BI23" s="10">
        <v>2.4733134745600399E-38</v>
      </c>
      <c r="BJ23" s="10" t="s">
        <v>169</v>
      </c>
    </row>
    <row r="24" spans="1:62" x14ac:dyDescent="0.35">
      <c r="A24" s="10" t="s">
        <v>34</v>
      </c>
      <c r="B24" s="10">
        <v>1.122218591755879E-3</v>
      </c>
      <c r="C24" s="10">
        <v>0.99913027169606761</v>
      </c>
      <c r="D24" s="10">
        <v>9.9912835415094658E-4</v>
      </c>
      <c r="E24" s="10">
        <v>0.99900087164584905</v>
      </c>
      <c r="F24" s="10">
        <v>1.2551204111500489E-4</v>
      </c>
      <c r="G24" s="10">
        <v>0.99990686743660029</v>
      </c>
      <c r="H24" s="10">
        <v>1.105881762928362E-4</v>
      </c>
      <c r="I24" s="10">
        <v>0.99988941182370716</v>
      </c>
      <c r="J24" s="10">
        <v>1</v>
      </c>
      <c r="K24" s="10">
        <v>9.0838068553318904E-94</v>
      </c>
      <c r="L24" s="10">
        <v>1</v>
      </c>
      <c r="M24" s="10">
        <v>1.530496428375826E-84</v>
      </c>
      <c r="N24" s="10">
        <v>0.39596959597855169</v>
      </c>
      <c r="O24" s="10">
        <v>0.63275715045003333</v>
      </c>
      <c r="P24" s="10">
        <v>0.38151230027649652</v>
      </c>
      <c r="Q24" s="10">
        <v>0.61848769972350348</v>
      </c>
      <c r="R24" s="10">
        <v>1.109647746892832E-24</v>
      </c>
      <c r="S24" s="10">
        <v>1</v>
      </c>
      <c r="T24" s="10">
        <v>0</v>
      </c>
      <c r="U24" s="10">
        <v>1</v>
      </c>
      <c r="V24" s="10">
        <v>1</v>
      </c>
      <c r="W24" s="10">
        <v>4.6823633021019584E-97</v>
      </c>
      <c r="X24" s="10">
        <v>1</v>
      </c>
      <c r="Y24" s="10">
        <v>4.0916597394635436E-87</v>
      </c>
      <c r="Z24" s="10">
        <v>0.54500593559208865</v>
      </c>
      <c r="AA24" s="10">
        <v>0.4849696355118181</v>
      </c>
      <c r="AB24" s="10">
        <v>0.53004295338662577</v>
      </c>
      <c r="AC24" s="10">
        <v>0.46995704661337417</v>
      </c>
      <c r="AD24" s="10">
        <v>3.6900608683083041E-7</v>
      </c>
      <c r="AE24" s="10">
        <v>0.99999975106193439</v>
      </c>
      <c r="AF24" s="10">
        <v>3.263440049305899E-7</v>
      </c>
      <c r="AG24" s="10">
        <v>0.99999967365599507</v>
      </c>
      <c r="AH24" s="10">
        <v>1</v>
      </c>
      <c r="AI24" s="10">
        <v>6.8373850169727422E-98</v>
      </c>
      <c r="AJ24" s="10">
        <v>1</v>
      </c>
      <c r="AK24" s="10">
        <v>9.1730349864156186E-88</v>
      </c>
      <c r="AL24" s="10">
        <v>2.425141220284132E-6</v>
      </c>
      <c r="AM24" s="10">
        <v>0.99999831688327856</v>
      </c>
      <c r="AN24" s="10">
        <v>1.4810834696454829E-6</v>
      </c>
      <c r="AO24" s="10">
        <v>0.99999851891653035</v>
      </c>
      <c r="AP24" s="10">
        <v>1.6626457071959121E-9</v>
      </c>
      <c r="AQ24" s="10">
        <v>0.99999999887751323</v>
      </c>
      <c r="AR24" s="10">
        <v>1.5196309766096761E-9</v>
      </c>
      <c r="AS24" s="10">
        <v>0.99999999848036902</v>
      </c>
      <c r="AT24" s="10">
        <v>1</v>
      </c>
      <c r="AU24" s="10">
        <v>1.123871383459927E-128</v>
      </c>
      <c r="AV24" s="10">
        <v>1</v>
      </c>
      <c r="AW24" s="10">
        <v>3.031741789759942E-121</v>
      </c>
      <c r="AX24" s="10">
        <v>0.42527252356759487</v>
      </c>
      <c r="AY24" s="10">
        <v>0.60403040402144836</v>
      </c>
      <c r="AZ24" s="10">
        <v>0.41054879177597958</v>
      </c>
      <c r="BA24" s="10">
        <v>0.58945120822402042</v>
      </c>
      <c r="BB24" s="10">
        <v>7.2877092782711453E-12</v>
      </c>
      <c r="BC24" s="10">
        <v>0.99999999999533828</v>
      </c>
      <c r="BD24" s="10">
        <v>6.9804162450282092E-12</v>
      </c>
      <c r="BE24" s="10">
        <v>0.99999999999301958</v>
      </c>
      <c r="BF24" s="10">
        <v>1</v>
      </c>
      <c r="BG24" s="10">
        <v>2.7917726458317951E-199</v>
      </c>
      <c r="BH24" s="10">
        <v>1</v>
      </c>
      <c r="BI24" s="10">
        <v>1.372323577401037E-180</v>
      </c>
      <c r="BJ24" s="10" t="s">
        <v>169</v>
      </c>
    </row>
    <row r="25" spans="1:62" x14ac:dyDescent="0.35">
      <c r="A25" s="10" t="s">
        <v>35</v>
      </c>
      <c r="B25" s="10">
        <v>5.0438205584933382E-5</v>
      </c>
      <c r="C25" s="10">
        <v>0.99996318795309103</v>
      </c>
      <c r="D25" s="10">
        <v>4.4339291497941247E-5</v>
      </c>
      <c r="E25" s="10">
        <v>0.99995566070850206</v>
      </c>
      <c r="F25" s="10">
        <v>4.8695444035950358E-8</v>
      </c>
      <c r="G25" s="10">
        <v>0.99999996807690539</v>
      </c>
      <c r="H25" s="10">
        <v>4.3535463345456549E-8</v>
      </c>
      <c r="I25" s="10">
        <v>0.99999995646453665</v>
      </c>
      <c r="J25" s="10">
        <v>1</v>
      </c>
      <c r="K25" s="10">
        <v>2.7936919739005708E-109</v>
      </c>
      <c r="L25" s="10">
        <v>1</v>
      </c>
      <c r="M25" s="10">
        <v>1.9791814964788361E-96</v>
      </c>
      <c r="N25" s="10">
        <v>8.7576396766929094E-3</v>
      </c>
      <c r="O25" s="10">
        <v>0.99288163498380022</v>
      </c>
      <c r="P25" s="10">
        <v>7.9306663698865965E-3</v>
      </c>
      <c r="Q25" s="10">
        <v>0.9920693336301134</v>
      </c>
      <c r="R25" s="10">
        <v>2.475632071390249E-24</v>
      </c>
      <c r="S25" s="10">
        <v>1</v>
      </c>
      <c r="T25" s="10">
        <v>0</v>
      </c>
      <c r="U25" s="10">
        <v>1</v>
      </c>
      <c r="V25" s="10">
        <v>1</v>
      </c>
      <c r="W25" s="10">
        <v>7.5380420569438527E-116</v>
      </c>
      <c r="X25" s="10">
        <v>1</v>
      </c>
      <c r="Y25" s="10">
        <v>2.8696703607212171E-101</v>
      </c>
      <c r="Z25" s="10">
        <v>0.19302048399242741</v>
      </c>
      <c r="AA25" s="10">
        <v>0.82695748928708979</v>
      </c>
      <c r="AB25" s="10">
        <v>0.18285614814075599</v>
      </c>
      <c r="AC25" s="10">
        <v>0.81714385185924399</v>
      </c>
      <c r="AD25" s="10">
        <v>1.113695060809213E-7</v>
      </c>
      <c r="AE25" s="10">
        <v>0.99999992614603173</v>
      </c>
      <c r="AF25" s="10">
        <v>9.9071855386156926E-8</v>
      </c>
      <c r="AG25" s="10">
        <v>0.99999990092814461</v>
      </c>
      <c r="AH25" s="10">
        <v>1</v>
      </c>
      <c r="AI25" s="10">
        <v>7.854827192634082E-126</v>
      </c>
      <c r="AJ25" s="10">
        <v>1</v>
      </c>
      <c r="AK25" s="10">
        <v>1.146631201322754E-107</v>
      </c>
      <c r="AL25" s="10">
        <v>3.1923094571434119E-8</v>
      </c>
      <c r="AM25" s="10">
        <v>0.99999997919254269</v>
      </c>
      <c r="AN25" s="10">
        <v>1.87134486795415E-8</v>
      </c>
      <c r="AO25" s="10">
        <v>0.99999998128655132</v>
      </c>
      <c r="AP25" s="10">
        <v>5.2762133051328716E-25</v>
      </c>
      <c r="AQ25" s="10">
        <v>1</v>
      </c>
      <c r="AR25" s="10">
        <v>0</v>
      </c>
      <c r="AS25" s="10">
        <v>1</v>
      </c>
      <c r="AT25" s="10">
        <v>1</v>
      </c>
      <c r="AU25" s="10">
        <v>3.7661477165663621E-168</v>
      </c>
      <c r="AV25" s="10">
        <v>1</v>
      </c>
      <c r="AW25" s="10">
        <v>4.4655678932385023E-155</v>
      </c>
      <c r="AX25" s="10">
        <v>2.425141220284132E-6</v>
      </c>
      <c r="AY25" s="10">
        <v>0.99999831688327856</v>
      </c>
      <c r="AZ25" s="10">
        <v>2.1323387218163958E-6</v>
      </c>
      <c r="BA25" s="10">
        <v>0.99999786766127818</v>
      </c>
      <c r="BB25" s="10">
        <v>1.6109198685694349E-8</v>
      </c>
      <c r="BC25" s="10">
        <v>0.99999998885345598</v>
      </c>
      <c r="BD25" s="10">
        <v>1.453750020363742E-8</v>
      </c>
      <c r="BE25" s="10">
        <v>0.9999999854624998</v>
      </c>
      <c r="BF25" s="10">
        <v>1</v>
      </c>
      <c r="BG25" s="10">
        <v>5.546877269145285E-237</v>
      </c>
      <c r="BH25" s="10">
        <v>1</v>
      </c>
      <c r="BI25" s="10">
        <v>4.6789306225113673E-210</v>
      </c>
      <c r="BJ25" s="10" t="s">
        <v>169</v>
      </c>
    </row>
    <row r="26" spans="1:62" x14ac:dyDescent="0.35">
      <c r="A26" s="10" t="s">
        <v>36</v>
      </c>
      <c r="B26" s="10">
        <v>3.1923094571434119E-8</v>
      </c>
      <c r="C26" s="10">
        <v>0.99999997919254269</v>
      </c>
      <c r="D26" s="10">
        <v>1.87134486795415E-8</v>
      </c>
      <c r="E26" s="10">
        <v>0.99999998128655132</v>
      </c>
      <c r="F26" s="10">
        <v>0.99990686743660029</v>
      </c>
      <c r="G26" s="10">
        <v>1.2551204111500489E-4</v>
      </c>
      <c r="H26" s="10">
        <v>0.99988941182370716</v>
      </c>
      <c r="I26" s="10">
        <v>1.1058817629283019E-4</v>
      </c>
      <c r="J26" s="10">
        <v>0.99994956179441508</v>
      </c>
      <c r="K26" s="10">
        <v>6.8727136166595653E-5</v>
      </c>
      <c r="L26" s="10">
        <v>0.99993954399936102</v>
      </c>
      <c r="M26" s="10">
        <v>6.0456000639001708E-5</v>
      </c>
      <c r="N26" s="10">
        <v>6.7296703835153783E-13</v>
      </c>
      <c r="O26" s="10">
        <v>0.99999999999961464</v>
      </c>
      <c r="P26" s="10">
        <v>4.0079051188968151E-13</v>
      </c>
      <c r="Q26" s="10">
        <v>0.99999999999959921</v>
      </c>
      <c r="R26" s="10">
        <v>0.17304251071291021</v>
      </c>
      <c r="S26" s="10">
        <v>0.84556710823239156</v>
      </c>
      <c r="T26" s="10">
        <v>0.16356481161757741</v>
      </c>
      <c r="U26" s="10">
        <v>0.83643518838242259</v>
      </c>
      <c r="V26" s="10">
        <v>1</v>
      </c>
      <c r="W26" s="10">
        <v>1.208205309470976E-23</v>
      </c>
      <c r="X26" s="10">
        <v>1</v>
      </c>
      <c r="Y26" s="10">
        <v>2.6850976645161533E-23</v>
      </c>
      <c r="Z26" s="10">
        <v>0.68790182259992472</v>
      </c>
      <c r="AA26" s="10">
        <v>0.33924030681285811</v>
      </c>
      <c r="AB26" s="10">
        <v>0.67446168296108322</v>
      </c>
      <c r="AC26" s="10">
        <v>0.32553831703891678</v>
      </c>
      <c r="AD26" s="10">
        <v>1</v>
      </c>
      <c r="AE26" s="10">
        <v>1.2400197949969341E-71</v>
      </c>
      <c r="AF26" s="10">
        <v>1</v>
      </c>
      <c r="AG26" s="10">
        <v>1.6860665371692589E-66</v>
      </c>
      <c r="AH26" s="10">
        <v>1</v>
      </c>
      <c r="AI26" s="10">
        <v>5.947395794988822E-18</v>
      </c>
      <c r="AJ26" s="10">
        <v>1</v>
      </c>
      <c r="AK26" s="10">
        <v>1.5555326713803769E-17</v>
      </c>
      <c r="AL26" s="10">
        <v>7.7224614927399764E-19</v>
      </c>
      <c r="AM26" s="10">
        <v>1</v>
      </c>
      <c r="AN26" s="10">
        <v>0</v>
      </c>
      <c r="AO26" s="10">
        <v>1</v>
      </c>
      <c r="AP26" s="10">
        <v>3.3524102704564208E-3</v>
      </c>
      <c r="AQ26" s="10">
        <v>0.99724021028787635</v>
      </c>
      <c r="AR26" s="10">
        <v>3.0572247016473759E-3</v>
      </c>
      <c r="AS26" s="10">
        <v>0.99694277529835262</v>
      </c>
      <c r="AT26" s="10">
        <v>1</v>
      </c>
      <c r="AU26" s="10">
        <v>4.8712267595200452E-54</v>
      </c>
      <c r="AV26" s="10">
        <v>1</v>
      </c>
      <c r="AW26" s="10">
        <v>6.2140191762496605E-53</v>
      </c>
      <c r="AX26" s="14">
        <v>3.6900608683083041E-7</v>
      </c>
      <c r="AY26" s="10">
        <v>0.99999975106193439</v>
      </c>
      <c r="AZ26" s="10">
        <v>3.263440049305899E-7</v>
      </c>
      <c r="BA26" s="10">
        <v>0.99999967365599507</v>
      </c>
      <c r="BB26" s="10">
        <v>0.98090003849419005</v>
      </c>
      <c r="BC26" s="10">
        <v>2.227476070264894E-2</v>
      </c>
      <c r="BD26" s="10">
        <v>0.97933705908858992</v>
      </c>
      <c r="BE26" s="10">
        <v>2.066294091141007E-2</v>
      </c>
      <c r="BF26" s="10">
        <v>9.071853013336878E-2</v>
      </c>
      <c r="BG26" s="10">
        <v>0.91710320520539457</v>
      </c>
      <c r="BH26" s="10">
        <v>8.6751164197868436E-2</v>
      </c>
      <c r="BI26" s="10">
        <v>0.91324883580213156</v>
      </c>
      <c r="BJ26" s="10" t="s">
        <v>169</v>
      </c>
    </row>
    <row r="27" spans="1:62" x14ac:dyDescent="0.35">
      <c r="A27" s="6" t="s">
        <v>37</v>
      </c>
      <c r="B27" s="6">
        <v>2.0160533626992649E-12</v>
      </c>
      <c r="C27" s="6">
        <v>0.99999999999883171</v>
      </c>
      <c r="D27" s="6">
        <v>2.0345947149280619E-12</v>
      </c>
      <c r="E27" s="6">
        <v>0.99999999999796541</v>
      </c>
      <c r="F27" s="6">
        <v>3.6900608683083041E-7</v>
      </c>
      <c r="G27" s="6">
        <v>0.99999975106193439</v>
      </c>
      <c r="H27" s="6">
        <v>3.263440049305899E-7</v>
      </c>
      <c r="I27" s="6">
        <v>0.99999967365599507</v>
      </c>
      <c r="J27" s="6">
        <v>0.99288163498380022</v>
      </c>
      <c r="K27" s="6">
        <v>8.7576396766929094E-3</v>
      </c>
      <c r="L27" s="6">
        <v>0.99206933363011351</v>
      </c>
      <c r="M27" s="6">
        <v>7.9306663698864906E-3</v>
      </c>
      <c r="N27" s="14">
        <v>5.4870066049419023E-24</v>
      </c>
      <c r="O27" s="6">
        <v>1</v>
      </c>
      <c r="P27" s="6">
        <v>0</v>
      </c>
      <c r="Q27" s="6">
        <v>1</v>
      </c>
      <c r="R27" s="6">
        <v>1.6698232803194559E-7</v>
      </c>
      <c r="S27" s="6">
        <v>0.99999988863049394</v>
      </c>
      <c r="T27" s="6">
        <v>1.4822276928061479E-7</v>
      </c>
      <c r="U27" s="6">
        <v>0.99999985177723072</v>
      </c>
      <c r="V27" s="6">
        <v>0.99913027169606761</v>
      </c>
      <c r="W27" s="6">
        <v>1.122218591755879E-3</v>
      </c>
      <c r="X27" s="6">
        <v>0.99900087164584905</v>
      </c>
      <c r="Y27" s="6">
        <v>9.9912835415090127E-4</v>
      </c>
      <c r="Z27" s="6">
        <v>1.161548776651688E-6</v>
      </c>
      <c r="AA27" s="6">
        <v>0.99999920292038957</v>
      </c>
      <c r="AB27" s="6">
        <v>1.023117284004726E-6</v>
      </c>
      <c r="AC27" s="6">
        <v>0.999998976882716</v>
      </c>
      <c r="AD27" s="6">
        <v>0.99999999987208177</v>
      </c>
      <c r="AE27" s="6">
        <v>2.0924884743097259E-10</v>
      </c>
      <c r="AF27" s="6">
        <v>0.99999999980296728</v>
      </c>
      <c r="AG27" s="6">
        <v>1.9703275787215481E-10</v>
      </c>
      <c r="AH27" s="6">
        <v>7.773941077768152E-11</v>
      </c>
      <c r="AI27" s="6">
        <v>0.99999999995303379</v>
      </c>
      <c r="AJ27" s="6">
        <v>7.414890923485018E-11</v>
      </c>
      <c r="AK27" s="6">
        <v>0.99999999992585109</v>
      </c>
      <c r="AL27" s="6">
        <v>5.727499916965907E-43</v>
      </c>
      <c r="AM27" s="6">
        <v>1</v>
      </c>
      <c r="AN27" s="6">
        <v>0</v>
      </c>
      <c r="AO27" s="6">
        <v>1</v>
      </c>
      <c r="AP27" s="6">
        <v>1.2258019592729719E-50</v>
      </c>
      <c r="AQ27" s="6">
        <v>1</v>
      </c>
      <c r="AR27" s="6">
        <v>0</v>
      </c>
      <c r="AS27" s="6">
        <v>1</v>
      </c>
      <c r="AT27" s="6">
        <v>1</v>
      </c>
      <c r="AU27" s="6">
        <v>1.6632149456940519E-24</v>
      </c>
      <c r="AV27" s="6">
        <v>1</v>
      </c>
      <c r="AW27" s="6">
        <v>2.2255828756059409E-24</v>
      </c>
      <c r="AX27" s="14">
        <v>3.458226107812958E-12</v>
      </c>
      <c r="AY27" s="6">
        <v>0.99999999999798395</v>
      </c>
      <c r="AZ27" s="6">
        <v>3.457900632497513E-12</v>
      </c>
      <c r="BA27" s="6">
        <v>0.9999999999965421</v>
      </c>
      <c r="BB27" s="6">
        <v>2.52750375704995E-77</v>
      </c>
      <c r="BC27" s="6">
        <v>1</v>
      </c>
      <c r="BD27" s="6">
        <v>0</v>
      </c>
      <c r="BE27" s="6">
        <v>1</v>
      </c>
      <c r="BF27" s="6">
        <v>1</v>
      </c>
      <c r="BG27" s="6">
        <v>2.3098351599313541E-47</v>
      </c>
      <c r="BH27" s="6">
        <v>1</v>
      </c>
      <c r="BI27" s="6">
        <v>1.4896331126978289E-46</v>
      </c>
      <c r="BJ27" s="6" t="s">
        <v>191</v>
      </c>
    </row>
    <row r="28" spans="1:62" x14ac:dyDescent="0.35">
      <c r="A28" s="6" t="s">
        <v>38</v>
      </c>
      <c r="B28" s="6">
        <v>7.3853968232725039E-8</v>
      </c>
      <c r="C28" s="6">
        <v>0.99999995130455599</v>
      </c>
      <c r="D28" s="6">
        <v>6.5855741970821668E-8</v>
      </c>
      <c r="E28" s="6">
        <v>0.99999993414425803</v>
      </c>
      <c r="F28" s="6">
        <v>1.948076402871339E-44</v>
      </c>
      <c r="G28" s="6">
        <v>1</v>
      </c>
      <c r="H28" s="6">
        <v>0</v>
      </c>
      <c r="I28" s="6">
        <v>1</v>
      </c>
      <c r="J28" s="6">
        <v>0.68790182259992472</v>
      </c>
      <c r="K28" s="6">
        <v>0.33924030681285811</v>
      </c>
      <c r="L28" s="6">
        <v>0.67446168296108322</v>
      </c>
      <c r="M28" s="6">
        <v>0.32553831703891678</v>
      </c>
      <c r="N28" s="6">
        <v>5.5012734621003682E-10</v>
      </c>
      <c r="O28" s="6">
        <v>0.99999999965971842</v>
      </c>
      <c r="P28" s="6">
        <v>5.1206083817589843E-10</v>
      </c>
      <c r="Q28" s="6">
        <v>0.99999999948793916</v>
      </c>
      <c r="R28" s="6">
        <v>9.9948438318163314E-12</v>
      </c>
      <c r="S28" s="6">
        <v>0.99999999999410327</v>
      </c>
      <c r="T28" s="6">
        <v>9.8231422995809226E-12</v>
      </c>
      <c r="U28" s="6">
        <v>0.99999999999017686</v>
      </c>
      <c r="V28" s="6">
        <v>0.9676470434726987</v>
      </c>
      <c r="W28" s="6">
        <v>3.8211572417738697E-2</v>
      </c>
      <c r="X28" s="6">
        <v>0.96477978536395614</v>
      </c>
      <c r="Y28" s="6">
        <v>3.5220214636043863E-2</v>
      </c>
      <c r="Z28" s="6">
        <v>0.96178842758226124</v>
      </c>
      <c r="AA28" s="6">
        <v>4.4907133435382003E-2</v>
      </c>
      <c r="AB28" s="6">
        <v>0.9585134696377936</v>
      </c>
      <c r="AC28" s="6">
        <v>4.1486530362206432E-2</v>
      </c>
      <c r="AD28" s="6">
        <v>3.1923094571434119E-8</v>
      </c>
      <c r="AE28" s="6">
        <v>0.99999997919254269</v>
      </c>
      <c r="AF28" s="6">
        <v>2.8621812142581859E-8</v>
      </c>
      <c r="AG28" s="6">
        <v>0.99999997137818786</v>
      </c>
      <c r="AH28" s="6">
        <v>1.918859589311014E-19</v>
      </c>
      <c r="AI28" s="6">
        <v>1</v>
      </c>
      <c r="AJ28" s="6">
        <v>0</v>
      </c>
      <c r="AK28" s="6">
        <v>1</v>
      </c>
      <c r="AL28" s="14">
        <v>3.0901002623633379E-52</v>
      </c>
      <c r="AM28" s="6">
        <v>1</v>
      </c>
      <c r="AN28" s="6">
        <v>0</v>
      </c>
      <c r="AO28" s="6">
        <v>1</v>
      </c>
      <c r="AP28" s="6">
        <v>2.1401550114812449E-64</v>
      </c>
      <c r="AQ28" s="6">
        <v>1</v>
      </c>
      <c r="AR28" s="6">
        <v>0</v>
      </c>
      <c r="AS28" s="6">
        <v>1</v>
      </c>
      <c r="AT28" s="14">
        <v>6.4707186971981602E-18</v>
      </c>
      <c r="AU28" s="6">
        <v>1</v>
      </c>
      <c r="AV28" s="6">
        <v>0</v>
      </c>
      <c r="AW28" s="6">
        <v>1</v>
      </c>
      <c r="AX28" s="6">
        <v>0.99999011925657677</v>
      </c>
      <c r="AY28" s="6">
        <v>1.3842638494642849E-5</v>
      </c>
      <c r="AZ28" s="6">
        <v>0.99998784751965264</v>
      </c>
      <c r="BA28" s="6">
        <v>1.2152480347389529E-5</v>
      </c>
      <c r="BB28" s="6">
        <v>7.1662152374805404E-53</v>
      </c>
      <c r="BC28" s="6">
        <v>1</v>
      </c>
      <c r="BD28" s="6">
        <v>0</v>
      </c>
      <c r="BE28" s="6">
        <v>1</v>
      </c>
      <c r="BF28" s="6">
        <v>0.94338866991246606</v>
      </c>
      <c r="BG28" s="6">
        <v>6.246997641291837E-2</v>
      </c>
      <c r="BH28" s="6">
        <v>0.9405023799754072</v>
      </c>
      <c r="BI28" s="6">
        <v>5.9497620024592787E-2</v>
      </c>
      <c r="BJ28" s="6" t="s">
        <v>191</v>
      </c>
    </row>
    <row r="29" spans="1:62" x14ac:dyDescent="0.35">
      <c r="A29" s="6" t="s">
        <v>39</v>
      </c>
      <c r="B29" s="6">
        <v>0.90645347017408007</v>
      </c>
      <c r="C29" s="6">
        <v>0.1067839002741523</v>
      </c>
      <c r="D29" s="6">
        <v>0.89997747274533557</v>
      </c>
      <c r="E29" s="6">
        <v>0.1000225272546645</v>
      </c>
      <c r="F29" s="6">
        <v>5.285215232807774E-21</v>
      </c>
      <c r="G29" s="6">
        <v>1</v>
      </c>
      <c r="H29" s="6">
        <v>0</v>
      </c>
      <c r="I29" s="6">
        <v>1</v>
      </c>
      <c r="J29" s="6">
        <v>9.6049905137288658E-26</v>
      </c>
      <c r="K29" s="6">
        <v>1</v>
      </c>
      <c r="L29" s="6">
        <v>0</v>
      </c>
      <c r="M29" s="6">
        <v>1</v>
      </c>
      <c r="N29" s="6">
        <v>5.140143795173258E-4</v>
      </c>
      <c r="O29" s="6">
        <v>0.99960803532611964</v>
      </c>
      <c r="P29" s="6">
        <v>4.555594385768913E-4</v>
      </c>
      <c r="Q29" s="6">
        <v>0.99954444056142311</v>
      </c>
      <c r="R29" s="6">
        <v>0.99999652535152628</v>
      </c>
      <c r="S29" s="6">
        <v>4.9504061134201882E-6</v>
      </c>
      <c r="T29" s="6">
        <v>0.999995652027029</v>
      </c>
      <c r="U29" s="6">
        <v>4.3479729710524754E-6</v>
      </c>
      <c r="V29" s="6">
        <v>0.39596959597855169</v>
      </c>
      <c r="W29" s="6">
        <v>0.63275715045003333</v>
      </c>
      <c r="X29" s="6">
        <v>0.38151230027649652</v>
      </c>
      <c r="Y29" s="6">
        <v>0.61848769972350348</v>
      </c>
      <c r="Z29" s="6">
        <v>0.99999995130455599</v>
      </c>
      <c r="AA29" s="6">
        <v>7.3853968232725039E-8</v>
      </c>
      <c r="AB29" s="6">
        <v>0.99999993414425803</v>
      </c>
      <c r="AC29" s="6">
        <v>6.5855741945611969E-8</v>
      </c>
      <c r="AD29" s="6">
        <v>1</v>
      </c>
      <c r="AE29" s="6">
        <v>7.7224614927399764E-19</v>
      </c>
      <c r="AF29" s="6">
        <v>1</v>
      </c>
      <c r="AG29" s="6">
        <v>1.126702200502399E-18</v>
      </c>
      <c r="AH29" s="6">
        <v>8.6880052469512098E-9</v>
      </c>
      <c r="AI29" s="6">
        <v>0.99999999443458498</v>
      </c>
      <c r="AJ29" s="6">
        <v>7.8680845172485192E-9</v>
      </c>
      <c r="AK29" s="6">
        <v>0.99999999213191548</v>
      </c>
      <c r="AL29" s="6">
        <v>6.0128866720584896E-28</v>
      </c>
      <c r="AM29" s="6">
        <v>1</v>
      </c>
      <c r="AN29" s="6">
        <v>0</v>
      </c>
      <c r="AO29" s="6">
        <v>1</v>
      </c>
      <c r="AP29" s="6">
        <v>2.389623171187224E-84</v>
      </c>
      <c r="AQ29" s="6">
        <v>1</v>
      </c>
      <c r="AR29" s="6">
        <v>0</v>
      </c>
      <c r="AS29" s="6">
        <v>1</v>
      </c>
      <c r="AT29" s="6">
        <v>3.010788026116728E-5</v>
      </c>
      <c r="AU29" s="6">
        <v>0.99997562887262159</v>
      </c>
      <c r="AV29" s="6">
        <v>2.2218693061293319E-5</v>
      </c>
      <c r="AW29" s="6">
        <v>0.99997778130693871</v>
      </c>
      <c r="AX29" s="6">
        <v>0.99999999999961464</v>
      </c>
      <c r="AY29" s="6">
        <v>6.7296703835153783E-13</v>
      </c>
      <c r="AZ29" s="6">
        <v>0.99999999999930733</v>
      </c>
      <c r="BA29" s="6">
        <v>6.9263282631854555E-13</v>
      </c>
      <c r="BB29" s="6">
        <v>8.1080101929464927E-36</v>
      </c>
      <c r="BC29" s="6">
        <v>1</v>
      </c>
      <c r="BD29" s="6">
        <v>0</v>
      </c>
      <c r="BE29" s="6">
        <v>1</v>
      </c>
      <c r="BF29" s="6">
        <v>1</v>
      </c>
      <c r="BG29" s="6">
        <v>9.4884139279205565E-28</v>
      </c>
      <c r="BH29" s="6">
        <v>1</v>
      </c>
      <c r="BI29" s="6">
        <v>1.476694652840019E-27</v>
      </c>
      <c r="BJ29" s="6" t="s">
        <v>191</v>
      </c>
    </row>
    <row r="30" spans="1:62" x14ac:dyDescent="0.35">
      <c r="A30" s="6" t="s">
        <v>40</v>
      </c>
      <c r="B30" s="6">
        <v>7.0562677454433879E-58</v>
      </c>
      <c r="C30" s="6">
        <v>1</v>
      </c>
      <c r="D30" s="6">
        <v>0</v>
      </c>
      <c r="E30" s="6">
        <v>1</v>
      </c>
      <c r="F30" s="6">
        <v>9.2972515938927735E-123</v>
      </c>
      <c r="G30" s="6">
        <v>1</v>
      </c>
      <c r="H30" s="6">
        <v>0</v>
      </c>
      <c r="I30" s="6">
        <v>1</v>
      </c>
      <c r="J30" s="6">
        <v>1</v>
      </c>
      <c r="K30" s="6">
        <v>1.9276980083773721E-46</v>
      </c>
      <c r="L30" s="6">
        <v>1</v>
      </c>
      <c r="M30" s="6">
        <v>1.6896140808242419E-44</v>
      </c>
      <c r="N30" s="6">
        <v>9.4747657568744627E-20</v>
      </c>
      <c r="O30" s="6">
        <v>1</v>
      </c>
      <c r="P30" s="6">
        <v>0</v>
      </c>
      <c r="Q30" s="6">
        <v>1</v>
      </c>
      <c r="R30" s="6">
        <v>9.2972515938927735E-123</v>
      </c>
      <c r="S30" s="6">
        <v>1</v>
      </c>
      <c r="T30" s="6">
        <v>0</v>
      </c>
      <c r="U30" s="6">
        <v>1</v>
      </c>
      <c r="V30" s="6">
        <v>1</v>
      </c>
      <c r="W30" s="6">
        <v>7.7444877599609219E-61</v>
      </c>
      <c r="X30" s="6">
        <v>1</v>
      </c>
      <c r="Y30" s="6">
        <v>2.9381118074175331E-57</v>
      </c>
      <c r="Z30" s="14">
        <v>9.9948438318163314E-12</v>
      </c>
      <c r="AA30" s="6">
        <v>0.99999999999410327</v>
      </c>
      <c r="AB30" s="6">
        <v>9.8231422995809226E-12</v>
      </c>
      <c r="AC30" s="6">
        <v>0.99999999999017686</v>
      </c>
      <c r="AD30" s="14">
        <v>6.1834499551240674E-46</v>
      </c>
      <c r="AE30" s="6">
        <v>1</v>
      </c>
      <c r="AF30" s="6">
        <v>0</v>
      </c>
      <c r="AG30" s="6">
        <v>1</v>
      </c>
      <c r="AH30" s="6">
        <v>1</v>
      </c>
      <c r="AI30" s="6">
        <v>7.0562677454433879E-58</v>
      </c>
      <c r="AJ30" s="6">
        <v>1</v>
      </c>
      <c r="AK30" s="6">
        <v>1.124230567259635E-54</v>
      </c>
      <c r="AL30" s="6">
        <v>6.0586569339323469E-44</v>
      </c>
      <c r="AM30" s="6">
        <v>1</v>
      </c>
      <c r="AN30" s="6">
        <v>0</v>
      </c>
      <c r="AO30" s="6">
        <v>1</v>
      </c>
      <c r="AP30" s="14">
        <v>7.7727522562061908E-227</v>
      </c>
      <c r="AQ30" s="6">
        <v>1</v>
      </c>
      <c r="AR30" s="6">
        <v>0</v>
      </c>
      <c r="AS30" s="6">
        <v>1</v>
      </c>
      <c r="AT30" s="6">
        <v>1</v>
      </c>
      <c r="AU30" s="6">
        <v>8.85319379897486E-232</v>
      </c>
      <c r="AV30" s="6">
        <v>1</v>
      </c>
      <c r="AW30" s="6">
        <v>4.3774748977971711E-206</v>
      </c>
      <c r="AX30" s="6">
        <v>1.050152150140678E-28</v>
      </c>
      <c r="AY30" s="6">
        <v>1</v>
      </c>
      <c r="AZ30" s="6">
        <v>0</v>
      </c>
      <c r="BA30" s="6">
        <v>1</v>
      </c>
      <c r="BB30" s="14">
        <v>4.9015667887445609E-211</v>
      </c>
      <c r="BC30" s="6">
        <v>1</v>
      </c>
      <c r="BD30" s="6">
        <v>0</v>
      </c>
      <c r="BE30" s="6">
        <v>1</v>
      </c>
      <c r="BF30" s="6">
        <v>1</v>
      </c>
      <c r="BG30" s="6">
        <v>1.268833379947076E-295</v>
      </c>
      <c r="BH30" s="6">
        <v>1</v>
      </c>
      <c r="BI30" s="6">
        <v>1.3359873920040811E-252</v>
      </c>
      <c r="BJ30" s="6" t="s">
        <v>191</v>
      </c>
    </row>
    <row r="31" spans="1:62" x14ac:dyDescent="0.35">
      <c r="A31" s="6" t="s">
        <v>41</v>
      </c>
      <c r="B31" s="6">
        <v>1</v>
      </c>
      <c r="C31" s="6">
        <v>6.5456300674276173E-83</v>
      </c>
      <c r="D31" s="6">
        <v>1</v>
      </c>
      <c r="E31" s="6">
        <v>3.0383797633722828E-75</v>
      </c>
      <c r="F31" s="6">
        <v>3.1923094571434119E-8</v>
      </c>
      <c r="G31" s="6">
        <v>0.99999997919254269</v>
      </c>
      <c r="H31" s="6">
        <v>1.87134486795415E-8</v>
      </c>
      <c r="I31" s="6">
        <v>0.99999998128655132</v>
      </c>
      <c r="J31" s="6">
        <v>1</v>
      </c>
      <c r="K31" s="6">
        <v>8.1621766870248294E-117</v>
      </c>
      <c r="L31" s="6">
        <v>1</v>
      </c>
      <c r="M31" s="6">
        <v>5.7114603626378763E-102</v>
      </c>
      <c r="N31" s="6">
        <v>1</v>
      </c>
      <c r="O31" s="6">
        <v>5.0459623456448502E-49</v>
      </c>
      <c r="P31" s="6">
        <v>1</v>
      </c>
      <c r="Q31" s="6">
        <v>7.9976142288709913E-47</v>
      </c>
      <c r="R31" s="6">
        <v>0.8932160997258477</v>
      </c>
      <c r="S31" s="6">
        <v>0.12132136960569349</v>
      </c>
      <c r="T31" s="6">
        <v>0.88610000300588521</v>
      </c>
      <c r="U31" s="6">
        <v>0.1138999969941147</v>
      </c>
      <c r="V31" s="6">
        <v>0.99999999979075116</v>
      </c>
      <c r="W31" s="6">
        <v>3.402815753304427E-10</v>
      </c>
      <c r="X31" s="6">
        <v>0.99999999968148079</v>
      </c>
      <c r="Y31" s="6">
        <v>3.1851926549481152E-10</v>
      </c>
      <c r="Z31" s="6">
        <v>1</v>
      </c>
      <c r="AA31" s="6">
        <v>4.6823633021019584E-97</v>
      </c>
      <c r="AB31" s="6">
        <v>1</v>
      </c>
      <c r="AC31" s="6">
        <v>4.0916597394635436E-87</v>
      </c>
      <c r="AD31" s="6">
        <v>0.12132136960569349</v>
      </c>
      <c r="AE31" s="6">
        <v>0.8932160997258477</v>
      </c>
      <c r="AF31" s="6">
        <v>0.11389999699411479</v>
      </c>
      <c r="AG31" s="6">
        <v>0.88610000300588521</v>
      </c>
      <c r="AH31" s="6">
        <v>0.99999999999999944</v>
      </c>
      <c r="AI31" s="6">
        <v>1.045738419167208E-15</v>
      </c>
      <c r="AJ31" s="6">
        <v>0.99999999999999878</v>
      </c>
      <c r="AK31" s="6">
        <v>1.239520982587429E-15</v>
      </c>
      <c r="AL31" s="6">
        <v>1</v>
      </c>
      <c r="AM31" s="6">
        <v>4.7432684194368774E-59</v>
      </c>
      <c r="AN31" s="6">
        <v>1</v>
      </c>
      <c r="AO31" s="6">
        <v>1.0595317956978339E-55</v>
      </c>
      <c r="AP31" s="6">
        <v>1.2130013816408511E-4</v>
      </c>
      <c r="AQ31" s="6">
        <v>0.999905739961375</v>
      </c>
      <c r="AR31" s="6">
        <v>1.086760108722773E-4</v>
      </c>
      <c r="AS31" s="6">
        <v>0.99989132398912772</v>
      </c>
      <c r="AT31" s="6">
        <v>1</v>
      </c>
      <c r="AU31" s="6">
        <v>4.8599320732755721E-211</v>
      </c>
      <c r="AV31" s="6">
        <v>1</v>
      </c>
      <c r="AW31" s="6">
        <v>5.9649069332300377E-190</v>
      </c>
      <c r="AX31" s="6">
        <v>1</v>
      </c>
      <c r="AY31" s="6">
        <v>3.2323281818118338E-88</v>
      </c>
      <c r="AZ31" s="6">
        <v>1</v>
      </c>
      <c r="BA31" s="6">
        <v>3.9148224172437311E-80</v>
      </c>
      <c r="BB31" s="6">
        <v>3.4541688526487142E-15</v>
      </c>
      <c r="BC31" s="6">
        <v>0.99999999999999789</v>
      </c>
      <c r="BD31" s="6">
        <v>3.6637359812630174E-15</v>
      </c>
      <c r="BE31" s="6">
        <v>0.99999999999999634</v>
      </c>
      <c r="BF31" s="6">
        <v>1</v>
      </c>
      <c r="BG31" s="6">
        <v>1.420790867799667E-261</v>
      </c>
      <c r="BH31" s="6">
        <v>1</v>
      </c>
      <c r="BI31" s="6">
        <v>2.1225668083500131E-228</v>
      </c>
      <c r="BJ31" s="6" t="s">
        <v>191</v>
      </c>
    </row>
    <row r="32" spans="1:62" x14ac:dyDescent="0.35">
      <c r="A32" s="6" t="s">
        <v>42</v>
      </c>
      <c r="B32" s="6">
        <v>1</v>
      </c>
      <c r="C32" s="6">
        <v>2.6395519188984468E-72</v>
      </c>
      <c r="D32" s="6">
        <v>1</v>
      </c>
      <c r="E32" s="6">
        <v>4.5829395087811819E-67</v>
      </c>
      <c r="F32" s="6">
        <v>0.91843865693126425</v>
      </c>
      <c r="G32" s="6">
        <v>9.3546529825919919E-2</v>
      </c>
      <c r="H32" s="6">
        <v>0.91257778319479266</v>
      </c>
      <c r="I32" s="6">
        <v>8.7422216805207342E-2</v>
      </c>
      <c r="J32" s="6">
        <v>1</v>
      </c>
      <c r="K32" s="6">
        <v>4.6843790067146826E-112</v>
      </c>
      <c r="L32" s="6">
        <v>1</v>
      </c>
      <c r="M32" s="6">
        <v>1.72802281154232E-98</v>
      </c>
      <c r="N32" s="6">
        <v>1</v>
      </c>
      <c r="O32" s="6">
        <v>5.6723166494676379E-22</v>
      </c>
      <c r="P32" s="6">
        <v>1</v>
      </c>
      <c r="Q32" s="6">
        <v>1.07384054722145E-21</v>
      </c>
      <c r="R32" s="6">
        <v>0.99993127286383343</v>
      </c>
      <c r="S32" s="6">
        <v>9.3132563399741616E-5</v>
      </c>
      <c r="T32" s="6">
        <v>0.99991801303050887</v>
      </c>
      <c r="U32" s="6">
        <v>8.1986969491158737E-5</v>
      </c>
      <c r="V32" s="6">
        <v>1</v>
      </c>
      <c r="W32" s="6">
        <v>1.188322486554911E-30</v>
      </c>
      <c r="X32" s="6">
        <v>1</v>
      </c>
      <c r="Y32" s="6">
        <v>6.0805281908208537E-30</v>
      </c>
      <c r="Z32" s="6">
        <v>1</v>
      </c>
      <c r="AA32" s="6">
        <v>2.475632071390249E-24</v>
      </c>
      <c r="AB32" s="6">
        <v>1</v>
      </c>
      <c r="AC32" s="6">
        <v>5.9028902764989423E-24</v>
      </c>
      <c r="AD32" s="6">
        <v>5.2515725500884958E-2</v>
      </c>
      <c r="AE32" s="6">
        <v>0.955092866564618</v>
      </c>
      <c r="AF32" s="6">
        <v>4.8627214219501669E-2</v>
      </c>
      <c r="AG32" s="6">
        <v>0.95137278578049833</v>
      </c>
      <c r="AH32" s="6">
        <v>1</v>
      </c>
      <c r="AI32" s="6">
        <v>6.8171275703417015E-64</v>
      </c>
      <c r="AJ32" s="6">
        <v>1</v>
      </c>
      <c r="AK32" s="6">
        <v>6.6654584147196171E-60</v>
      </c>
      <c r="AL32" s="6">
        <v>1</v>
      </c>
      <c r="AM32" s="6">
        <v>5.0459623456448502E-49</v>
      </c>
      <c r="AN32" s="6">
        <v>1</v>
      </c>
      <c r="AO32" s="6">
        <v>7.9976142288709913E-47</v>
      </c>
      <c r="AP32" s="6">
        <v>0.99997481691893608</v>
      </c>
      <c r="AQ32" s="6">
        <v>3.3049857869967827E-5</v>
      </c>
      <c r="AR32" s="6">
        <v>0.99997049477781885</v>
      </c>
      <c r="AS32" s="6">
        <v>2.950522218112095E-5</v>
      </c>
      <c r="AT32" s="6">
        <v>1</v>
      </c>
      <c r="AU32" s="6">
        <v>3.7339442385162298E-253</v>
      </c>
      <c r="AV32" s="6">
        <v>1</v>
      </c>
      <c r="AW32" s="6">
        <v>3.3679969069249313E-222</v>
      </c>
      <c r="AX32" s="6">
        <v>1</v>
      </c>
      <c r="AY32" s="6">
        <v>1.9276980083773721E-46</v>
      </c>
      <c r="AZ32" s="6">
        <v>1</v>
      </c>
      <c r="BA32" s="6">
        <v>1.6896140808242419E-44</v>
      </c>
      <c r="BB32" s="6">
        <v>5.1969834598291027E-2</v>
      </c>
      <c r="BC32" s="6">
        <v>0.95447107825781818</v>
      </c>
      <c r="BD32" s="6">
        <v>4.8689072050409288E-2</v>
      </c>
      <c r="BE32" s="6">
        <v>0.95131092794959071</v>
      </c>
      <c r="BF32" s="6">
        <v>1</v>
      </c>
      <c r="BG32" s="6">
        <v>8.020482411746195E-226</v>
      </c>
      <c r="BH32" s="6">
        <v>1</v>
      </c>
      <c r="BI32" s="6">
        <v>1.6818822728205709E-201</v>
      </c>
      <c r="BJ32" s="6" t="s">
        <v>191</v>
      </c>
    </row>
    <row r="33" spans="1:62" x14ac:dyDescent="0.35">
      <c r="A33" s="6" t="s">
        <v>43</v>
      </c>
      <c r="B33" s="6">
        <v>1</v>
      </c>
      <c r="C33" s="6">
        <v>2.755242345259783E-38</v>
      </c>
      <c r="D33" s="6">
        <v>1</v>
      </c>
      <c r="E33" s="6">
        <v>1.2275805840685049E-36</v>
      </c>
      <c r="F33" s="6">
        <v>7.1183650161997609E-3</v>
      </c>
      <c r="G33" s="6">
        <v>0.99424414898732705</v>
      </c>
      <c r="H33" s="6">
        <v>6.432790647278086E-3</v>
      </c>
      <c r="I33" s="6">
        <v>0.99356720935272191</v>
      </c>
      <c r="J33" s="6">
        <v>1</v>
      </c>
      <c r="K33" s="6">
        <v>1.043564636923742E-80</v>
      </c>
      <c r="L33" s="6">
        <v>1</v>
      </c>
      <c r="M33" s="6">
        <v>4.7920336003613243E-74</v>
      </c>
      <c r="N33" s="6">
        <v>0.99999831688327856</v>
      </c>
      <c r="O33" s="6">
        <v>2.425141220284132E-6</v>
      </c>
      <c r="P33" s="6">
        <v>0.99999786766127818</v>
      </c>
      <c r="Q33" s="6">
        <v>2.1323387218256759E-6</v>
      </c>
      <c r="R33" s="6">
        <v>0.99999996807690539</v>
      </c>
      <c r="S33" s="6">
        <v>4.8695444035950358E-8</v>
      </c>
      <c r="T33" s="6">
        <v>0.99999995646453665</v>
      </c>
      <c r="U33" s="6">
        <v>4.3535463367751409E-8</v>
      </c>
      <c r="V33" s="6">
        <v>1</v>
      </c>
      <c r="W33" s="6">
        <v>2.6866680931156952E-57</v>
      </c>
      <c r="X33" s="6">
        <v>1</v>
      </c>
      <c r="Y33" s="6">
        <v>3.6311120320489423E-54</v>
      </c>
      <c r="Z33" s="6">
        <v>1</v>
      </c>
      <c r="AA33" s="6">
        <v>4.586218185315306E-36</v>
      </c>
      <c r="AB33" s="6">
        <v>1</v>
      </c>
      <c r="AC33" s="6">
        <v>5.3462741507641787E-35</v>
      </c>
      <c r="AD33" s="6">
        <v>0.99999011925657677</v>
      </c>
      <c r="AE33" s="6">
        <v>1.3842638494642849E-5</v>
      </c>
      <c r="AF33" s="6">
        <v>0.99998784751965264</v>
      </c>
      <c r="AG33" s="6">
        <v>1.2152480347389529E-5</v>
      </c>
      <c r="AH33" s="6">
        <v>1</v>
      </c>
      <c r="AI33" s="6">
        <v>1.572759419129225E-41</v>
      </c>
      <c r="AJ33" s="6">
        <v>1</v>
      </c>
      <c r="AK33" s="6">
        <v>4.9353010845506149E-40</v>
      </c>
      <c r="AL33" s="6">
        <v>1</v>
      </c>
      <c r="AM33" s="6">
        <v>4.7504017313034421E-31</v>
      </c>
      <c r="AN33" s="6">
        <v>1</v>
      </c>
      <c r="AO33" s="6">
        <v>2.5687845571579409E-30</v>
      </c>
      <c r="AP33" s="6">
        <v>5.4239885053764207E-18</v>
      </c>
      <c r="AQ33" s="6">
        <v>1</v>
      </c>
      <c r="AR33" s="6">
        <v>0</v>
      </c>
      <c r="AS33" s="6">
        <v>1</v>
      </c>
      <c r="AT33" s="6">
        <v>1</v>
      </c>
      <c r="AU33" s="6">
        <v>9.6560641264066681E-259</v>
      </c>
      <c r="AV33" s="6">
        <v>1</v>
      </c>
      <c r="AW33" s="6">
        <v>2.530830328500947E-226</v>
      </c>
      <c r="AX33" s="6">
        <v>1</v>
      </c>
      <c r="AY33" s="6">
        <v>1.885928027292221E-31</v>
      </c>
      <c r="AZ33" s="6">
        <v>1</v>
      </c>
      <c r="BA33" s="6">
        <v>1.0791074548134779E-30</v>
      </c>
      <c r="BB33" s="6">
        <v>4.2381871390991088E-35</v>
      </c>
      <c r="BC33" s="6">
        <v>1</v>
      </c>
      <c r="BD33" s="6">
        <v>0</v>
      </c>
      <c r="BE33" s="6">
        <v>1</v>
      </c>
      <c r="BF33" s="6">
        <v>1</v>
      </c>
      <c r="BG33" s="6">
        <v>3.7805762592190572E-281</v>
      </c>
      <c r="BH33" s="6">
        <v>1</v>
      </c>
      <c r="BI33" s="6">
        <v>1.736763601713354E-242</v>
      </c>
      <c r="BJ33" s="6" t="s">
        <v>191</v>
      </c>
    </row>
    <row r="34" spans="1:62" x14ac:dyDescent="0.35">
      <c r="A34" s="6" t="s">
        <v>44</v>
      </c>
      <c r="B34" s="6">
        <v>1</v>
      </c>
      <c r="C34" s="6">
        <v>1.6755297730258412E-33</v>
      </c>
      <c r="D34" s="6">
        <v>1</v>
      </c>
      <c r="E34" s="6">
        <v>1.2971835151858049E-32</v>
      </c>
      <c r="F34" s="6">
        <v>1</v>
      </c>
      <c r="G34" s="6">
        <v>4.586218185315306E-36</v>
      </c>
      <c r="H34" s="6">
        <v>1</v>
      </c>
      <c r="I34" s="6">
        <v>5.3462741507641787E-35</v>
      </c>
      <c r="J34" s="6">
        <v>1</v>
      </c>
      <c r="K34" s="6">
        <v>2.9112115071309389E-32</v>
      </c>
      <c r="L34" s="6">
        <v>1</v>
      </c>
      <c r="M34" s="6">
        <v>1.8723615368679241E-31</v>
      </c>
      <c r="N34" s="6">
        <v>1</v>
      </c>
      <c r="O34" s="6">
        <v>1.6835630691730059E-48</v>
      </c>
      <c r="P34" s="6">
        <v>1</v>
      </c>
      <c r="Q34" s="6">
        <v>2.3595933187347531E-46</v>
      </c>
      <c r="R34" s="6">
        <v>1</v>
      </c>
      <c r="S34" s="6">
        <v>7.7444877599609219E-61</v>
      </c>
      <c r="T34" s="6">
        <v>1</v>
      </c>
      <c r="U34" s="6">
        <v>2.9381118074175331E-57</v>
      </c>
      <c r="V34" s="6">
        <v>1</v>
      </c>
      <c r="W34" s="6">
        <v>1.173198000799468E-39</v>
      </c>
      <c r="X34" s="6">
        <v>1</v>
      </c>
      <c r="Y34" s="6">
        <v>2.5751808329932719E-38</v>
      </c>
      <c r="Z34" s="6">
        <v>1</v>
      </c>
      <c r="AA34" s="6">
        <v>5.5727158589487565E-48</v>
      </c>
      <c r="AB34" s="6">
        <v>1</v>
      </c>
      <c r="AC34" s="6">
        <v>6.9224223716449627E-46</v>
      </c>
      <c r="AD34" s="6">
        <v>1</v>
      </c>
      <c r="AE34" s="6">
        <v>3.0901002623633379E-52</v>
      </c>
      <c r="AF34" s="6">
        <v>1</v>
      </c>
      <c r="AG34" s="6">
        <v>1.076768715168475E-49</v>
      </c>
      <c r="AH34" s="6">
        <v>1</v>
      </c>
      <c r="AI34" s="6">
        <v>2.521374157347619E-28</v>
      </c>
      <c r="AJ34" s="6">
        <v>1</v>
      </c>
      <c r="AK34" s="6">
        <v>9.5016663618946908E-28</v>
      </c>
      <c r="AL34" s="6">
        <v>0.99999999999932698</v>
      </c>
      <c r="AM34" s="6">
        <v>1.168289654423001E-12</v>
      </c>
      <c r="AN34" s="6">
        <v>0.99999999999880962</v>
      </c>
      <c r="AO34" s="6">
        <v>1.1904094046586059E-12</v>
      </c>
      <c r="AP34" s="6">
        <v>1</v>
      </c>
      <c r="AQ34" s="6">
        <v>6.8299789291691108E-49</v>
      </c>
      <c r="AR34" s="6">
        <v>1</v>
      </c>
      <c r="AS34" s="6">
        <v>2.2635260231022148E-47</v>
      </c>
      <c r="AT34" s="6">
        <v>1</v>
      </c>
      <c r="AU34" s="6">
        <v>1.1679715287202179E-48</v>
      </c>
      <c r="AV34" s="6">
        <v>1</v>
      </c>
      <c r="AW34" s="6">
        <v>8.5315019274241633E-48</v>
      </c>
      <c r="AX34" s="6">
        <v>0.99999920292038957</v>
      </c>
      <c r="AY34" s="6">
        <v>1.161548776651688E-6</v>
      </c>
      <c r="AZ34" s="6">
        <v>0.999998976882716</v>
      </c>
      <c r="BA34" s="6">
        <v>1.0231172839624441E-6</v>
      </c>
      <c r="BB34" s="6">
        <v>0.99999999999999978</v>
      </c>
      <c r="BC34" s="6">
        <v>4.3006118688936611E-16</v>
      </c>
      <c r="BD34" s="6">
        <v>0.99999999999999956</v>
      </c>
      <c r="BE34" s="6">
        <v>4.7378235821797667E-16</v>
      </c>
      <c r="BF34" s="6">
        <v>1</v>
      </c>
      <c r="BG34" s="6">
        <v>4.4260608983734622E-77</v>
      </c>
      <c r="BH34" s="6">
        <v>1</v>
      </c>
      <c r="BI34" s="6">
        <v>1.2913755917770159E-74</v>
      </c>
      <c r="BJ34" s="6" t="s">
        <v>191</v>
      </c>
    </row>
    <row r="35" spans="1:62" x14ac:dyDescent="0.35">
      <c r="A35" s="6" t="s">
        <v>45</v>
      </c>
      <c r="B35" s="6">
        <v>0.99999999645551363</v>
      </c>
      <c r="C35" s="6">
        <v>5.5654150471749074E-9</v>
      </c>
      <c r="D35" s="6">
        <v>0.99999999494030434</v>
      </c>
      <c r="E35" s="6">
        <v>5.0596957075444564E-9</v>
      </c>
      <c r="F35" s="6">
        <v>1</v>
      </c>
      <c r="G35" s="6">
        <v>5.9628957811031605E-47</v>
      </c>
      <c r="H35" s="6">
        <v>1</v>
      </c>
      <c r="I35" s="6">
        <v>5.857781257806386E-45</v>
      </c>
      <c r="J35" s="6">
        <v>1</v>
      </c>
      <c r="K35" s="6">
        <v>5.947395794988822E-18</v>
      </c>
      <c r="L35" s="6">
        <v>1</v>
      </c>
      <c r="M35" s="6">
        <v>1.5555326713803769E-17</v>
      </c>
      <c r="N35" s="6">
        <v>1</v>
      </c>
      <c r="O35" s="6">
        <v>3.3845026632262342E-39</v>
      </c>
      <c r="P35" s="6">
        <v>1</v>
      </c>
      <c r="Q35" s="6">
        <v>6.8241372096338507E-38</v>
      </c>
      <c r="R35" s="6">
        <v>1</v>
      </c>
      <c r="S35" s="6">
        <v>1.2949402305475899E-50</v>
      </c>
      <c r="T35" s="6">
        <v>1</v>
      </c>
      <c r="U35" s="6">
        <v>3.0101942364306642E-48</v>
      </c>
      <c r="V35" s="6">
        <v>1</v>
      </c>
      <c r="W35" s="6">
        <v>7.7224614927399764E-19</v>
      </c>
      <c r="X35" s="6">
        <v>1</v>
      </c>
      <c r="Y35" s="6">
        <v>1.126702200502399E-18</v>
      </c>
      <c r="Z35" s="6">
        <v>1</v>
      </c>
      <c r="AA35" s="6">
        <v>1.6835630691730059E-48</v>
      </c>
      <c r="AB35" s="6">
        <v>1</v>
      </c>
      <c r="AC35" s="6">
        <v>2.3595933187347531E-46</v>
      </c>
      <c r="AD35" s="6">
        <v>1</v>
      </c>
      <c r="AE35" s="6">
        <v>3.7963523261952142E-56</v>
      </c>
      <c r="AF35" s="6">
        <v>1</v>
      </c>
      <c r="AG35" s="6">
        <v>3.7242237622475958E-53</v>
      </c>
      <c r="AH35" s="6">
        <v>0.99999999999999989</v>
      </c>
      <c r="AI35" s="6">
        <v>2.9804535640973499E-16</v>
      </c>
      <c r="AJ35" s="6">
        <v>0.99999999999999967</v>
      </c>
      <c r="AK35" s="6">
        <v>3.648972880327134E-16</v>
      </c>
      <c r="AL35" s="6">
        <v>0.99999999944987261</v>
      </c>
      <c r="AM35" s="6">
        <v>8.8418329764702732E-10</v>
      </c>
      <c r="AN35" s="6">
        <v>0.99999999918135174</v>
      </c>
      <c r="AO35" s="6">
        <v>8.1864822514841845E-10</v>
      </c>
      <c r="AP35" s="6">
        <v>1</v>
      </c>
      <c r="AQ35" s="6">
        <v>2.1401550114812449E-64</v>
      </c>
      <c r="AR35" s="6">
        <v>1</v>
      </c>
      <c r="AS35" s="6">
        <v>1.4732336262854011E-61</v>
      </c>
      <c r="AT35" s="6">
        <v>1</v>
      </c>
      <c r="AU35" s="6">
        <v>1.5363105056700481E-38</v>
      </c>
      <c r="AV35" s="6">
        <v>1</v>
      </c>
      <c r="AW35" s="6">
        <v>4.6937153385856459E-38</v>
      </c>
      <c r="AX35" s="6">
        <v>0.99994956179441508</v>
      </c>
      <c r="AY35" s="6">
        <v>6.8727136166595653E-5</v>
      </c>
      <c r="AZ35" s="6">
        <v>0.99993954399936102</v>
      </c>
      <c r="BA35" s="6">
        <v>6.0456000639001708E-5</v>
      </c>
      <c r="BB35" s="6">
        <v>1</v>
      </c>
      <c r="BC35" s="6">
        <v>9.4120188314621227E-20</v>
      </c>
      <c r="BD35" s="6">
        <v>1</v>
      </c>
      <c r="BE35" s="6">
        <v>1.238047032628276E-19</v>
      </c>
      <c r="BF35" s="6">
        <v>1</v>
      </c>
      <c r="BG35" s="6">
        <v>5.0946124501019883E-84</v>
      </c>
      <c r="BH35" s="6">
        <v>1</v>
      </c>
      <c r="BI35" s="6">
        <v>4.8349834091876382E-81</v>
      </c>
      <c r="BJ35" s="6" t="s">
        <v>191</v>
      </c>
    </row>
    <row r="36" spans="1:62" x14ac:dyDescent="0.35">
      <c r="A36" s="6" t="s">
        <v>46</v>
      </c>
      <c r="B36" s="6">
        <v>0.99999999999961464</v>
      </c>
      <c r="C36" s="6">
        <v>6.7296703835153783E-13</v>
      </c>
      <c r="D36" s="6">
        <v>0.99999999999930733</v>
      </c>
      <c r="E36" s="6">
        <v>6.9263282631854555E-13</v>
      </c>
      <c r="F36" s="6">
        <v>1</v>
      </c>
      <c r="G36" s="6">
        <v>1.869928608147261E-43</v>
      </c>
      <c r="H36" s="6">
        <v>1</v>
      </c>
      <c r="I36" s="6">
        <v>8.6408752887271399E-42</v>
      </c>
      <c r="J36" s="6">
        <v>1</v>
      </c>
      <c r="K36" s="6">
        <v>3.7963523261952142E-56</v>
      </c>
      <c r="L36" s="6">
        <v>1</v>
      </c>
      <c r="M36" s="6">
        <v>3.7242237622475958E-53</v>
      </c>
      <c r="N36" s="6">
        <v>1</v>
      </c>
      <c r="O36" s="6">
        <v>1.6755297730258412E-33</v>
      </c>
      <c r="P36" s="6">
        <v>1</v>
      </c>
      <c r="Q36" s="6">
        <v>1.2971835151858049E-32</v>
      </c>
      <c r="R36" s="6">
        <v>1</v>
      </c>
      <c r="S36" s="6">
        <v>4.9101379600436773E-75</v>
      </c>
      <c r="T36" s="6">
        <v>1</v>
      </c>
      <c r="U36" s="6">
        <v>2.363885695239932E-69</v>
      </c>
      <c r="V36" s="6">
        <v>0.98094645180629603</v>
      </c>
      <c r="W36" s="6">
        <v>2.284636495568472E-2</v>
      </c>
      <c r="X36" s="6">
        <v>0.97908470271737758</v>
      </c>
      <c r="Y36" s="6">
        <v>2.091529728262238E-2</v>
      </c>
      <c r="Z36" s="6">
        <v>1</v>
      </c>
      <c r="AA36" s="6">
        <v>1.6755297730258412E-33</v>
      </c>
      <c r="AB36" s="6">
        <v>1</v>
      </c>
      <c r="AC36" s="6">
        <v>1.2971835151858049E-32</v>
      </c>
      <c r="AD36" s="6">
        <v>1</v>
      </c>
      <c r="AE36" s="6">
        <v>2.1086597790866719E-84</v>
      </c>
      <c r="AF36" s="6">
        <v>1</v>
      </c>
      <c r="AG36" s="6">
        <v>4.6491391354376567E-77</v>
      </c>
      <c r="AH36" s="6">
        <v>0.8932160997258477</v>
      </c>
      <c r="AI36" s="6">
        <v>0.12132136960569349</v>
      </c>
      <c r="AJ36" s="6">
        <v>0.88610000300588521</v>
      </c>
      <c r="AK36" s="6">
        <v>0.1138999969941147</v>
      </c>
      <c r="AL36" s="6">
        <v>1</v>
      </c>
      <c r="AM36" s="6">
        <v>7.7224614927399764E-19</v>
      </c>
      <c r="AN36" s="6">
        <v>1</v>
      </c>
      <c r="AO36" s="6">
        <v>1.126702200502399E-18</v>
      </c>
      <c r="AP36" s="6">
        <v>1</v>
      </c>
      <c r="AQ36" s="6">
        <v>1.245127030792624E-31</v>
      </c>
      <c r="AR36" s="6">
        <v>1</v>
      </c>
      <c r="AS36" s="6">
        <v>4.139590148077354E-31</v>
      </c>
      <c r="AT36" s="6">
        <v>0.9833541997779246</v>
      </c>
      <c r="AU36" s="6">
        <v>1.8807497242705841E-2</v>
      </c>
      <c r="AV36" s="6">
        <v>0.98228542912322581</v>
      </c>
      <c r="AW36" s="6">
        <v>1.7714570876774239E-2</v>
      </c>
      <c r="AX36" s="6">
        <v>0.15443289176760841</v>
      </c>
      <c r="AY36" s="6">
        <v>0.86280388643582817</v>
      </c>
      <c r="AZ36" s="6">
        <v>0.14564642380890641</v>
      </c>
      <c r="BA36" s="6">
        <v>0.85435357619109364</v>
      </c>
      <c r="BB36" s="6">
        <v>1</v>
      </c>
      <c r="BC36" s="6">
        <v>1.7017112154207799E-19</v>
      </c>
      <c r="BD36" s="6">
        <v>1</v>
      </c>
      <c r="BE36" s="6">
        <v>2.206976737449113E-19</v>
      </c>
      <c r="BF36" s="6">
        <v>1</v>
      </c>
      <c r="BG36" s="6">
        <v>1.444725210062375E-74</v>
      </c>
      <c r="BH36" s="6">
        <v>1</v>
      </c>
      <c r="BI36" s="6">
        <v>2.8251563741603859E-72</v>
      </c>
      <c r="BJ36" s="6" t="s">
        <v>191</v>
      </c>
    </row>
    <row r="37" spans="1:62" x14ac:dyDescent="0.35">
      <c r="A37" s="6" t="s">
        <v>47</v>
      </c>
      <c r="B37" s="6">
        <v>4.4907133435382003E-2</v>
      </c>
      <c r="C37" s="6">
        <v>0.96178842758226124</v>
      </c>
      <c r="D37" s="6">
        <v>4.1486530362206182E-2</v>
      </c>
      <c r="E37" s="6">
        <v>0.95851346963779382</v>
      </c>
      <c r="F37" s="6">
        <v>0.9727441946983314</v>
      </c>
      <c r="G37" s="6">
        <v>3.2352956527301337E-2</v>
      </c>
      <c r="H37" s="6">
        <v>0.97024765717978512</v>
      </c>
      <c r="I37" s="6">
        <v>2.9752342820214911E-2</v>
      </c>
      <c r="J37" s="6">
        <v>1</v>
      </c>
      <c r="K37" s="6">
        <v>4.1928894555716279E-26</v>
      </c>
      <c r="L37" s="6">
        <v>1</v>
      </c>
      <c r="M37" s="6">
        <v>1.21211528725007E-25</v>
      </c>
      <c r="N37" s="6">
        <v>0.71406108938773216</v>
      </c>
      <c r="O37" s="6">
        <v>0.31209817740007528</v>
      </c>
      <c r="P37" s="6">
        <v>0.70112707214848013</v>
      </c>
      <c r="Q37" s="6">
        <v>0.29887292785151992</v>
      </c>
      <c r="R37" s="6">
        <v>0.99999999999997835</v>
      </c>
      <c r="S37" s="6">
        <v>3.8989699383371863E-14</v>
      </c>
      <c r="T37" s="6">
        <v>0.99999999999995748</v>
      </c>
      <c r="U37" s="6">
        <v>4.2478382908461559E-14</v>
      </c>
      <c r="V37" s="6">
        <v>0.99288163498380022</v>
      </c>
      <c r="W37" s="6">
        <v>8.7576396766929094E-3</v>
      </c>
      <c r="X37" s="6">
        <v>0.99206933363011351</v>
      </c>
      <c r="Y37" s="6">
        <v>7.9306663698864906E-3</v>
      </c>
      <c r="Z37" s="6">
        <v>0.87867863039430649</v>
      </c>
      <c r="AA37" s="6">
        <v>0.1371961135641718</v>
      </c>
      <c r="AB37" s="6">
        <v>0.8709024762080273</v>
      </c>
      <c r="AC37" s="6">
        <v>0.12909752379197259</v>
      </c>
      <c r="AD37" s="6">
        <v>0.91843865693126425</v>
      </c>
      <c r="AE37" s="6">
        <v>9.3546529825919919E-2</v>
      </c>
      <c r="AF37" s="6">
        <v>0.91257778319479266</v>
      </c>
      <c r="AG37" s="6">
        <v>8.7422216805207342E-2</v>
      </c>
      <c r="AH37" s="6">
        <v>1</v>
      </c>
      <c r="AI37" s="6">
        <v>2.521374157347619E-28</v>
      </c>
      <c r="AJ37" s="6">
        <v>1</v>
      </c>
      <c r="AK37" s="6">
        <v>9.5016663618946908E-28</v>
      </c>
      <c r="AL37" s="6">
        <v>0.84556710823239156</v>
      </c>
      <c r="AM37" s="6">
        <v>0.17304251071291021</v>
      </c>
      <c r="AN37" s="6">
        <v>0.83643518838242337</v>
      </c>
      <c r="AO37" s="6">
        <v>0.16356481161757661</v>
      </c>
      <c r="AP37" s="6">
        <v>0.38709935059452272</v>
      </c>
      <c r="AQ37" s="6">
        <v>0.63707119183948069</v>
      </c>
      <c r="AR37" s="6">
        <v>0.37494350406863092</v>
      </c>
      <c r="AS37" s="6">
        <v>0.62505649593136914</v>
      </c>
      <c r="AT37" s="6">
        <v>1</v>
      </c>
      <c r="AU37" s="6">
        <v>3.2906088583867012E-61</v>
      </c>
      <c r="AV37" s="6">
        <v>1</v>
      </c>
      <c r="AW37" s="6">
        <v>9.7708232747912297E-60</v>
      </c>
      <c r="AX37" s="6">
        <v>0.82695748928708979</v>
      </c>
      <c r="AY37" s="6">
        <v>0.19302048399242741</v>
      </c>
      <c r="AZ37" s="6">
        <v>0.8171438518592431</v>
      </c>
      <c r="BA37" s="6">
        <v>0.18285614814075679</v>
      </c>
      <c r="BB37" s="6">
        <v>1.6626457071959121E-9</v>
      </c>
      <c r="BC37" s="6">
        <v>0.99999999887751323</v>
      </c>
      <c r="BD37" s="6">
        <v>1.5196309766096761E-9</v>
      </c>
      <c r="BE37" s="6">
        <v>0.99999999848036902</v>
      </c>
      <c r="BF37" s="6">
        <v>1</v>
      </c>
      <c r="BG37" s="6">
        <v>1.4509042313489029E-131</v>
      </c>
      <c r="BH37" s="6">
        <v>1</v>
      </c>
      <c r="BI37" s="6">
        <v>8.9253018259158637E-124</v>
      </c>
      <c r="BJ37" s="6" t="s">
        <v>191</v>
      </c>
    </row>
    <row r="38" spans="1:62" x14ac:dyDescent="0.35">
      <c r="A38" s="6" t="s">
        <v>48</v>
      </c>
      <c r="B38" s="6">
        <v>0.9999999913119948</v>
      </c>
      <c r="C38" s="6">
        <v>1.348421393509673E-8</v>
      </c>
      <c r="D38" s="6">
        <v>0.99999998783221156</v>
      </c>
      <c r="E38" s="6">
        <v>1.2167788454856519E-8</v>
      </c>
      <c r="F38" s="6">
        <v>4.4907133435382003E-2</v>
      </c>
      <c r="G38" s="6">
        <v>0.96178842758226124</v>
      </c>
      <c r="H38" s="6">
        <v>4.1486530362206182E-2</v>
      </c>
      <c r="I38" s="6">
        <v>0.95851346963779382</v>
      </c>
      <c r="J38" s="6">
        <v>1</v>
      </c>
      <c r="K38" s="6">
        <v>4.3442945899577279E-29</v>
      </c>
      <c r="L38" s="6">
        <v>1</v>
      </c>
      <c r="M38" s="6">
        <v>1.8042922837426549E-28</v>
      </c>
      <c r="N38" s="6">
        <v>0.68790182259992472</v>
      </c>
      <c r="O38" s="6">
        <v>0.33924030681285811</v>
      </c>
      <c r="P38" s="6">
        <v>0.67446168296108322</v>
      </c>
      <c r="Q38" s="6">
        <v>0.32553831703891678</v>
      </c>
      <c r="R38" s="6">
        <v>0.99629541745891781</v>
      </c>
      <c r="S38" s="6">
        <v>4.6298355537997774E-3</v>
      </c>
      <c r="T38" s="6">
        <v>0.99583292771109133</v>
      </c>
      <c r="U38" s="6">
        <v>4.1670722889086756E-3</v>
      </c>
      <c r="V38" s="6">
        <v>0.1371961135641718</v>
      </c>
      <c r="W38" s="6">
        <v>0.87867863039430649</v>
      </c>
      <c r="X38" s="6">
        <v>0.12909752379197201</v>
      </c>
      <c r="Y38" s="6">
        <v>0.87090247620802796</v>
      </c>
      <c r="Z38" s="6">
        <v>0.99999999999999989</v>
      </c>
      <c r="AA38" s="6">
        <v>2.9804535640973499E-16</v>
      </c>
      <c r="AB38" s="6">
        <v>0.99999999999999967</v>
      </c>
      <c r="AC38" s="6">
        <v>3.648972880327134E-16</v>
      </c>
      <c r="AD38" s="6">
        <v>0.99124236032330704</v>
      </c>
      <c r="AE38" s="6">
        <v>1.07186411397128E-2</v>
      </c>
      <c r="AF38" s="6">
        <v>0.99027294186738102</v>
      </c>
      <c r="AG38" s="6">
        <v>9.7270581326189907E-3</v>
      </c>
      <c r="AH38" s="6">
        <v>1</v>
      </c>
      <c r="AI38" s="6">
        <v>1.6755297730258412E-33</v>
      </c>
      <c r="AJ38" s="6">
        <v>1</v>
      </c>
      <c r="AK38" s="6">
        <v>1.2971835151858049E-32</v>
      </c>
      <c r="AL38" s="6">
        <v>1</v>
      </c>
      <c r="AM38" s="6">
        <v>9.4747657568744627E-20</v>
      </c>
      <c r="AN38" s="6">
        <v>1</v>
      </c>
      <c r="AO38" s="6">
        <v>1.4830770024941601E-19</v>
      </c>
      <c r="AP38" s="6">
        <v>0.66070784679000227</v>
      </c>
      <c r="AQ38" s="6">
        <v>0.36292880816051931</v>
      </c>
      <c r="AR38" s="6">
        <v>0.64897180253652942</v>
      </c>
      <c r="AS38" s="6">
        <v>0.35102819746347058</v>
      </c>
      <c r="AT38" s="6">
        <v>1</v>
      </c>
      <c r="AU38" s="6">
        <v>6.7361153829833298E-44</v>
      </c>
      <c r="AV38" s="6">
        <v>1</v>
      </c>
      <c r="AW38" s="6">
        <v>3.1724100119529571E-43</v>
      </c>
      <c r="AX38" s="6">
        <v>0.57472747643240507</v>
      </c>
      <c r="AY38" s="6">
        <v>0.45499406440791129</v>
      </c>
      <c r="AZ38" s="6">
        <v>0.55991577254663782</v>
      </c>
      <c r="BA38" s="6">
        <v>0.44008422745336218</v>
      </c>
      <c r="BB38" s="6">
        <v>3.6896243662590889E-7</v>
      </c>
      <c r="BC38" s="6">
        <v>0.99999973519926122</v>
      </c>
      <c r="BD38" s="6">
        <v>3.2945603412049001E-7</v>
      </c>
      <c r="BE38" s="6">
        <v>0.99999967054396588</v>
      </c>
      <c r="BF38" s="6">
        <v>1</v>
      </c>
      <c r="BG38" s="6">
        <v>5.9374684735098627E-99</v>
      </c>
      <c r="BH38" s="6">
        <v>1</v>
      </c>
      <c r="BI38" s="6">
        <v>1.03812380431755E-94</v>
      </c>
      <c r="BJ38" s="6" t="s">
        <v>191</v>
      </c>
    </row>
    <row r="39" spans="1:62" x14ac:dyDescent="0.35">
      <c r="A39" s="6" t="s">
        <v>49</v>
      </c>
      <c r="B39" s="6">
        <v>0.99816142786523809</v>
      </c>
      <c r="C39" s="6">
        <v>2.334560481166707E-3</v>
      </c>
      <c r="D39" s="6">
        <v>0.99791072121591673</v>
      </c>
      <c r="E39" s="6">
        <v>2.0892787840832449E-3</v>
      </c>
      <c r="F39" s="6">
        <v>2.2479212144743419E-17</v>
      </c>
      <c r="G39" s="6">
        <v>1</v>
      </c>
      <c r="H39" s="6">
        <v>0</v>
      </c>
      <c r="I39" s="6">
        <v>1</v>
      </c>
      <c r="J39" s="6">
        <v>1</v>
      </c>
      <c r="K39" s="6">
        <v>1.240409552897812E-22</v>
      </c>
      <c r="L39" s="6">
        <v>1</v>
      </c>
      <c r="M39" s="6">
        <v>2.4973315511776192E-22</v>
      </c>
      <c r="N39" s="6">
        <v>0.99999999999999645</v>
      </c>
      <c r="O39" s="6">
        <v>6.5633437089035283E-15</v>
      </c>
      <c r="P39" s="6">
        <v>0.99999999999999256</v>
      </c>
      <c r="Q39" s="6">
        <v>7.4412160783291908E-15</v>
      </c>
      <c r="R39" s="6">
        <v>0.99948598562048263</v>
      </c>
      <c r="S39" s="6">
        <v>6.7042759450837246E-4</v>
      </c>
      <c r="T39" s="6">
        <v>0.9994049598082726</v>
      </c>
      <c r="U39" s="6">
        <v>5.9504019172738302E-4</v>
      </c>
      <c r="V39" s="6">
        <v>3.8989699383371863E-14</v>
      </c>
      <c r="W39" s="6">
        <v>0.99999999999997835</v>
      </c>
      <c r="X39" s="6">
        <v>4.2521541843143502E-14</v>
      </c>
      <c r="Y39" s="6">
        <v>0.99999999999995748</v>
      </c>
      <c r="Z39" s="6">
        <v>1.9285241824994172E-5</v>
      </c>
      <c r="AA39" s="6">
        <v>0.99998615736150531</v>
      </c>
      <c r="AB39" s="6">
        <v>1.6932870656627411E-5</v>
      </c>
      <c r="AC39" s="6">
        <v>0.99998306712934337</v>
      </c>
      <c r="AD39" s="6">
        <v>0.57472747643240507</v>
      </c>
      <c r="AE39" s="6">
        <v>0.45499406440791129</v>
      </c>
      <c r="AF39" s="6">
        <v>0.55991577254663782</v>
      </c>
      <c r="AG39" s="6">
        <v>0.44008422745336218</v>
      </c>
      <c r="AH39" s="6">
        <v>0.99999975106193439</v>
      </c>
      <c r="AI39" s="6">
        <v>3.6900608683083041E-7</v>
      </c>
      <c r="AJ39" s="6">
        <v>0.99999967365599507</v>
      </c>
      <c r="AK39" s="6">
        <v>3.2634400491955672E-7</v>
      </c>
      <c r="AL39" s="6">
        <v>0.99999997919254269</v>
      </c>
      <c r="AM39" s="6">
        <v>3.1923094571434119E-8</v>
      </c>
      <c r="AN39" s="6">
        <v>0.99999997137818786</v>
      </c>
      <c r="AO39" s="6">
        <v>2.8621812133695279E-8</v>
      </c>
      <c r="AP39" s="6">
        <v>1.485609251849762E-23</v>
      </c>
      <c r="AQ39" s="6">
        <v>1</v>
      </c>
      <c r="AR39" s="6">
        <v>0</v>
      </c>
      <c r="AS39" s="6">
        <v>1</v>
      </c>
      <c r="AT39" s="6">
        <v>1</v>
      </c>
      <c r="AU39" s="6">
        <v>1.1201966978573021E-18</v>
      </c>
      <c r="AV39" s="6">
        <v>1</v>
      </c>
      <c r="AW39" s="6">
        <v>1.214232762583879E-18</v>
      </c>
      <c r="AX39" s="6">
        <v>0.33924030681285811</v>
      </c>
      <c r="AY39" s="6">
        <v>0.68790182259992472</v>
      </c>
      <c r="AZ39" s="6">
        <v>0.29887292785152092</v>
      </c>
      <c r="BA39" s="6">
        <v>0.70112707214847914</v>
      </c>
      <c r="BB39" s="6">
        <v>4.9992918709143431E-17</v>
      </c>
      <c r="BC39" s="6">
        <v>1</v>
      </c>
      <c r="BD39" s="6">
        <v>1.110223024625157E-16</v>
      </c>
      <c r="BE39" s="6">
        <v>0.99999999999999989</v>
      </c>
      <c r="BF39" s="6">
        <v>1</v>
      </c>
      <c r="BG39" s="6">
        <v>5.8301162638677667E-31</v>
      </c>
      <c r="BH39" s="6">
        <v>1</v>
      </c>
      <c r="BI39" s="6">
        <v>1.0788956387877641E-30</v>
      </c>
      <c r="BJ39" s="6" t="s">
        <v>191</v>
      </c>
    </row>
    <row r="40" spans="1:62" x14ac:dyDescent="0.35">
      <c r="A40" s="6" t="s">
        <v>50</v>
      </c>
      <c r="B40" s="6">
        <v>1</v>
      </c>
      <c r="C40" s="6">
        <v>1.131901841898363E-32</v>
      </c>
      <c r="D40" s="6">
        <v>1</v>
      </c>
      <c r="E40" s="6">
        <v>7.7335210701039428E-32</v>
      </c>
      <c r="F40" s="6">
        <v>0.26086961327395092</v>
      </c>
      <c r="G40" s="6">
        <v>0.76301913543624389</v>
      </c>
      <c r="H40" s="6">
        <v>0.2487588880649938</v>
      </c>
      <c r="I40" s="6">
        <v>0.7512411119350062</v>
      </c>
      <c r="J40" s="6">
        <v>1</v>
      </c>
      <c r="K40" s="6">
        <v>1.624786414533184E-64</v>
      </c>
      <c r="L40" s="6">
        <v>1</v>
      </c>
      <c r="M40" s="6">
        <v>1.939131518997391E-60</v>
      </c>
      <c r="N40" s="6">
        <v>1</v>
      </c>
      <c r="O40" s="6">
        <v>8.2873783617900435E-17</v>
      </c>
      <c r="P40" s="6">
        <v>0.99999999999999989</v>
      </c>
      <c r="Q40" s="6">
        <v>1.050404002378279E-16</v>
      </c>
      <c r="R40" s="6">
        <v>0.99960803532611964</v>
      </c>
      <c r="S40" s="6">
        <v>5.140143795173258E-4</v>
      </c>
      <c r="T40" s="6">
        <v>0.99954444056142311</v>
      </c>
      <c r="U40" s="6">
        <v>4.5555943857685638E-4</v>
      </c>
      <c r="V40" s="6">
        <v>0.99999999987208177</v>
      </c>
      <c r="W40" s="6">
        <v>2.0924884743097259E-10</v>
      </c>
      <c r="X40" s="6">
        <v>0.99999999980296728</v>
      </c>
      <c r="Y40" s="6">
        <v>1.9703275787215481E-10</v>
      </c>
      <c r="Z40" s="6">
        <v>0.99913027169606761</v>
      </c>
      <c r="AA40" s="6">
        <v>1.122218591755879E-3</v>
      </c>
      <c r="AB40" s="6">
        <v>0.99900087164584905</v>
      </c>
      <c r="AC40" s="6">
        <v>9.9912835415090127E-4</v>
      </c>
      <c r="AD40" s="6">
        <v>0.19302048399242741</v>
      </c>
      <c r="AE40" s="6">
        <v>0.82695748928708979</v>
      </c>
      <c r="AF40" s="6">
        <v>0.18285614814075599</v>
      </c>
      <c r="AG40" s="6">
        <v>0.81714385185924399</v>
      </c>
      <c r="AH40" s="6">
        <v>1</v>
      </c>
      <c r="AI40" s="6">
        <v>5.5727158589487565E-48</v>
      </c>
      <c r="AJ40" s="6">
        <v>1</v>
      </c>
      <c r="AK40" s="6">
        <v>6.9224223716449627E-46</v>
      </c>
      <c r="AL40" s="6">
        <v>1</v>
      </c>
      <c r="AM40" s="6">
        <v>9.0511370201880743E-35</v>
      </c>
      <c r="AN40" s="6">
        <v>1</v>
      </c>
      <c r="AO40" s="6">
        <v>8.5419509094949382E-34</v>
      </c>
      <c r="AP40" s="6">
        <v>2.648007387775048E-7</v>
      </c>
      <c r="AQ40" s="6">
        <v>0.99999981072105271</v>
      </c>
      <c r="AR40" s="6">
        <v>2.3662022130555021E-7</v>
      </c>
      <c r="AS40" s="6">
        <v>0.99999976337977869</v>
      </c>
      <c r="AT40" s="6">
        <v>1</v>
      </c>
      <c r="AU40" s="6">
        <v>2.885226543639389E-139</v>
      </c>
      <c r="AV40" s="6">
        <v>1</v>
      </c>
      <c r="AW40" s="6">
        <v>1.7603409415339451E-130</v>
      </c>
      <c r="AX40" s="6">
        <v>1</v>
      </c>
      <c r="AY40" s="6">
        <v>3.3733096401047361E-35</v>
      </c>
      <c r="AZ40" s="6">
        <v>1</v>
      </c>
      <c r="BA40" s="6">
        <v>3.410672294450207E-34</v>
      </c>
      <c r="BB40" s="6">
        <v>4.3203488398765257E-5</v>
      </c>
      <c r="BC40" s="6">
        <v>0.99996695014213</v>
      </c>
      <c r="BD40" s="6">
        <v>3.8592651869784327E-5</v>
      </c>
      <c r="BE40" s="6">
        <v>0.99996140734813022</v>
      </c>
      <c r="BF40" s="6">
        <v>1</v>
      </c>
      <c r="BG40" s="6">
        <v>1.212936265157326E-58</v>
      </c>
      <c r="BH40" s="6">
        <v>1</v>
      </c>
      <c r="BI40" s="6">
        <v>2.6263293028866382E-57</v>
      </c>
      <c r="BJ40" s="6" t="s">
        <v>191</v>
      </c>
    </row>
    <row r="41" spans="1:62" x14ac:dyDescent="0.35">
      <c r="A41" s="6" t="s">
        <v>51</v>
      </c>
      <c r="B41" s="6">
        <v>1</v>
      </c>
      <c r="C41" s="6">
        <v>5.1856979116479421E-55</v>
      </c>
      <c r="D41" s="6">
        <v>1</v>
      </c>
      <c r="E41" s="6">
        <v>3.7342438086888599E-52</v>
      </c>
      <c r="F41" s="6">
        <v>2.334560481166707E-3</v>
      </c>
      <c r="G41" s="6">
        <v>0.99816142786523809</v>
      </c>
      <c r="H41" s="6">
        <v>2.0892787840832709E-3</v>
      </c>
      <c r="I41" s="6">
        <v>0.99791072121591673</v>
      </c>
      <c r="J41" s="6">
        <v>1</v>
      </c>
      <c r="K41" s="6">
        <v>1.0820995532293509E-51</v>
      </c>
      <c r="L41" s="6">
        <v>1</v>
      </c>
      <c r="M41" s="6">
        <v>3.2865195622025901E-49</v>
      </c>
      <c r="N41" s="6">
        <v>1</v>
      </c>
      <c r="O41" s="6">
        <v>5.2525601200730668E-42</v>
      </c>
      <c r="P41" s="6">
        <v>1</v>
      </c>
      <c r="Q41" s="6">
        <v>1.810530513421601E-40</v>
      </c>
      <c r="R41" s="6">
        <v>0.39596959597855169</v>
      </c>
      <c r="S41" s="6">
        <v>0.63275715045003333</v>
      </c>
      <c r="T41" s="6">
        <v>0.38151230027649652</v>
      </c>
      <c r="U41" s="6">
        <v>0.61848769972350348</v>
      </c>
      <c r="V41" s="6">
        <v>4.0368089073880516E-40</v>
      </c>
      <c r="W41" s="6">
        <v>1</v>
      </c>
      <c r="X41" s="6">
        <v>0</v>
      </c>
      <c r="Y41" s="6">
        <v>1</v>
      </c>
      <c r="Z41" s="6">
        <v>0.99999999999654177</v>
      </c>
      <c r="AA41" s="6">
        <v>5.8967090318025666E-12</v>
      </c>
      <c r="AB41" s="6">
        <v>0.99999999999415556</v>
      </c>
      <c r="AC41" s="6">
        <v>5.8444537816941723E-12</v>
      </c>
      <c r="AD41" s="6">
        <v>1.3842638494642849E-5</v>
      </c>
      <c r="AE41" s="6">
        <v>0.99999011925657677</v>
      </c>
      <c r="AF41" s="6">
        <v>1.215248034736049E-5</v>
      </c>
      <c r="AG41" s="6">
        <v>0.99998784751965264</v>
      </c>
      <c r="AH41" s="6">
        <v>1</v>
      </c>
      <c r="AI41" s="6">
        <v>1.83008522618505E-47</v>
      </c>
      <c r="AJ41" s="6">
        <v>1</v>
      </c>
      <c r="AK41" s="6">
        <v>2.0194047971297279E-45</v>
      </c>
      <c r="AL41" s="6">
        <v>1</v>
      </c>
      <c r="AM41" s="6">
        <v>4.1928894555716279E-26</v>
      </c>
      <c r="AN41" s="6">
        <v>1</v>
      </c>
      <c r="AO41" s="6">
        <v>1.21211528725007E-25</v>
      </c>
      <c r="AP41" s="6">
        <v>3.3049857869967827E-5</v>
      </c>
      <c r="AQ41" s="6">
        <v>0.99997481691893608</v>
      </c>
      <c r="AR41" s="6">
        <v>2.9505222181147591E-5</v>
      </c>
      <c r="AS41" s="6">
        <v>0.99997049477781885</v>
      </c>
      <c r="AT41" s="6">
        <v>1</v>
      </c>
      <c r="AU41" s="6">
        <v>4.3822499590957367E-95</v>
      </c>
      <c r="AV41" s="6">
        <v>1</v>
      </c>
      <c r="AW41" s="6">
        <v>3.4289175835523102E-91</v>
      </c>
      <c r="AX41" s="6">
        <v>1</v>
      </c>
      <c r="AY41" s="6">
        <v>6.8373850169727422E-98</v>
      </c>
      <c r="AZ41" s="6">
        <v>1</v>
      </c>
      <c r="BA41" s="6">
        <v>9.1730349864156186E-88</v>
      </c>
      <c r="BB41" s="6">
        <v>9.9553397341197985E-3</v>
      </c>
      <c r="BC41" s="6">
        <v>0.99161859979378952</v>
      </c>
      <c r="BD41" s="6">
        <v>9.161292466839277E-3</v>
      </c>
      <c r="BE41" s="6">
        <v>0.99083870753316072</v>
      </c>
      <c r="BF41" s="6">
        <v>1</v>
      </c>
      <c r="BG41" s="6">
        <v>4.6653417237740486E-118</v>
      </c>
      <c r="BH41" s="6">
        <v>1</v>
      </c>
      <c r="BI41" s="6">
        <v>7.2053947340652078E-112</v>
      </c>
      <c r="BJ41" s="6" t="s">
        <v>191</v>
      </c>
    </row>
    <row r="42" spans="1:62" x14ac:dyDescent="0.35">
      <c r="A42" s="6" t="s">
        <v>52</v>
      </c>
      <c r="B42" s="6">
        <v>1</v>
      </c>
      <c r="C42" s="6">
        <v>5.8457810095231113E-93</v>
      </c>
      <c r="D42" s="6">
        <v>1</v>
      </c>
      <c r="E42" s="6">
        <v>6.6360936160072326E-84</v>
      </c>
      <c r="F42" s="6">
        <v>4.9411160066861492E-25</v>
      </c>
      <c r="G42" s="6">
        <v>1</v>
      </c>
      <c r="H42" s="6">
        <v>0</v>
      </c>
      <c r="I42" s="6">
        <v>1</v>
      </c>
      <c r="J42" s="6">
        <v>1</v>
      </c>
      <c r="K42" s="6">
        <v>3.8616256165580808E-19</v>
      </c>
      <c r="L42" s="6">
        <v>1</v>
      </c>
      <c r="M42" s="6">
        <v>5.7636670869572865E-19</v>
      </c>
      <c r="N42" s="6">
        <v>1</v>
      </c>
      <c r="O42" s="6">
        <v>4.4255725709607187E-50</v>
      </c>
      <c r="P42" s="6">
        <v>1</v>
      </c>
      <c r="Q42" s="6">
        <v>9.0331505970576874E-48</v>
      </c>
      <c r="R42" s="6">
        <v>2.2443084356065412E-9</v>
      </c>
      <c r="S42" s="6">
        <v>0.99999999858720068</v>
      </c>
      <c r="T42" s="6">
        <v>2.0578957427019869E-9</v>
      </c>
      <c r="U42" s="6">
        <v>0.99999999794210426</v>
      </c>
      <c r="V42" s="6">
        <v>1.097977112383042E-20</v>
      </c>
      <c r="W42" s="6">
        <v>1</v>
      </c>
      <c r="X42" s="6">
        <v>0</v>
      </c>
      <c r="Y42" s="6">
        <v>1</v>
      </c>
      <c r="Z42" s="6">
        <v>1</v>
      </c>
      <c r="AA42" s="6">
        <v>2.3349270348625991E-91</v>
      </c>
      <c r="AB42" s="6">
        <v>1</v>
      </c>
      <c r="AC42" s="6">
        <v>5.2286141792269769E-82</v>
      </c>
      <c r="AD42" s="6">
        <v>1.161548776651688E-6</v>
      </c>
      <c r="AE42" s="6">
        <v>0.99999920292038957</v>
      </c>
      <c r="AF42" s="6">
        <v>1.023117284004726E-6</v>
      </c>
      <c r="AG42" s="6">
        <v>0.999998976882716</v>
      </c>
      <c r="AH42" s="6">
        <v>0.99999999999999944</v>
      </c>
      <c r="AI42" s="6">
        <v>1.045738419167208E-15</v>
      </c>
      <c r="AJ42" s="6">
        <v>0.99999999999999878</v>
      </c>
      <c r="AK42" s="6">
        <v>1.239520982587429E-15</v>
      </c>
      <c r="AL42" s="6">
        <v>1</v>
      </c>
      <c r="AM42" s="6">
        <v>1.83008522618505E-47</v>
      </c>
      <c r="AN42" s="6">
        <v>1</v>
      </c>
      <c r="AO42" s="6">
        <v>2.0194047971297279E-45</v>
      </c>
      <c r="AP42" s="6">
        <v>4.4359760990076852E-41</v>
      </c>
      <c r="AQ42" s="6">
        <v>1</v>
      </c>
      <c r="AR42" s="6">
        <v>0</v>
      </c>
      <c r="AS42" s="6">
        <v>1</v>
      </c>
      <c r="AT42" s="6">
        <v>1</v>
      </c>
      <c r="AU42" s="6">
        <v>1.123871383459927E-128</v>
      </c>
      <c r="AV42" s="6">
        <v>1</v>
      </c>
      <c r="AW42" s="6">
        <v>3.031741789759942E-121</v>
      </c>
      <c r="AX42" s="6">
        <v>1</v>
      </c>
      <c r="AY42" s="6">
        <v>1.741043016652972E-42</v>
      </c>
      <c r="AZ42" s="6">
        <v>1</v>
      </c>
      <c r="BA42" s="6">
        <v>6.604562072102192E-41</v>
      </c>
      <c r="BB42" s="6">
        <v>2.4526280867415511E-9</v>
      </c>
      <c r="BC42" s="6">
        <v>0.99999999833735431</v>
      </c>
      <c r="BD42" s="6">
        <v>2.2361313911645202E-9</v>
      </c>
      <c r="BE42" s="6">
        <v>0.99999999776386861</v>
      </c>
      <c r="BF42" s="6">
        <v>1</v>
      </c>
      <c r="BG42" s="6">
        <v>9.7238306562092447E-189</v>
      </c>
      <c r="BH42" s="6">
        <v>1</v>
      </c>
      <c r="BI42" s="6">
        <v>4.5655877157574139E-172</v>
      </c>
      <c r="BJ42" s="6" t="s">
        <v>191</v>
      </c>
    </row>
    <row r="43" spans="1:62" x14ac:dyDescent="0.35">
      <c r="A43" s="6" t="s">
        <v>53</v>
      </c>
      <c r="B43" s="6">
        <v>1</v>
      </c>
      <c r="C43" s="6">
        <v>8.6963136015925153E-118</v>
      </c>
      <c r="D43" s="6">
        <v>1</v>
      </c>
      <c r="E43" s="6">
        <v>1.1303164683487641E-102</v>
      </c>
      <c r="F43" s="6">
        <v>1.113695060809213E-7</v>
      </c>
      <c r="G43" s="6">
        <v>0.99999992614603173</v>
      </c>
      <c r="H43" s="6">
        <v>9.9071855386156926E-8</v>
      </c>
      <c r="I43" s="6">
        <v>0.99999990092814461</v>
      </c>
      <c r="J43" s="6">
        <v>1</v>
      </c>
      <c r="K43" s="6">
        <v>1.4242880456734839E-27</v>
      </c>
      <c r="L43" s="6">
        <v>1</v>
      </c>
      <c r="M43" s="6">
        <v>4.8921766065608342E-27</v>
      </c>
      <c r="N43" s="6">
        <v>1</v>
      </c>
      <c r="O43" s="6">
        <v>5.947395794988822E-18</v>
      </c>
      <c r="P43" s="6">
        <v>1</v>
      </c>
      <c r="Q43" s="6">
        <v>8.1379739360316048E-18</v>
      </c>
      <c r="R43" s="6">
        <v>0.99990686743660029</v>
      </c>
      <c r="S43" s="6">
        <v>1.2551204111500489E-4</v>
      </c>
      <c r="T43" s="6">
        <v>0.99988941182370716</v>
      </c>
      <c r="U43" s="6">
        <v>1.1058817629283019E-4</v>
      </c>
      <c r="V43" s="6">
        <v>2.66113438101818E-22</v>
      </c>
      <c r="W43" s="6">
        <v>1</v>
      </c>
      <c r="X43" s="6">
        <v>0</v>
      </c>
      <c r="Y43" s="6">
        <v>1</v>
      </c>
      <c r="Z43" s="6">
        <v>1</v>
      </c>
      <c r="AA43" s="6">
        <v>5.8457810095231113E-93</v>
      </c>
      <c r="AB43" s="6">
        <v>1</v>
      </c>
      <c r="AC43" s="6">
        <v>6.6360936160072326E-84</v>
      </c>
      <c r="AD43" s="6">
        <v>0.9676470434726987</v>
      </c>
      <c r="AE43" s="6">
        <v>3.8211572417738697E-2</v>
      </c>
      <c r="AF43" s="6">
        <v>0.96477978536395614</v>
      </c>
      <c r="AG43" s="6">
        <v>3.5220214636043863E-2</v>
      </c>
      <c r="AH43" s="6">
        <v>3.8211572417738697E-2</v>
      </c>
      <c r="AI43" s="6">
        <v>0.9676470434726987</v>
      </c>
      <c r="AJ43" s="6">
        <v>3.5220214636044078E-2</v>
      </c>
      <c r="AK43" s="6">
        <v>0.96477978536395592</v>
      </c>
      <c r="AL43" s="6">
        <v>1</v>
      </c>
      <c r="AM43" s="6">
        <v>6.1300941690726921E-114</v>
      </c>
      <c r="AN43" s="6">
        <v>1</v>
      </c>
      <c r="AO43" s="6">
        <v>7.1222145169684312E-100</v>
      </c>
      <c r="AP43" s="6">
        <v>5.6254790749006029E-5</v>
      </c>
      <c r="AQ43" s="6">
        <v>0.99995679651160119</v>
      </c>
      <c r="AR43" s="6">
        <v>5.0283886111723852E-5</v>
      </c>
      <c r="AS43" s="6">
        <v>0.99994971611388828</v>
      </c>
      <c r="AT43" s="6">
        <v>1</v>
      </c>
      <c r="AU43" s="6">
        <v>2.7890818147238602E-58</v>
      </c>
      <c r="AV43" s="6">
        <v>1</v>
      </c>
      <c r="AW43" s="6">
        <v>5.7832230061587197E-57</v>
      </c>
      <c r="AX43" s="6">
        <v>1</v>
      </c>
      <c r="AY43" s="6">
        <v>3.0795873879392979E-60</v>
      </c>
      <c r="AZ43" s="6">
        <v>1</v>
      </c>
      <c r="BA43" s="6">
        <v>9.7620600796043304E-57</v>
      </c>
      <c r="BB43" s="6">
        <v>1.631823268572254E-2</v>
      </c>
      <c r="BC43" s="6">
        <v>0.98610916945956295</v>
      </c>
      <c r="BD43" s="6">
        <v>1.5088444472732609E-2</v>
      </c>
      <c r="BE43" s="6">
        <v>0.98491155552726739</v>
      </c>
      <c r="BF43" s="6">
        <v>0.99999999992106481</v>
      </c>
      <c r="BG43" s="6">
        <v>1.0923062958144E-10</v>
      </c>
      <c r="BH43" s="6">
        <v>0.99999999989895871</v>
      </c>
      <c r="BI43" s="6">
        <v>1.01041314807201E-10</v>
      </c>
      <c r="BJ43" s="6" t="s">
        <v>191</v>
      </c>
    </row>
    <row r="44" spans="1:62" x14ac:dyDescent="0.35">
      <c r="A44" s="6" t="s">
        <v>54</v>
      </c>
      <c r="B44" s="6">
        <v>1</v>
      </c>
      <c r="C44" s="6">
        <v>7.9899061529616995E-167</v>
      </c>
      <c r="D44" s="6">
        <v>1</v>
      </c>
      <c r="E44" s="6">
        <v>1.9070133733283601E-134</v>
      </c>
      <c r="F44" s="6">
        <v>1.9408233207544449E-15</v>
      </c>
      <c r="G44" s="6">
        <v>0.999999999999999</v>
      </c>
      <c r="H44" s="6">
        <v>2.2204460492503131E-15</v>
      </c>
      <c r="I44" s="6">
        <v>0.99999999999999778</v>
      </c>
      <c r="J44" s="6">
        <v>1</v>
      </c>
      <c r="K44" s="6">
        <v>2.2664703991124299E-20</v>
      </c>
      <c r="L44" s="6">
        <v>1</v>
      </c>
      <c r="M44" s="6">
        <v>3.7314065090935132E-20</v>
      </c>
      <c r="N44" s="6">
        <v>0.99996318795309103</v>
      </c>
      <c r="O44" s="6">
        <v>5.0438205584933382E-5</v>
      </c>
      <c r="P44" s="6">
        <v>0.99995566070850206</v>
      </c>
      <c r="Q44" s="6">
        <v>4.4339291497947962E-5</v>
      </c>
      <c r="R44" s="14">
        <v>1.6755297730258412E-33</v>
      </c>
      <c r="S44" s="6">
        <v>1</v>
      </c>
      <c r="T44" s="6">
        <v>0</v>
      </c>
      <c r="U44" s="6">
        <v>1</v>
      </c>
      <c r="V44" s="14">
        <v>1.2949402305475899E-50</v>
      </c>
      <c r="W44" s="6">
        <v>1</v>
      </c>
      <c r="X44" s="6">
        <v>0</v>
      </c>
      <c r="Y44" s="6">
        <v>1</v>
      </c>
      <c r="Z44" s="6">
        <v>1</v>
      </c>
      <c r="AA44" s="6">
        <v>5.0271216826926082E-140</v>
      </c>
      <c r="AB44" s="6">
        <v>1</v>
      </c>
      <c r="AC44" s="6">
        <v>5.1270212214368496E-118</v>
      </c>
      <c r="AD44" s="6">
        <v>3.8211572417738697E-2</v>
      </c>
      <c r="AE44" s="6">
        <v>0.9676470434726987</v>
      </c>
      <c r="AF44" s="6">
        <v>3.5220214636044078E-2</v>
      </c>
      <c r="AG44" s="6">
        <v>0.96477978536395592</v>
      </c>
      <c r="AH44" s="6">
        <v>3.3511207137447161E-27</v>
      </c>
      <c r="AI44" s="6">
        <v>1</v>
      </c>
      <c r="AJ44" s="6">
        <v>0</v>
      </c>
      <c r="AK44" s="6">
        <v>1</v>
      </c>
      <c r="AL44" s="6">
        <v>1</v>
      </c>
      <c r="AM44" s="6">
        <v>7.854827192634082E-126</v>
      </c>
      <c r="AN44" s="6">
        <v>1</v>
      </c>
      <c r="AO44" s="6">
        <v>2.1685888242609069E-108</v>
      </c>
      <c r="AP44" s="6">
        <v>4.887639291849132E-34</v>
      </c>
      <c r="AQ44" s="6">
        <v>1</v>
      </c>
      <c r="AR44" s="6">
        <v>0</v>
      </c>
      <c r="AS44" s="6">
        <v>1</v>
      </c>
      <c r="AT44" s="6">
        <v>1</v>
      </c>
      <c r="AU44" s="6">
        <v>7.7401607060068184E-64</v>
      </c>
      <c r="AV44" s="6">
        <v>1</v>
      </c>
      <c r="AW44" s="6">
        <v>3.2253738746195091E-62</v>
      </c>
      <c r="AX44" s="6">
        <v>1</v>
      </c>
      <c r="AY44" s="6">
        <v>1.460229168655794E-106</v>
      </c>
      <c r="AZ44" s="6">
        <v>1</v>
      </c>
      <c r="BA44" s="6">
        <v>2.154091505023413E-94</v>
      </c>
      <c r="BB44" s="6">
        <v>5.2904122347699522E-29</v>
      </c>
      <c r="BC44" s="6">
        <v>1</v>
      </c>
      <c r="BD44" s="6">
        <v>0</v>
      </c>
      <c r="BE44" s="6">
        <v>1</v>
      </c>
      <c r="BF44" s="6">
        <v>0.99999999999620293</v>
      </c>
      <c r="BG44" s="6">
        <v>5.372390887680575E-12</v>
      </c>
      <c r="BH44" s="6">
        <v>0.99999999999495381</v>
      </c>
      <c r="BI44" s="6">
        <v>5.046157054578966E-12</v>
      </c>
      <c r="BJ44" s="6" t="s">
        <v>191</v>
      </c>
    </row>
    <row r="45" spans="1:62" x14ac:dyDescent="0.35">
      <c r="A45" s="6" t="s">
        <v>55</v>
      </c>
      <c r="B45" s="6">
        <v>1</v>
      </c>
      <c r="C45" s="6">
        <v>1.7001674144718879E-200</v>
      </c>
      <c r="D45" s="6">
        <v>1</v>
      </c>
      <c r="E45" s="6">
        <v>4.1990093046712578E-151</v>
      </c>
      <c r="F45" s="6">
        <v>7.0134550586825282E-6</v>
      </c>
      <c r="G45" s="6">
        <v>0.99999504959388663</v>
      </c>
      <c r="H45" s="6">
        <v>6.1580880682532424E-6</v>
      </c>
      <c r="I45" s="6">
        <v>0.99999384191193175</v>
      </c>
      <c r="J45" s="6">
        <v>0.99993127286383343</v>
      </c>
      <c r="K45" s="6">
        <v>9.3132563399741616E-5</v>
      </c>
      <c r="L45" s="6">
        <v>0.99991801303050887</v>
      </c>
      <c r="M45" s="6">
        <v>8.1986969491158737E-5</v>
      </c>
      <c r="N45" s="6">
        <v>1</v>
      </c>
      <c r="O45" s="6">
        <v>9.6049905137288658E-26</v>
      </c>
      <c r="P45" s="6">
        <v>1</v>
      </c>
      <c r="Q45" s="6">
        <v>2.6664826888956972E-25</v>
      </c>
      <c r="R45" s="6">
        <v>6.7296703835153783E-13</v>
      </c>
      <c r="S45" s="6">
        <v>0.99999999999961464</v>
      </c>
      <c r="T45" s="6">
        <v>6.9266814506363517E-13</v>
      </c>
      <c r="U45" s="6">
        <v>0.99999999999930733</v>
      </c>
      <c r="V45" s="6">
        <v>7.7224614927399764E-19</v>
      </c>
      <c r="W45" s="6">
        <v>1</v>
      </c>
      <c r="X45" s="6">
        <v>0</v>
      </c>
      <c r="Y45" s="6">
        <v>1</v>
      </c>
      <c r="Z45" s="6">
        <v>1</v>
      </c>
      <c r="AA45" s="6">
        <v>1.117537562774113E-172</v>
      </c>
      <c r="AB45" s="6">
        <v>1</v>
      </c>
      <c r="AC45" s="6">
        <v>1.065987830709189E-137</v>
      </c>
      <c r="AD45" s="6">
        <v>8.6972830393244492E-4</v>
      </c>
      <c r="AE45" s="6">
        <v>0.99932957240549158</v>
      </c>
      <c r="AF45" s="6">
        <v>7.7310173854039377E-4</v>
      </c>
      <c r="AG45" s="6">
        <v>0.99922689826145961</v>
      </c>
      <c r="AH45" s="14">
        <v>7.7756403794340515E-78</v>
      </c>
      <c r="AI45" s="6">
        <v>1</v>
      </c>
      <c r="AJ45" s="6">
        <v>0</v>
      </c>
      <c r="AK45" s="6">
        <v>1</v>
      </c>
      <c r="AL45" s="6">
        <v>1</v>
      </c>
      <c r="AM45" s="6">
        <v>5.8864815922639292E-189</v>
      </c>
      <c r="AN45" s="6">
        <v>1</v>
      </c>
      <c r="AO45" s="6">
        <v>5.2940665483572932E-146</v>
      </c>
      <c r="AP45" s="6">
        <v>9.5415946369761507E-15</v>
      </c>
      <c r="AQ45" s="6">
        <v>0.99999999999999423</v>
      </c>
      <c r="AR45" s="6">
        <v>9.9920072216264089E-15</v>
      </c>
      <c r="AS45" s="6">
        <v>0.99999999999999001</v>
      </c>
      <c r="AT45" s="6">
        <v>1</v>
      </c>
      <c r="AU45" s="6">
        <v>1.6583364418153789E-80</v>
      </c>
      <c r="AV45" s="6">
        <v>1</v>
      </c>
      <c r="AW45" s="6">
        <v>2.1518122230404222E-77</v>
      </c>
      <c r="AX45" s="6">
        <v>1</v>
      </c>
      <c r="AY45" s="6">
        <v>1.814955626850813E-185</v>
      </c>
      <c r="AZ45" s="6">
        <v>1</v>
      </c>
      <c r="BA45" s="6">
        <v>2.536835516540059E-144</v>
      </c>
      <c r="BB45" s="6">
        <v>6.3577144909883129E-4</v>
      </c>
      <c r="BC45" s="6">
        <v>0.99949234714653856</v>
      </c>
      <c r="BD45" s="6">
        <v>5.7370376166432369E-4</v>
      </c>
      <c r="BE45" s="6">
        <v>0.99942629623833568</v>
      </c>
      <c r="BF45" s="6">
        <v>1</v>
      </c>
      <c r="BG45" s="6">
        <v>1.2093976646164061E-49</v>
      </c>
      <c r="BH45" s="6">
        <v>1</v>
      </c>
      <c r="BI45" s="6">
        <v>9.7357008958109309E-49</v>
      </c>
      <c r="BJ45" s="6" t="s">
        <v>191</v>
      </c>
    </row>
    <row r="46" spans="1:62" x14ac:dyDescent="0.35">
      <c r="A46" s="12" t="s">
        <v>56</v>
      </c>
      <c r="B46" s="12">
        <v>5.727499916965907E-43</v>
      </c>
      <c r="C46" s="12">
        <v>1</v>
      </c>
      <c r="D46" s="12">
        <v>0</v>
      </c>
      <c r="E46" s="12">
        <v>1</v>
      </c>
      <c r="F46" s="12">
        <v>3.3886224594721331E-132</v>
      </c>
      <c r="G46" s="12">
        <v>1</v>
      </c>
      <c r="H46" s="12">
        <v>0</v>
      </c>
      <c r="I46" s="12">
        <v>1</v>
      </c>
      <c r="J46" s="12">
        <v>2.7496109338662921E-133</v>
      </c>
      <c r="K46" s="12">
        <v>1</v>
      </c>
      <c r="L46" s="12">
        <v>0</v>
      </c>
      <c r="M46" s="12">
        <v>1</v>
      </c>
      <c r="N46" s="12">
        <v>5.0271216826926082E-140</v>
      </c>
      <c r="O46" s="12">
        <v>1</v>
      </c>
      <c r="P46" s="12">
        <v>0</v>
      </c>
      <c r="Q46" s="12">
        <v>1</v>
      </c>
      <c r="R46" s="12">
        <v>1.576497202618777E-16</v>
      </c>
      <c r="S46" s="12">
        <v>0.99999999999999989</v>
      </c>
      <c r="T46" s="12">
        <v>2.2204460492503131E-16</v>
      </c>
      <c r="U46" s="12">
        <v>0.99999999999999978</v>
      </c>
      <c r="V46" s="12">
        <v>1.109647746892832E-24</v>
      </c>
      <c r="W46" s="12">
        <v>1</v>
      </c>
      <c r="X46" s="12">
        <v>0</v>
      </c>
      <c r="Y46" s="12">
        <v>1</v>
      </c>
      <c r="Z46" s="12">
        <v>1.968098275663992E-45</v>
      </c>
      <c r="AA46" s="12">
        <v>1</v>
      </c>
      <c r="AB46" s="12">
        <v>0</v>
      </c>
      <c r="AC46" s="12">
        <v>1</v>
      </c>
      <c r="AD46" s="12">
        <v>6.8171275703417015E-64</v>
      </c>
      <c r="AE46" s="12">
        <v>1</v>
      </c>
      <c r="AF46" s="12">
        <v>0</v>
      </c>
      <c r="AG46" s="12">
        <v>1</v>
      </c>
      <c r="AH46" s="12">
        <v>3.7378802256302499E-102</v>
      </c>
      <c r="AI46" s="12">
        <v>1</v>
      </c>
      <c r="AJ46" s="12">
        <v>0</v>
      </c>
      <c r="AK46" s="12">
        <v>1</v>
      </c>
      <c r="AL46" s="12">
        <v>2.3998560594315532E-74</v>
      </c>
      <c r="AM46" s="12">
        <v>1</v>
      </c>
      <c r="AN46" s="12">
        <v>0</v>
      </c>
      <c r="AO46" s="12">
        <v>1</v>
      </c>
      <c r="AP46" s="12">
        <v>6.271680238890102E-181</v>
      </c>
      <c r="AQ46" s="12">
        <v>1</v>
      </c>
      <c r="AR46" s="12">
        <v>0</v>
      </c>
      <c r="AS46" s="12">
        <v>1</v>
      </c>
      <c r="AT46" s="12">
        <v>5.6876227392378651E-173</v>
      </c>
      <c r="AU46" s="12">
        <v>1</v>
      </c>
      <c r="AV46" s="12">
        <v>0</v>
      </c>
      <c r="AW46" s="12">
        <v>1</v>
      </c>
      <c r="AX46" s="12">
        <v>5.5388766361411054E-80</v>
      </c>
      <c r="AY46" s="12">
        <v>1</v>
      </c>
      <c r="AZ46" s="12">
        <v>0</v>
      </c>
      <c r="BA46" s="12">
        <v>1</v>
      </c>
      <c r="BB46" s="12">
        <v>1.8951031504582381E-232</v>
      </c>
      <c r="BC46" s="12">
        <v>1</v>
      </c>
      <c r="BD46" s="12">
        <v>0</v>
      </c>
      <c r="BE46" s="12">
        <v>1</v>
      </c>
      <c r="BF46" s="12">
        <v>1.169119997634099E-20</v>
      </c>
      <c r="BG46" s="12">
        <v>1</v>
      </c>
      <c r="BH46" s="12">
        <v>0</v>
      </c>
      <c r="BI46" s="12">
        <v>1</v>
      </c>
      <c r="BJ46" s="12" t="s">
        <v>223</v>
      </c>
    </row>
    <row r="47" spans="1:62" x14ac:dyDescent="0.35">
      <c r="A47" s="12" t="s">
        <v>57</v>
      </c>
      <c r="B47" s="12">
        <v>1.027366975828463E-144</v>
      </c>
      <c r="C47" s="12">
        <v>1</v>
      </c>
      <c r="D47" s="12">
        <v>0</v>
      </c>
      <c r="E47" s="12">
        <v>1</v>
      </c>
      <c r="F47" s="12">
        <v>7.0502656550163309E-139</v>
      </c>
      <c r="G47" s="12">
        <v>1</v>
      </c>
      <c r="H47" s="12">
        <v>0</v>
      </c>
      <c r="I47" s="12">
        <v>1</v>
      </c>
      <c r="J47" s="12">
        <v>2.3842679704473091E-142</v>
      </c>
      <c r="K47" s="12">
        <v>1</v>
      </c>
      <c r="L47" s="12">
        <v>0</v>
      </c>
      <c r="M47" s="12">
        <v>1</v>
      </c>
      <c r="N47" s="12">
        <v>5.3926073520730547E-89</v>
      </c>
      <c r="O47" s="12">
        <v>1</v>
      </c>
      <c r="P47" s="12">
        <v>0</v>
      </c>
      <c r="Q47" s="12">
        <v>1</v>
      </c>
      <c r="R47" s="12">
        <v>6.4073281525434737E-128</v>
      </c>
      <c r="S47" s="12">
        <v>1</v>
      </c>
      <c r="T47" s="12">
        <v>0</v>
      </c>
      <c r="U47" s="12">
        <v>1</v>
      </c>
      <c r="V47" s="12">
        <v>2.755242345259783E-38</v>
      </c>
      <c r="W47" s="12">
        <v>1</v>
      </c>
      <c r="X47" s="12">
        <v>0</v>
      </c>
      <c r="Y47" s="12">
        <v>1</v>
      </c>
      <c r="Z47" s="12">
        <v>2.3349270348625991E-91</v>
      </c>
      <c r="AA47" s="12">
        <v>1</v>
      </c>
      <c r="AB47" s="12">
        <v>0</v>
      </c>
      <c r="AC47" s="12">
        <v>1</v>
      </c>
      <c r="AD47" s="12">
        <v>2.178335365085946E-37</v>
      </c>
      <c r="AE47" s="12">
        <v>1</v>
      </c>
      <c r="AF47" s="12">
        <v>0</v>
      </c>
      <c r="AG47" s="12">
        <v>1</v>
      </c>
      <c r="AH47" s="12">
        <v>2.9486049011460819E-207</v>
      </c>
      <c r="AI47" s="12">
        <v>1</v>
      </c>
      <c r="AJ47" s="12">
        <v>0</v>
      </c>
      <c r="AK47" s="12">
        <v>1</v>
      </c>
      <c r="AL47" s="12">
        <v>2.2423766932352069E-4</v>
      </c>
      <c r="AM47" s="12">
        <v>0.99983177687150404</v>
      </c>
      <c r="AN47" s="12">
        <v>1.9798271821658281E-4</v>
      </c>
      <c r="AO47" s="12">
        <v>0.99980201728178342</v>
      </c>
      <c r="AP47" s="12">
        <v>7.2200576962155218E-199</v>
      </c>
      <c r="AQ47" s="12">
        <v>1</v>
      </c>
      <c r="AR47" s="12">
        <v>0</v>
      </c>
      <c r="AS47" s="12">
        <v>1</v>
      </c>
      <c r="AT47" s="12">
        <v>0</v>
      </c>
      <c r="AU47" s="12">
        <v>1</v>
      </c>
      <c r="AV47" s="12">
        <v>0</v>
      </c>
      <c r="AW47" s="12">
        <v>1</v>
      </c>
      <c r="AX47" s="12">
        <v>4.092554003950535E-131</v>
      </c>
      <c r="AY47" s="12">
        <v>1</v>
      </c>
      <c r="AZ47" s="12">
        <v>0</v>
      </c>
      <c r="BA47" s="12">
        <v>1</v>
      </c>
      <c r="BB47" s="12">
        <v>2.3213986636838901E-117</v>
      </c>
      <c r="BC47" s="12">
        <v>1</v>
      </c>
      <c r="BD47" s="12">
        <v>0</v>
      </c>
      <c r="BE47" s="12">
        <v>1</v>
      </c>
      <c r="BF47" s="14">
        <v>8.020482411746195E-226</v>
      </c>
      <c r="BG47" s="12">
        <v>1</v>
      </c>
      <c r="BH47" s="12">
        <v>0</v>
      </c>
      <c r="BI47" s="12">
        <v>1</v>
      </c>
      <c r="BJ47" s="12" t="s">
        <v>223</v>
      </c>
    </row>
    <row r="48" spans="1:62" x14ac:dyDescent="0.35">
      <c r="A48" s="12" t="s">
        <v>58</v>
      </c>
      <c r="B48" s="12">
        <v>5.0459623456448502E-49</v>
      </c>
      <c r="C48" s="12">
        <v>1</v>
      </c>
      <c r="D48" s="12">
        <v>0</v>
      </c>
      <c r="E48" s="12">
        <v>1</v>
      </c>
      <c r="F48" s="12">
        <v>8.9715612864430663E-184</v>
      </c>
      <c r="G48" s="12">
        <v>1</v>
      </c>
      <c r="H48" s="12">
        <v>0</v>
      </c>
      <c r="I48" s="12">
        <v>1</v>
      </c>
      <c r="J48" s="12">
        <v>8.9715612864430663E-184</v>
      </c>
      <c r="K48" s="12">
        <v>1</v>
      </c>
      <c r="L48" s="12">
        <v>0</v>
      </c>
      <c r="M48" s="12">
        <v>1</v>
      </c>
      <c r="N48" s="12">
        <v>9.9456408634682228E-76</v>
      </c>
      <c r="O48" s="12">
        <v>1</v>
      </c>
      <c r="P48" s="12">
        <v>0</v>
      </c>
      <c r="Q48" s="12">
        <v>1</v>
      </c>
      <c r="R48" s="12">
        <v>2.1142922395084159E-95</v>
      </c>
      <c r="S48" s="12">
        <v>1</v>
      </c>
      <c r="T48" s="12">
        <v>0</v>
      </c>
      <c r="U48" s="12">
        <v>1</v>
      </c>
      <c r="V48" s="12">
        <v>9.6669904004877135E-138</v>
      </c>
      <c r="W48" s="12">
        <v>1</v>
      </c>
      <c r="X48" s="12">
        <v>0</v>
      </c>
      <c r="Y48" s="12">
        <v>1</v>
      </c>
      <c r="Z48" s="12">
        <v>2.9089537729386642E-79</v>
      </c>
      <c r="AA48" s="12">
        <v>1</v>
      </c>
      <c r="AB48" s="12">
        <v>0</v>
      </c>
      <c r="AC48" s="12">
        <v>1</v>
      </c>
      <c r="AD48" s="12">
        <v>2.1142922395084159E-95</v>
      </c>
      <c r="AE48" s="12">
        <v>1</v>
      </c>
      <c r="AF48" s="12">
        <v>0</v>
      </c>
      <c r="AG48" s="12">
        <v>1</v>
      </c>
      <c r="AH48" s="12">
        <v>8.376684713988048E-210</v>
      </c>
      <c r="AI48" s="12">
        <v>1</v>
      </c>
      <c r="AJ48" s="12">
        <v>0</v>
      </c>
      <c r="AK48" s="12">
        <v>1</v>
      </c>
      <c r="AL48" s="12">
        <v>4.7432684194368774E-59</v>
      </c>
      <c r="AM48" s="12">
        <v>1</v>
      </c>
      <c r="AN48" s="12">
        <v>0</v>
      </c>
      <c r="AO48" s="12">
        <v>1</v>
      </c>
      <c r="AP48" s="12">
        <v>1.2828897628811731E-229</v>
      </c>
      <c r="AQ48" s="12">
        <v>1</v>
      </c>
      <c r="AR48" s="12">
        <v>0</v>
      </c>
      <c r="AS48" s="12">
        <v>1</v>
      </c>
      <c r="AT48" s="12">
        <v>0</v>
      </c>
      <c r="AU48" s="12">
        <v>1</v>
      </c>
      <c r="AV48" s="12">
        <v>0</v>
      </c>
      <c r="AW48" s="12">
        <v>1</v>
      </c>
      <c r="AX48" s="12">
        <v>2.66113438101818E-22</v>
      </c>
      <c r="AY48" s="12">
        <v>1</v>
      </c>
      <c r="AZ48" s="12">
        <v>0</v>
      </c>
      <c r="BA48" s="12">
        <v>1</v>
      </c>
      <c r="BB48" s="12">
        <v>3.3504299737275222E-264</v>
      </c>
      <c r="BC48" s="12">
        <v>1</v>
      </c>
      <c r="BD48" s="12">
        <v>0</v>
      </c>
      <c r="BE48" s="12">
        <v>1</v>
      </c>
      <c r="BF48" s="12">
        <v>0</v>
      </c>
      <c r="BG48" s="12">
        <v>1</v>
      </c>
      <c r="BH48" s="12">
        <v>0</v>
      </c>
      <c r="BI48" s="12">
        <v>1</v>
      </c>
      <c r="BJ48" s="12" t="s">
        <v>223</v>
      </c>
    </row>
    <row r="49" spans="1:62" x14ac:dyDescent="0.35">
      <c r="A49" s="12" t="s">
        <v>59</v>
      </c>
      <c r="B49" s="12">
        <v>3.8211572417738697E-2</v>
      </c>
      <c r="C49" s="12">
        <v>0.9676470434726987</v>
      </c>
      <c r="D49" s="12">
        <v>3.5220214636044078E-2</v>
      </c>
      <c r="E49" s="12">
        <v>0.96477978536395592</v>
      </c>
      <c r="F49" s="12">
        <v>7.1606545280970838E-127</v>
      </c>
      <c r="G49" s="12">
        <v>1</v>
      </c>
      <c r="H49" s="12">
        <v>0</v>
      </c>
      <c r="I49" s="12">
        <v>1</v>
      </c>
      <c r="J49" s="12">
        <v>1.970744891997375E-100</v>
      </c>
      <c r="K49" s="12">
        <v>1</v>
      </c>
      <c r="L49" s="12">
        <v>0</v>
      </c>
      <c r="M49" s="12">
        <v>1</v>
      </c>
      <c r="N49" s="12">
        <v>2.6866680931156952E-57</v>
      </c>
      <c r="O49" s="12">
        <v>1</v>
      </c>
      <c r="P49" s="12">
        <v>0</v>
      </c>
      <c r="Q49" s="12">
        <v>1</v>
      </c>
      <c r="R49" s="12">
        <v>4.4255725709607187E-50</v>
      </c>
      <c r="S49" s="12">
        <v>1</v>
      </c>
      <c r="T49" s="12">
        <v>0</v>
      </c>
      <c r="U49" s="12">
        <v>1</v>
      </c>
      <c r="V49" s="12">
        <v>1</v>
      </c>
      <c r="W49" s="12">
        <v>2.178335365085946E-37</v>
      </c>
      <c r="X49" s="12">
        <v>1</v>
      </c>
      <c r="Y49" s="12">
        <v>3.180377913453164E-36</v>
      </c>
      <c r="Z49" s="12">
        <v>0.12132136960569349</v>
      </c>
      <c r="AA49" s="12">
        <v>0.8932160997258477</v>
      </c>
      <c r="AB49" s="12">
        <v>0.11389999699411479</v>
      </c>
      <c r="AC49" s="12">
        <v>0.88610000300588521</v>
      </c>
      <c r="AD49" s="12">
        <v>9.3964645870206983E-120</v>
      </c>
      <c r="AE49" s="12">
        <v>1</v>
      </c>
      <c r="AF49" s="12">
        <v>0</v>
      </c>
      <c r="AG49" s="12">
        <v>1</v>
      </c>
      <c r="AH49" s="12">
        <v>9.9867175468411924E-176</v>
      </c>
      <c r="AI49" s="12">
        <v>1</v>
      </c>
      <c r="AJ49" s="12">
        <v>0</v>
      </c>
      <c r="AK49" s="12">
        <v>1</v>
      </c>
      <c r="AL49" s="12">
        <v>8.6972830393244492E-4</v>
      </c>
      <c r="AM49" s="12">
        <v>0.99932957240549158</v>
      </c>
      <c r="AN49" s="12">
        <v>7.7310173854039377E-4</v>
      </c>
      <c r="AO49" s="12">
        <v>0.99922689826145961</v>
      </c>
      <c r="AP49" s="12">
        <v>2.4905535292694791E-235</v>
      </c>
      <c r="AQ49" s="12">
        <v>1</v>
      </c>
      <c r="AR49" s="12">
        <v>0</v>
      </c>
      <c r="AS49" s="12">
        <v>1</v>
      </c>
      <c r="AT49" s="12">
        <v>3.3069844796833391E-271</v>
      </c>
      <c r="AU49" s="12">
        <v>1</v>
      </c>
      <c r="AV49" s="12">
        <v>0</v>
      </c>
      <c r="AW49" s="12">
        <v>1</v>
      </c>
      <c r="AX49" s="12">
        <v>1</v>
      </c>
      <c r="AY49" s="12">
        <v>6.0586569339323469E-44</v>
      </c>
      <c r="AZ49" s="12">
        <v>1</v>
      </c>
      <c r="BA49" s="12">
        <v>3.0990813860664893E-42</v>
      </c>
      <c r="BB49" s="12">
        <v>1.4504506646774709E-172</v>
      </c>
      <c r="BC49" s="12">
        <v>1</v>
      </c>
      <c r="BD49" s="12">
        <v>0</v>
      </c>
      <c r="BE49" s="12">
        <v>1</v>
      </c>
      <c r="BF49" s="12">
        <v>7.8832504818009139E-34</v>
      </c>
      <c r="BG49" s="12">
        <v>1</v>
      </c>
      <c r="BH49" s="12">
        <v>0</v>
      </c>
      <c r="BI49" s="12">
        <v>1</v>
      </c>
      <c r="BJ49" s="12" t="s">
        <v>223</v>
      </c>
    </row>
    <row r="50" spans="1:62" x14ac:dyDescent="0.35">
      <c r="A50" s="12" t="s">
        <v>60</v>
      </c>
      <c r="B50" s="12">
        <v>9.3132563399741616E-5</v>
      </c>
      <c r="C50" s="12">
        <v>0.99993127286383343</v>
      </c>
      <c r="D50" s="12">
        <v>8.1986969491132378E-5</v>
      </c>
      <c r="E50" s="12">
        <v>0.99991801303050887</v>
      </c>
      <c r="F50" s="12">
        <v>5.1856979116479421E-55</v>
      </c>
      <c r="G50" s="12">
        <v>1</v>
      </c>
      <c r="H50" s="12">
        <v>0</v>
      </c>
      <c r="I50" s="12">
        <v>1</v>
      </c>
      <c r="J50" s="12">
        <v>1.4090188702553811E-55</v>
      </c>
      <c r="K50" s="12">
        <v>1</v>
      </c>
      <c r="L50" s="12">
        <v>0</v>
      </c>
      <c r="M50" s="12">
        <v>1</v>
      </c>
      <c r="N50" s="12">
        <v>9.692158585558598E-39</v>
      </c>
      <c r="O50" s="12">
        <v>1</v>
      </c>
      <c r="P50" s="12">
        <v>0</v>
      </c>
      <c r="Q50" s="12">
        <v>1</v>
      </c>
      <c r="R50" s="12">
        <v>1.6755297730258412E-33</v>
      </c>
      <c r="S50" s="12">
        <v>1</v>
      </c>
      <c r="T50" s="12">
        <v>0</v>
      </c>
      <c r="U50" s="12">
        <v>1</v>
      </c>
      <c r="V50" s="12">
        <v>4.6740756862825874E-41</v>
      </c>
      <c r="W50" s="12">
        <v>1</v>
      </c>
      <c r="X50" s="12">
        <v>0</v>
      </c>
      <c r="Y50" s="12">
        <v>1</v>
      </c>
      <c r="Z50" s="12">
        <v>3.0795873879392979E-60</v>
      </c>
      <c r="AA50" s="12">
        <v>1</v>
      </c>
      <c r="AB50" s="12">
        <v>0</v>
      </c>
      <c r="AC50" s="12">
        <v>1</v>
      </c>
      <c r="AD50" s="12">
        <v>5.727499916965907E-43</v>
      </c>
      <c r="AE50" s="12">
        <v>1</v>
      </c>
      <c r="AF50" s="12">
        <v>0</v>
      </c>
      <c r="AG50" s="12">
        <v>1</v>
      </c>
      <c r="AH50" s="12">
        <v>6.9096200754625612E-205</v>
      </c>
      <c r="AI50" s="12">
        <v>1</v>
      </c>
      <c r="AJ50" s="12">
        <v>0</v>
      </c>
      <c r="AK50" s="12">
        <v>1</v>
      </c>
      <c r="AL50" s="12">
        <v>0.96178842758226124</v>
      </c>
      <c r="AM50" s="12">
        <v>4.4907133435382003E-2</v>
      </c>
      <c r="AN50" s="12">
        <v>0.9585134696377936</v>
      </c>
      <c r="AO50" s="12">
        <v>4.1486530362206432E-2</v>
      </c>
      <c r="AP50" s="12">
        <v>2.293503273485017E-28</v>
      </c>
      <c r="AQ50" s="12">
        <v>1</v>
      </c>
      <c r="AR50" s="12">
        <v>0</v>
      </c>
      <c r="AS50" s="12">
        <v>1</v>
      </c>
      <c r="AT50" s="12">
        <v>9.2142964992411881E-145</v>
      </c>
      <c r="AU50" s="12">
        <v>1</v>
      </c>
      <c r="AV50" s="12">
        <v>0</v>
      </c>
      <c r="AW50" s="12">
        <v>1</v>
      </c>
      <c r="AX50" s="12">
        <v>1</v>
      </c>
      <c r="AY50" s="12">
        <v>1.143154095141778E-105</v>
      </c>
      <c r="AZ50" s="12">
        <v>1</v>
      </c>
      <c r="BA50" s="12">
        <v>1.0168727196369559E-93</v>
      </c>
      <c r="BB50" s="12">
        <v>1.672049815924878E-90</v>
      </c>
      <c r="BC50" s="12">
        <v>1</v>
      </c>
      <c r="BD50" s="12">
        <v>0</v>
      </c>
      <c r="BE50" s="12">
        <v>1</v>
      </c>
      <c r="BF50" s="12">
        <v>0.99945864322578803</v>
      </c>
      <c r="BG50" s="12">
        <v>6.4424218952854613E-4</v>
      </c>
      <c r="BH50" s="12">
        <v>0.99940598859328844</v>
      </c>
      <c r="BI50" s="12">
        <v>5.940114067115894E-4</v>
      </c>
      <c r="BJ50" s="12" t="s">
        <v>223</v>
      </c>
    </row>
    <row r="51" spans="1:62" x14ac:dyDescent="0.35">
      <c r="A51" s="12" t="s">
        <v>61</v>
      </c>
      <c r="B51" s="12">
        <v>1</v>
      </c>
      <c r="C51" s="12">
        <v>2.66113438101818E-22</v>
      </c>
      <c r="D51" s="12">
        <v>1</v>
      </c>
      <c r="E51" s="12">
        <v>5.1931293277504298E-22</v>
      </c>
      <c r="F51" s="12">
        <v>0.23698086456375611</v>
      </c>
      <c r="G51" s="12">
        <v>0.78565405479424744</v>
      </c>
      <c r="H51" s="12">
        <v>0.225491159634442</v>
      </c>
      <c r="I51" s="12">
        <v>0.774508840365558</v>
      </c>
      <c r="J51" s="12">
        <v>1.014234386638713E-56</v>
      </c>
      <c r="K51" s="12">
        <v>1</v>
      </c>
      <c r="L51" s="12">
        <v>0</v>
      </c>
      <c r="M51" s="12">
        <v>1</v>
      </c>
      <c r="N51" s="12">
        <v>1.672935226012477E-36</v>
      </c>
      <c r="O51" s="12">
        <v>1</v>
      </c>
      <c r="P51" s="12">
        <v>0</v>
      </c>
      <c r="Q51" s="12">
        <v>1</v>
      </c>
      <c r="R51" s="12">
        <v>0.99629541745891781</v>
      </c>
      <c r="S51" s="12">
        <v>4.6298355537997774E-3</v>
      </c>
      <c r="T51" s="12">
        <v>0.99583292771109133</v>
      </c>
      <c r="U51" s="12">
        <v>4.1670722889086756E-3</v>
      </c>
      <c r="V51" s="12">
        <v>1</v>
      </c>
      <c r="W51" s="12">
        <v>5.0459623456448502E-49</v>
      </c>
      <c r="X51" s="12">
        <v>1</v>
      </c>
      <c r="Y51" s="12">
        <v>7.9976142288709913E-47</v>
      </c>
      <c r="Z51" s="12">
        <v>6.7042759450837246E-4</v>
      </c>
      <c r="AA51" s="12">
        <v>0.99948598562048263</v>
      </c>
      <c r="AB51" s="12">
        <v>5.9504019172740286E-4</v>
      </c>
      <c r="AC51" s="12">
        <v>0.9994049598082726</v>
      </c>
      <c r="AD51" s="12">
        <v>0.45499406440791129</v>
      </c>
      <c r="AE51" s="12">
        <v>0.57472747643240507</v>
      </c>
      <c r="AF51" s="12">
        <v>0.4400842274533634</v>
      </c>
      <c r="AG51" s="12">
        <v>0.5599157725466366</v>
      </c>
      <c r="AH51" s="12">
        <v>6.6978574091944809E-160</v>
      </c>
      <c r="AI51" s="12">
        <v>1</v>
      </c>
      <c r="AJ51" s="12">
        <v>0</v>
      </c>
      <c r="AK51" s="12">
        <v>1</v>
      </c>
      <c r="AL51" s="12">
        <v>0.99999999987208177</v>
      </c>
      <c r="AM51" s="12">
        <v>2.0924884743097259E-10</v>
      </c>
      <c r="AN51" s="12">
        <v>0.99999999980296728</v>
      </c>
      <c r="AO51" s="12">
        <v>1.9703275787215481E-10</v>
      </c>
      <c r="AP51" s="12">
        <v>3.4574262597071033E-2</v>
      </c>
      <c r="AQ51" s="12">
        <v>0.97003143955156745</v>
      </c>
      <c r="AR51" s="12">
        <v>3.2230894181142111E-2</v>
      </c>
      <c r="AS51" s="12">
        <v>0.96776910581885789</v>
      </c>
      <c r="AT51" s="12">
        <v>1.630045299960834E-117</v>
      </c>
      <c r="AU51" s="12">
        <v>1</v>
      </c>
      <c r="AV51" s="12">
        <v>0</v>
      </c>
      <c r="AW51" s="12">
        <v>1</v>
      </c>
      <c r="AX51" s="12">
        <v>0.99766543951883324</v>
      </c>
      <c r="AY51" s="12">
        <v>2.9486412910011898E-3</v>
      </c>
      <c r="AZ51" s="12">
        <v>0.99735628298165491</v>
      </c>
      <c r="BA51" s="12">
        <v>2.6437170183450541E-3</v>
      </c>
      <c r="BB51" s="12">
        <v>2.032373850949085E-24</v>
      </c>
      <c r="BC51" s="12">
        <v>1</v>
      </c>
      <c r="BD51" s="12">
        <v>0</v>
      </c>
      <c r="BE51" s="12">
        <v>1</v>
      </c>
      <c r="BF51" s="12">
        <v>1</v>
      </c>
      <c r="BG51" s="12">
        <v>2.284081870274708E-65</v>
      </c>
      <c r="BH51" s="12">
        <v>1</v>
      </c>
      <c r="BI51" s="12">
        <v>1.1677375384758389E-63</v>
      </c>
      <c r="BJ51" s="12" t="s">
        <v>223</v>
      </c>
    </row>
    <row r="52" spans="1:62" x14ac:dyDescent="0.35">
      <c r="A52" s="12" t="s">
        <v>62</v>
      </c>
      <c r="B52" s="12">
        <v>1.7013931268919171E-135</v>
      </c>
      <c r="C52" s="12">
        <v>1</v>
      </c>
      <c r="D52" s="12">
        <v>0</v>
      </c>
      <c r="E52" s="12">
        <v>1</v>
      </c>
      <c r="F52" s="12">
        <v>1.1881822289344749E-212</v>
      </c>
      <c r="G52" s="12">
        <v>1</v>
      </c>
      <c r="H52" s="12">
        <v>0</v>
      </c>
      <c r="I52" s="12">
        <v>1</v>
      </c>
      <c r="J52" s="12">
        <v>1.1881822289344749E-212</v>
      </c>
      <c r="K52" s="12">
        <v>1</v>
      </c>
      <c r="L52" s="12">
        <v>0</v>
      </c>
      <c r="M52" s="12">
        <v>1</v>
      </c>
      <c r="N52" s="12">
        <v>6.5456300674276173E-83</v>
      </c>
      <c r="O52" s="12">
        <v>1</v>
      </c>
      <c r="P52" s="12">
        <v>0</v>
      </c>
      <c r="Q52" s="12">
        <v>1</v>
      </c>
      <c r="R52" s="12">
        <v>1.1881822289344749E-212</v>
      </c>
      <c r="S52" s="12">
        <v>1</v>
      </c>
      <c r="T52" s="12">
        <v>0</v>
      </c>
      <c r="U52" s="12">
        <v>1</v>
      </c>
      <c r="V52" s="12">
        <v>0.99999999999996103</v>
      </c>
      <c r="W52" s="12">
        <v>6.9760701953280878E-14</v>
      </c>
      <c r="X52" s="12">
        <v>0.99999999999992495</v>
      </c>
      <c r="Y52" s="12">
        <v>7.507352722503857E-14</v>
      </c>
      <c r="Z52" s="12">
        <v>7.2840856359823728E-30</v>
      </c>
      <c r="AA52" s="12">
        <v>1</v>
      </c>
      <c r="AB52" s="12">
        <v>0</v>
      </c>
      <c r="AC52" s="12">
        <v>1</v>
      </c>
      <c r="AD52" s="12">
        <v>7.2250008608970368E-179</v>
      </c>
      <c r="AE52" s="12">
        <v>1</v>
      </c>
      <c r="AF52" s="12">
        <v>0</v>
      </c>
      <c r="AG52" s="12">
        <v>1</v>
      </c>
      <c r="AH52" s="12">
        <v>1.1881822289344749E-212</v>
      </c>
      <c r="AI52" s="12">
        <v>1</v>
      </c>
      <c r="AJ52" s="12">
        <v>0</v>
      </c>
      <c r="AK52" s="12">
        <v>1</v>
      </c>
      <c r="AL52" s="12">
        <v>1.728284543766001E-194</v>
      </c>
      <c r="AM52" s="12">
        <v>1</v>
      </c>
      <c r="AN52" s="12">
        <v>0</v>
      </c>
      <c r="AO52" s="12">
        <v>1</v>
      </c>
      <c r="AP52" s="12">
        <v>6.1162364502226952E-297</v>
      </c>
      <c r="AQ52" s="12">
        <v>1</v>
      </c>
      <c r="AR52" s="12">
        <v>0</v>
      </c>
      <c r="AS52" s="12">
        <v>1</v>
      </c>
      <c r="AT52" s="12">
        <v>0</v>
      </c>
      <c r="AU52" s="12">
        <v>1</v>
      </c>
      <c r="AV52" s="12">
        <v>0</v>
      </c>
      <c r="AW52" s="12">
        <v>1</v>
      </c>
      <c r="AX52" s="12">
        <v>0.99999999999932698</v>
      </c>
      <c r="AY52" s="12">
        <v>1.168289654423001E-12</v>
      </c>
      <c r="AZ52" s="12">
        <v>0.99999999999880962</v>
      </c>
      <c r="BA52" s="12">
        <v>1.1904094046586059E-12</v>
      </c>
      <c r="BB52" s="12">
        <v>6.1162364502226952E-297</v>
      </c>
      <c r="BC52" s="12">
        <v>1</v>
      </c>
      <c r="BD52" s="12">
        <v>0</v>
      </c>
      <c r="BE52" s="12">
        <v>1</v>
      </c>
      <c r="BF52" s="12">
        <v>0</v>
      </c>
      <c r="BG52" s="12">
        <v>1</v>
      </c>
      <c r="BH52" s="12">
        <v>0</v>
      </c>
      <c r="BI52" s="12">
        <v>1</v>
      </c>
      <c r="BJ52" s="12" t="s">
        <v>223</v>
      </c>
    </row>
    <row r="53" spans="1:62" x14ac:dyDescent="0.35">
      <c r="A53" s="12" t="s">
        <v>63</v>
      </c>
      <c r="B53" s="12">
        <v>1</v>
      </c>
      <c r="C53" s="12">
        <v>8.8247572463066848E-105</v>
      </c>
      <c r="D53" s="12">
        <v>1</v>
      </c>
      <c r="E53" s="12">
        <v>4.7731738252445284E-93</v>
      </c>
      <c r="F53" s="12">
        <v>2.089901580498296E-165</v>
      </c>
      <c r="G53" s="12">
        <v>1</v>
      </c>
      <c r="H53" s="12">
        <v>0</v>
      </c>
      <c r="I53" s="12">
        <v>1</v>
      </c>
      <c r="J53" s="12">
        <v>0.99998615736150531</v>
      </c>
      <c r="K53" s="12">
        <v>1.9285241824994172E-5</v>
      </c>
      <c r="L53" s="12">
        <v>0.99998306712934337</v>
      </c>
      <c r="M53" s="12">
        <v>1.6932870656650061E-5</v>
      </c>
      <c r="N53" s="12">
        <v>0.99999999999993028</v>
      </c>
      <c r="O53" s="12">
        <v>1.240624711943028E-13</v>
      </c>
      <c r="P53" s="12">
        <v>0.99999999999986811</v>
      </c>
      <c r="Q53" s="12">
        <v>1.319407581265117E-13</v>
      </c>
      <c r="R53" s="12">
        <v>2.9522028872401471E-30</v>
      </c>
      <c r="S53" s="12">
        <v>1</v>
      </c>
      <c r="T53" s="12">
        <v>0</v>
      </c>
      <c r="U53" s="12">
        <v>1</v>
      </c>
      <c r="V53" s="12">
        <v>1</v>
      </c>
      <c r="W53" s="12">
        <v>5.5388766361411054E-80</v>
      </c>
      <c r="X53" s="12">
        <v>1</v>
      </c>
      <c r="Y53" s="12">
        <v>1.8869846548259529E-73</v>
      </c>
      <c r="Z53" s="12">
        <v>1</v>
      </c>
      <c r="AA53" s="12">
        <v>3.837347498761025E-65</v>
      </c>
      <c r="AB53" s="12">
        <v>1</v>
      </c>
      <c r="AC53" s="12">
        <v>5.609523190952714E-61</v>
      </c>
      <c r="AD53" s="12">
        <v>1.5346390564693779E-18</v>
      </c>
      <c r="AE53" s="12">
        <v>1</v>
      </c>
      <c r="AF53" s="12">
        <v>0</v>
      </c>
      <c r="AG53" s="12">
        <v>1</v>
      </c>
      <c r="AH53" s="12">
        <v>3.5877207661542398E-82</v>
      </c>
      <c r="AI53" s="12">
        <v>1</v>
      </c>
      <c r="AJ53" s="12">
        <v>0</v>
      </c>
      <c r="AK53" s="12">
        <v>1</v>
      </c>
      <c r="AL53" s="12">
        <v>4.7695483598372971E-62</v>
      </c>
      <c r="AM53" s="12">
        <v>1</v>
      </c>
      <c r="AN53" s="12">
        <v>0</v>
      </c>
      <c r="AO53" s="12">
        <v>1</v>
      </c>
      <c r="AP53" s="12">
        <v>6.1162364502226952E-297</v>
      </c>
      <c r="AQ53" s="12">
        <v>1</v>
      </c>
      <c r="AR53" s="12">
        <v>0</v>
      </c>
      <c r="AS53" s="12">
        <v>1</v>
      </c>
      <c r="AT53" s="12">
        <v>0.57846148769984329</v>
      </c>
      <c r="AU53" s="12">
        <v>0.44098623276323662</v>
      </c>
      <c r="AV53" s="12">
        <v>0.5687618319115062</v>
      </c>
      <c r="AW53" s="12">
        <v>0.43123816808849369</v>
      </c>
      <c r="AX53" s="12">
        <v>1</v>
      </c>
      <c r="AY53" s="12">
        <v>7.9899061529616995E-167</v>
      </c>
      <c r="AZ53" s="12">
        <v>1</v>
      </c>
      <c r="BA53" s="12">
        <v>1.9070133733283601E-134</v>
      </c>
      <c r="BB53" s="12">
        <v>8.3855888561412649E-179</v>
      </c>
      <c r="BC53" s="12">
        <v>1</v>
      </c>
      <c r="BD53" s="12">
        <v>0</v>
      </c>
      <c r="BE53" s="12">
        <v>1</v>
      </c>
      <c r="BF53" s="12">
        <v>1</v>
      </c>
      <c r="BG53" s="12">
        <v>1.9654896879821679E-55</v>
      </c>
      <c r="BH53" s="12">
        <v>1</v>
      </c>
      <c r="BI53" s="12">
        <v>2.928129176771024E-54</v>
      </c>
      <c r="BJ53" s="12" t="s">
        <v>223</v>
      </c>
    </row>
    <row r="54" spans="1:62" x14ac:dyDescent="0.35">
      <c r="A54" s="12" t="s">
        <v>64</v>
      </c>
      <c r="B54" s="12">
        <v>1.945343773751816E-81</v>
      </c>
      <c r="C54" s="12">
        <v>1</v>
      </c>
      <c r="D54" s="12">
        <v>0</v>
      </c>
      <c r="E54" s="12">
        <v>1</v>
      </c>
      <c r="F54" s="12">
        <v>8.376684713988048E-210</v>
      </c>
      <c r="G54" s="12">
        <v>1</v>
      </c>
      <c r="H54" s="12">
        <v>0</v>
      </c>
      <c r="I54" s="12">
        <v>1</v>
      </c>
      <c r="J54" s="12">
        <v>8.9715612864430663E-184</v>
      </c>
      <c r="K54" s="12">
        <v>1</v>
      </c>
      <c r="L54" s="12">
        <v>0</v>
      </c>
      <c r="M54" s="12">
        <v>1</v>
      </c>
      <c r="N54" s="12">
        <v>1.122046647098312E-86</v>
      </c>
      <c r="O54" s="12">
        <v>1</v>
      </c>
      <c r="P54" s="12">
        <v>0</v>
      </c>
      <c r="Q54" s="12">
        <v>1</v>
      </c>
      <c r="R54" s="12">
        <v>5.2563298167933999E-164</v>
      </c>
      <c r="S54" s="12">
        <v>1</v>
      </c>
      <c r="T54" s="12">
        <v>0</v>
      </c>
      <c r="U54" s="12">
        <v>1</v>
      </c>
      <c r="V54" s="12">
        <v>1</v>
      </c>
      <c r="W54" s="12">
        <v>4.3442945899577279E-29</v>
      </c>
      <c r="X54" s="12">
        <v>1</v>
      </c>
      <c r="Y54" s="12">
        <v>1.8042922837426549E-28</v>
      </c>
      <c r="Z54" s="12">
        <v>2.3349270348625991E-91</v>
      </c>
      <c r="AA54" s="12">
        <v>1</v>
      </c>
      <c r="AB54" s="12">
        <v>0</v>
      </c>
      <c r="AC54" s="12">
        <v>1</v>
      </c>
      <c r="AD54" s="12">
        <v>3.4045060532262742E-187</v>
      </c>
      <c r="AE54" s="12">
        <v>1</v>
      </c>
      <c r="AF54" s="12">
        <v>0</v>
      </c>
      <c r="AG54" s="12">
        <v>1</v>
      </c>
      <c r="AH54" s="12">
        <v>1.1881822289344749E-212</v>
      </c>
      <c r="AI54" s="12">
        <v>1</v>
      </c>
      <c r="AJ54" s="12">
        <v>0</v>
      </c>
      <c r="AK54" s="12">
        <v>1</v>
      </c>
      <c r="AL54" s="12">
        <v>1.814955626850813E-185</v>
      </c>
      <c r="AM54" s="12">
        <v>1</v>
      </c>
      <c r="AN54" s="12">
        <v>0</v>
      </c>
      <c r="AO54" s="12">
        <v>1</v>
      </c>
      <c r="AP54" s="12">
        <v>6.1162364502226952E-297</v>
      </c>
      <c r="AQ54" s="12">
        <v>1</v>
      </c>
      <c r="AR54" s="12">
        <v>0</v>
      </c>
      <c r="AS54" s="12">
        <v>1</v>
      </c>
      <c r="AT54" s="14">
        <v>1.2195864150166039E-232</v>
      </c>
      <c r="AU54" s="12">
        <v>1</v>
      </c>
      <c r="AV54" s="12">
        <v>0</v>
      </c>
      <c r="AW54" s="12">
        <v>1</v>
      </c>
      <c r="AX54" s="12">
        <v>0.99999999999410327</v>
      </c>
      <c r="AY54" s="12">
        <v>9.9948438318163314E-12</v>
      </c>
      <c r="AZ54" s="12">
        <v>0.99999999999017686</v>
      </c>
      <c r="BA54" s="12">
        <v>9.8231790119089948E-12</v>
      </c>
      <c r="BB54" s="12">
        <v>6.1162364502226952E-297</v>
      </c>
      <c r="BC54" s="12">
        <v>1</v>
      </c>
      <c r="BD54" s="12">
        <v>0</v>
      </c>
      <c r="BE54" s="12">
        <v>1</v>
      </c>
      <c r="BF54" s="12">
        <v>0.99991637152609636</v>
      </c>
      <c r="BG54" s="12">
        <v>1.018657055634177E-4</v>
      </c>
      <c r="BH54" s="12">
        <v>0.9999067604642492</v>
      </c>
      <c r="BI54" s="12">
        <v>9.323953575075903E-5</v>
      </c>
      <c r="BJ54" s="12" t="s">
        <v>223</v>
      </c>
    </row>
    <row r="55" spans="1:62" x14ac:dyDescent="0.35">
      <c r="A55" s="12" t="s">
        <v>65</v>
      </c>
      <c r="B55" s="12">
        <v>1.1881822289344749E-212</v>
      </c>
      <c r="C55" s="12">
        <v>1</v>
      </c>
      <c r="D55" s="12">
        <v>0</v>
      </c>
      <c r="E55" s="12">
        <v>1</v>
      </c>
      <c r="F55" s="12">
        <v>1.1881822289344749E-212</v>
      </c>
      <c r="G55" s="12">
        <v>1</v>
      </c>
      <c r="H55" s="12">
        <v>0</v>
      </c>
      <c r="I55" s="12">
        <v>1</v>
      </c>
      <c r="J55" s="12">
        <v>1.1881822289344749E-212</v>
      </c>
      <c r="K55" s="12">
        <v>1</v>
      </c>
      <c r="L55" s="12">
        <v>0</v>
      </c>
      <c r="M55" s="12">
        <v>1</v>
      </c>
      <c r="N55" s="14">
        <v>1.1881822289344749E-212</v>
      </c>
      <c r="O55" s="12">
        <v>1</v>
      </c>
      <c r="P55" s="12">
        <v>0</v>
      </c>
      <c r="Q55" s="12">
        <v>1</v>
      </c>
      <c r="R55" s="14">
        <v>1.1881822289344749E-212</v>
      </c>
      <c r="S55" s="12">
        <v>1</v>
      </c>
      <c r="T55" s="12">
        <v>0</v>
      </c>
      <c r="U55" s="12">
        <v>1</v>
      </c>
      <c r="V55" s="14">
        <v>1.1881822289344749E-212</v>
      </c>
      <c r="W55" s="12">
        <v>1</v>
      </c>
      <c r="X55" s="12">
        <v>0</v>
      </c>
      <c r="Y55" s="12">
        <v>1</v>
      </c>
      <c r="Z55" s="14">
        <v>1.1881822289344749E-212</v>
      </c>
      <c r="AA55" s="12">
        <v>1</v>
      </c>
      <c r="AB55" s="12">
        <v>0</v>
      </c>
      <c r="AC55" s="12">
        <v>1</v>
      </c>
      <c r="AD55" s="14">
        <v>1.1881822289344749E-212</v>
      </c>
      <c r="AE55" s="12">
        <v>1</v>
      </c>
      <c r="AF55" s="12">
        <v>0</v>
      </c>
      <c r="AG55" s="12">
        <v>1</v>
      </c>
      <c r="AH55" s="14">
        <v>1.1881822289344749E-212</v>
      </c>
      <c r="AI55" s="12">
        <v>1</v>
      </c>
      <c r="AJ55" s="12">
        <v>0</v>
      </c>
      <c r="AK55" s="12">
        <v>1</v>
      </c>
      <c r="AL55" s="14">
        <v>1.1881822289344749E-212</v>
      </c>
      <c r="AM55" s="12">
        <v>1</v>
      </c>
      <c r="AN55" s="12">
        <v>0</v>
      </c>
      <c r="AO55" s="12">
        <v>1</v>
      </c>
      <c r="AP55" s="14">
        <v>6.1162364502226952E-297</v>
      </c>
      <c r="AQ55" s="12">
        <v>1</v>
      </c>
      <c r="AR55" s="12">
        <v>0</v>
      </c>
      <c r="AS55" s="12">
        <v>1</v>
      </c>
      <c r="AT55" s="12">
        <v>0</v>
      </c>
      <c r="AU55" s="12">
        <v>1</v>
      </c>
      <c r="AV55" s="12">
        <v>0</v>
      </c>
      <c r="AW55" s="12">
        <v>1</v>
      </c>
      <c r="AX55" s="12">
        <v>1</v>
      </c>
      <c r="AY55" s="12">
        <v>9.3163432430796114E-191</v>
      </c>
      <c r="AZ55" s="12">
        <v>1</v>
      </c>
      <c r="BA55" s="12">
        <v>7.5830187381639306E-147</v>
      </c>
      <c r="BB55" s="14">
        <v>6.1162364502226952E-297</v>
      </c>
      <c r="BC55" s="12">
        <v>1</v>
      </c>
      <c r="BD55" s="12">
        <v>0</v>
      </c>
      <c r="BE55" s="12">
        <v>1</v>
      </c>
      <c r="BF55" s="12">
        <v>0</v>
      </c>
      <c r="BG55" s="12">
        <v>1</v>
      </c>
      <c r="BH55" s="12">
        <v>0</v>
      </c>
      <c r="BI55" s="12">
        <v>1</v>
      </c>
      <c r="BJ55" s="12" t="s">
        <v>223</v>
      </c>
    </row>
  </sheetData>
  <autoFilter ref="A1:BJ55" xr:uid="{00000000-0001-0000-10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5"/>
  <sheetViews>
    <sheetView workbookViewId="0"/>
  </sheetViews>
  <sheetFormatPr defaultRowHeight="14.5" x14ac:dyDescent="0.35"/>
  <cols>
    <col min="1" max="1" width="23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352</v>
      </c>
      <c r="C2" s="2">
        <v>352</v>
      </c>
      <c r="D2" s="2">
        <v>0.5</v>
      </c>
      <c r="E2" s="2">
        <v>0.51503036448818196</v>
      </c>
      <c r="F2" s="2">
        <v>0.51503036448818196</v>
      </c>
      <c r="G2" s="2">
        <v>1</v>
      </c>
      <c r="H2" s="2">
        <v>0.5</v>
      </c>
      <c r="I2" s="2">
        <v>0.5</v>
      </c>
      <c r="J2" s="2">
        <v>1</v>
      </c>
      <c r="K2" s="2" t="s">
        <v>12</v>
      </c>
    </row>
    <row r="3" spans="1:11" x14ac:dyDescent="0.35">
      <c r="A3" s="2" t="s">
        <v>13</v>
      </c>
      <c r="B3" s="2">
        <v>302</v>
      </c>
      <c r="C3" s="2">
        <v>402</v>
      </c>
      <c r="D3" s="2">
        <v>0.42897727272727271</v>
      </c>
      <c r="E3" s="2">
        <v>0.99993127286383343</v>
      </c>
      <c r="F3" s="2">
        <v>9.3132563399741616E-5</v>
      </c>
      <c r="G3" s="2">
        <v>1.8626512679948321E-4</v>
      </c>
      <c r="H3" s="2">
        <v>0.99991801303050887</v>
      </c>
      <c r="I3" s="2">
        <v>8.1986969491158737E-5</v>
      </c>
      <c r="J3" s="2">
        <v>1.6397393898226481E-4</v>
      </c>
      <c r="K3" s="2" t="s">
        <v>2</v>
      </c>
    </row>
    <row r="4" spans="1:11" x14ac:dyDescent="0.35">
      <c r="A4" s="2" t="s">
        <v>14</v>
      </c>
      <c r="B4" s="2">
        <v>297</v>
      </c>
      <c r="C4" s="2">
        <v>407</v>
      </c>
      <c r="D4" s="2">
        <v>0.421875</v>
      </c>
      <c r="E4" s="2">
        <v>0.99998615736150531</v>
      </c>
      <c r="F4" s="2">
        <v>1.9285241824994172E-5</v>
      </c>
      <c r="G4" s="2">
        <v>3.8570483649988343E-5</v>
      </c>
      <c r="H4" s="2">
        <v>0.99998306712934337</v>
      </c>
      <c r="I4" s="2">
        <v>1.6932870656650061E-5</v>
      </c>
      <c r="J4" s="2">
        <v>3.3865741313254823E-5</v>
      </c>
      <c r="K4" s="2" t="s">
        <v>2</v>
      </c>
    </row>
    <row r="5" spans="1:11" x14ac:dyDescent="0.35">
      <c r="A5" s="2" t="s">
        <v>15</v>
      </c>
      <c r="B5" s="2">
        <v>332</v>
      </c>
      <c r="C5" s="2">
        <v>372</v>
      </c>
      <c r="D5" s="2">
        <v>0.47159090909090912</v>
      </c>
      <c r="E5" s="2">
        <v>0.93888725506558557</v>
      </c>
      <c r="F5" s="2">
        <v>7.0771444478710852E-2</v>
      </c>
      <c r="G5" s="2">
        <v>0.1415428889574217</v>
      </c>
      <c r="H5" s="2">
        <v>0.93416599198859274</v>
      </c>
      <c r="I5" s="2">
        <v>6.5834008011407277E-2</v>
      </c>
      <c r="J5" s="2">
        <v>0.1316680160228145</v>
      </c>
      <c r="K5" s="2" t="s">
        <v>12</v>
      </c>
    </row>
    <row r="6" spans="1:11" x14ac:dyDescent="0.35">
      <c r="A6" s="2" t="s">
        <v>16</v>
      </c>
      <c r="B6" s="2">
        <v>411</v>
      </c>
      <c r="C6" s="2">
        <v>293</v>
      </c>
      <c r="D6" s="2">
        <v>0.58380681818181823</v>
      </c>
      <c r="E6" s="2">
        <v>4.9504061134201882E-6</v>
      </c>
      <c r="F6" s="2">
        <v>0.99999652535152628</v>
      </c>
      <c r="G6" s="2">
        <v>9.9008122268403763E-6</v>
      </c>
      <c r="H6" s="2">
        <v>4.3479729709972048E-6</v>
      </c>
      <c r="I6" s="2">
        <v>0.999995652027029</v>
      </c>
      <c r="J6" s="2">
        <v>8.6959459419944096E-6</v>
      </c>
      <c r="K6" s="2" t="s">
        <v>1</v>
      </c>
    </row>
    <row r="7" spans="1:11" x14ac:dyDescent="0.35">
      <c r="A7" s="2" t="s">
        <v>17</v>
      </c>
      <c r="B7" s="2">
        <v>302</v>
      </c>
      <c r="C7" s="2">
        <v>402</v>
      </c>
      <c r="D7" s="2">
        <v>0.42897727272727271</v>
      </c>
      <c r="E7" s="2">
        <v>0.99993127286383343</v>
      </c>
      <c r="F7" s="2">
        <v>9.3132563399741616E-5</v>
      </c>
      <c r="G7" s="2">
        <v>1.8626512679948321E-4</v>
      </c>
      <c r="H7" s="2">
        <v>0.99991801303050887</v>
      </c>
      <c r="I7" s="2">
        <v>8.1986969491158737E-5</v>
      </c>
      <c r="J7" s="2">
        <v>1.6397393898226481E-4</v>
      </c>
      <c r="K7" s="2" t="s">
        <v>2</v>
      </c>
    </row>
    <row r="8" spans="1:11" x14ac:dyDescent="0.35">
      <c r="A8" s="2" t="s">
        <v>18</v>
      </c>
      <c r="B8" s="2">
        <v>312</v>
      </c>
      <c r="C8" s="2">
        <v>392</v>
      </c>
      <c r="D8" s="2">
        <v>0.44318181818181818</v>
      </c>
      <c r="E8" s="2">
        <v>0.99887778140824413</v>
      </c>
      <c r="F8" s="2">
        <v>1.440259242764247E-3</v>
      </c>
      <c r="G8" s="2">
        <v>2.880518485528494E-3</v>
      </c>
      <c r="H8" s="2">
        <v>0.99871558423648865</v>
      </c>
      <c r="I8" s="2">
        <v>1.284415763511356E-3</v>
      </c>
      <c r="J8" s="2">
        <v>2.5688315270226969E-3</v>
      </c>
      <c r="K8" s="2" t="s">
        <v>2</v>
      </c>
    </row>
    <row r="9" spans="1:11" x14ac:dyDescent="0.35">
      <c r="A9" s="2" t="s">
        <v>19</v>
      </c>
      <c r="B9" s="2">
        <v>336</v>
      </c>
      <c r="C9" s="2">
        <v>368</v>
      </c>
      <c r="D9" s="2">
        <v>0.47727272727272729</v>
      </c>
      <c r="E9" s="2">
        <v>0.8932160997258477</v>
      </c>
      <c r="F9" s="2">
        <v>0.12132136960569349</v>
      </c>
      <c r="G9" s="2">
        <v>0.24264273921138699</v>
      </c>
      <c r="H9" s="2">
        <v>0.88610000300588521</v>
      </c>
      <c r="I9" s="2">
        <v>0.1138999969941147</v>
      </c>
      <c r="J9" s="2">
        <v>0.22779999398822959</v>
      </c>
      <c r="K9" s="2" t="s">
        <v>12</v>
      </c>
    </row>
    <row r="10" spans="1:11" x14ac:dyDescent="0.35">
      <c r="A10" s="2" t="s">
        <v>20</v>
      </c>
      <c r="B10" s="2">
        <v>382</v>
      </c>
      <c r="C10" s="2">
        <v>322</v>
      </c>
      <c r="D10" s="2">
        <v>0.54261363636363635</v>
      </c>
      <c r="E10" s="2">
        <v>1.305113666870847E-2</v>
      </c>
      <c r="F10" s="2">
        <v>0.98928135886028723</v>
      </c>
      <c r="G10" s="2">
        <v>2.610227333741693E-2</v>
      </c>
      <c r="H10" s="2">
        <v>1.186925762502733E-2</v>
      </c>
      <c r="I10" s="2">
        <v>0.98813074237497267</v>
      </c>
      <c r="J10" s="2">
        <v>2.3738515250054659E-2</v>
      </c>
      <c r="K10" s="2" t="s">
        <v>1</v>
      </c>
    </row>
    <row r="11" spans="1:11" x14ac:dyDescent="0.35">
      <c r="A11" s="2" t="s">
        <v>21</v>
      </c>
      <c r="B11" s="2">
        <v>416</v>
      </c>
      <c r="C11" s="2">
        <v>288</v>
      </c>
      <c r="D11" s="2">
        <v>0.59090909090909094</v>
      </c>
      <c r="E11" s="2">
        <v>7.9707961039300455E-7</v>
      </c>
      <c r="F11" s="2">
        <v>0.99999945612132479</v>
      </c>
      <c r="G11" s="2">
        <v>1.5941592207860091E-6</v>
      </c>
      <c r="H11" s="2">
        <v>7.028967590194668E-7</v>
      </c>
      <c r="I11" s="2">
        <v>0.99999929710324098</v>
      </c>
      <c r="J11" s="2">
        <v>1.405793518038934E-6</v>
      </c>
      <c r="K11" s="2" t="s">
        <v>1</v>
      </c>
    </row>
    <row r="12" spans="1:11" x14ac:dyDescent="0.35">
      <c r="A12" s="2" t="s">
        <v>22</v>
      </c>
      <c r="B12" s="2">
        <v>517</v>
      </c>
      <c r="C12" s="2">
        <v>187</v>
      </c>
      <c r="D12" s="2">
        <v>0.734375</v>
      </c>
      <c r="E12" s="2">
        <v>6.0586065370963564E-37</v>
      </c>
      <c r="F12" s="2">
        <v>1</v>
      </c>
      <c r="G12" s="2">
        <v>1.2117213074192709E-36</v>
      </c>
      <c r="H12" s="2">
        <v>0</v>
      </c>
      <c r="I12" s="2">
        <v>1</v>
      </c>
      <c r="J12" s="2">
        <v>0</v>
      </c>
      <c r="K12" s="2" t="s">
        <v>1</v>
      </c>
    </row>
    <row r="13" spans="1:11" x14ac:dyDescent="0.35">
      <c r="A13" s="2" t="s">
        <v>23</v>
      </c>
      <c r="B13" s="2">
        <v>576</v>
      </c>
      <c r="C13" s="2">
        <v>128</v>
      </c>
      <c r="D13" s="2">
        <v>0.81818181818181823</v>
      </c>
      <c r="E13" s="2">
        <v>5.4826488871356029E-69</v>
      </c>
      <c r="F13" s="2">
        <v>1</v>
      </c>
      <c r="G13" s="2">
        <v>1.096529777427121E-68</v>
      </c>
      <c r="H13" s="2">
        <v>0</v>
      </c>
      <c r="I13" s="2">
        <v>1</v>
      </c>
      <c r="J13" s="2">
        <v>0</v>
      </c>
      <c r="K13" s="2" t="s">
        <v>1</v>
      </c>
    </row>
    <row r="14" spans="1:11" x14ac:dyDescent="0.35">
      <c r="A14" s="2" t="s">
        <v>24</v>
      </c>
      <c r="B14" s="2">
        <v>452</v>
      </c>
      <c r="C14" s="2">
        <v>252</v>
      </c>
      <c r="D14" s="2">
        <v>0.64204545454545459</v>
      </c>
      <c r="E14" s="2">
        <v>2.1659689066834469E-14</v>
      </c>
      <c r="F14" s="2">
        <v>0.99999999999998801</v>
      </c>
      <c r="G14" s="2">
        <v>4.3319378133668937E-14</v>
      </c>
      <c r="H14" s="2">
        <v>2.3869795029440869E-14</v>
      </c>
      <c r="I14" s="2">
        <v>0.99999999999997613</v>
      </c>
      <c r="J14" s="2">
        <v>4.7739590058881731E-14</v>
      </c>
      <c r="K14" s="2" t="s">
        <v>1</v>
      </c>
    </row>
    <row r="15" spans="1:11" x14ac:dyDescent="0.35">
      <c r="A15" s="2" t="s">
        <v>25</v>
      </c>
      <c r="B15" s="2">
        <v>499</v>
      </c>
      <c r="C15" s="2">
        <v>205</v>
      </c>
      <c r="D15" s="2">
        <v>0.70880681818181823</v>
      </c>
      <c r="E15" s="2">
        <v>1.7849653315840999E-29</v>
      </c>
      <c r="F15" s="2">
        <v>1</v>
      </c>
      <c r="G15" s="2">
        <v>3.5699306631681998E-29</v>
      </c>
      <c r="H15" s="2">
        <v>0</v>
      </c>
      <c r="I15" s="2">
        <v>1</v>
      </c>
      <c r="J15" s="2">
        <v>0</v>
      </c>
      <c r="K15" s="2" t="s">
        <v>1</v>
      </c>
    </row>
    <row r="16" spans="1:11" x14ac:dyDescent="0.35">
      <c r="A16" s="2" t="s">
        <v>26</v>
      </c>
      <c r="B16" s="2">
        <v>579</v>
      </c>
      <c r="C16" s="2">
        <v>125</v>
      </c>
      <c r="D16" s="2">
        <v>0.82244318181818177</v>
      </c>
      <c r="E16" s="2">
        <v>5.7689595534142922E-71</v>
      </c>
      <c r="F16" s="2">
        <v>1</v>
      </c>
      <c r="G16" s="2">
        <v>1.153791910682858E-70</v>
      </c>
      <c r="H16" s="2">
        <v>0</v>
      </c>
      <c r="I16" s="2">
        <v>1</v>
      </c>
      <c r="J16" s="2">
        <v>0</v>
      </c>
      <c r="K16" s="2" t="s">
        <v>1</v>
      </c>
    </row>
    <row r="17" spans="1:11" x14ac:dyDescent="0.35">
      <c r="A17" s="2" t="s">
        <v>27</v>
      </c>
      <c r="B17" s="2">
        <v>374</v>
      </c>
      <c r="C17" s="2">
        <v>330</v>
      </c>
      <c r="D17" s="2">
        <v>0.53125</v>
      </c>
      <c r="E17" s="2">
        <v>5.2515725500884958E-2</v>
      </c>
      <c r="F17" s="2">
        <v>0.955092866564618</v>
      </c>
      <c r="G17" s="2">
        <v>0.1050314510017699</v>
      </c>
      <c r="H17" s="2">
        <v>4.8627214219501669E-2</v>
      </c>
      <c r="I17" s="2">
        <v>0.95137278578049833</v>
      </c>
      <c r="J17" s="2">
        <v>9.7254428439003338E-2</v>
      </c>
      <c r="K17" s="2" t="s">
        <v>12</v>
      </c>
    </row>
    <row r="18" spans="1:11" x14ac:dyDescent="0.35">
      <c r="A18" s="2" t="s">
        <v>28</v>
      </c>
      <c r="B18" s="2">
        <v>291</v>
      </c>
      <c r="C18" s="2">
        <v>413</v>
      </c>
      <c r="D18" s="2">
        <v>0.41335227272727271</v>
      </c>
      <c r="E18" s="2">
        <v>0.99999831688327856</v>
      </c>
      <c r="F18" s="2">
        <v>2.425141220284132E-6</v>
      </c>
      <c r="G18" s="2">
        <v>4.8502824405682632E-6</v>
      </c>
      <c r="H18" s="2">
        <v>0.99999786766127818</v>
      </c>
      <c r="I18" s="2">
        <v>2.1323387218256759E-6</v>
      </c>
      <c r="J18" s="2">
        <v>4.2646774436327917E-6</v>
      </c>
      <c r="K18" s="2" t="s">
        <v>2</v>
      </c>
    </row>
    <row r="19" spans="1:11" x14ac:dyDescent="0.35">
      <c r="A19" s="2" t="s">
        <v>29</v>
      </c>
      <c r="B19" s="2">
        <v>264</v>
      </c>
      <c r="C19" s="2">
        <v>440</v>
      </c>
      <c r="D19" s="2">
        <v>0.375</v>
      </c>
      <c r="E19" s="2">
        <v>0.99999999999000511</v>
      </c>
      <c r="F19" s="2">
        <v>1.6840591736383231E-11</v>
      </c>
      <c r="G19" s="2">
        <v>3.3681183472766463E-11</v>
      </c>
      <c r="H19" s="2">
        <v>0.99999999998358124</v>
      </c>
      <c r="I19" s="2">
        <v>1.6418793249366909E-11</v>
      </c>
      <c r="J19" s="2">
        <v>3.2837510488548112E-11</v>
      </c>
      <c r="K19" s="2" t="s">
        <v>2</v>
      </c>
    </row>
    <row r="20" spans="1:11" x14ac:dyDescent="0.35">
      <c r="A20" s="2" t="s">
        <v>30</v>
      </c>
      <c r="B20" s="2">
        <v>373</v>
      </c>
      <c r="C20" s="2">
        <v>331</v>
      </c>
      <c r="D20" s="2">
        <v>0.52982954545454541</v>
      </c>
      <c r="E20" s="2">
        <v>6.1112744934414411E-2</v>
      </c>
      <c r="F20" s="2">
        <v>0.94748427449911499</v>
      </c>
      <c r="G20" s="2">
        <v>0.12222548986882879</v>
      </c>
      <c r="H20" s="2">
        <v>5.6718190418091563E-2</v>
      </c>
      <c r="I20" s="2">
        <v>0.94328180958190844</v>
      </c>
      <c r="J20" s="2">
        <v>0.1134363808361831</v>
      </c>
      <c r="K20" s="2" t="s">
        <v>12</v>
      </c>
    </row>
    <row r="21" spans="1:11" x14ac:dyDescent="0.35">
      <c r="A21" s="2" t="s">
        <v>31</v>
      </c>
      <c r="B21" s="2">
        <v>217</v>
      </c>
      <c r="C21" s="2">
        <v>487</v>
      </c>
      <c r="D21" s="2">
        <v>0.30823863636363641</v>
      </c>
      <c r="E21" s="2">
        <v>1</v>
      </c>
      <c r="F21" s="2">
        <v>4.9411160066861492E-25</v>
      </c>
      <c r="G21" s="2">
        <v>9.8822320133722983E-25</v>
      </c>
      <c r="H21" s="2">
        <v>1</v>
      </c>
      <c r="I21" s="2">
        <v>1.268795996811758E-24</v>
      </c>
      <c r="J21" s="2">
        <v>0</v>
      </c>
      <c r="K21" s="2" t="s">
        <v>2</v>
      </c>
    </row>
    <row r="22" spans="1:11" x14ac:dyDescent="0.35">
      <c r="A22" s="2" t="s">
        <v>32</v>
      </c>
      <c r="B22" s="2">
        <v>163</v>
      </c>
      <c r="C22" s="2">
        <v>541</v>
      </c>
      <c r="D22" s="2">
        <v>0.23153409090909091</v>
      </c>
      <c r="E22" s="2">
        <v>1</v>
      </c>
      <c r="F22" s="2">
        <v>1.6835630691730059E-48</v>
      </c>
      <c r="G22" s="2">
        <v>3.3671261383460117E-48</v>
      </c>
      <c r="H22" s="2">
        <v>1</v>
      </c>
      <c r="I22" s="2">
        <v>2.3595933187347531E-46</v>
      </c>
      <c r="J22" s="2">
        <v>0</v>
      </c>
      <c r="K22" s="2" t="s">
        <v>2</v>
      </c>
    </row>
    <row r="23" spans="1:11" x14ac:dyDescent="0.35">
      <c r="A23" s="2" t="s">
        <v>33</v>
      </c>
      <c r="B23" s="2">
        <v>245</v>
      </c>
      <c r="C23" s="2">
        <v>459</v>
      </c>
      <c r="D23" s="2">
        <v>0.34801136363636359</v>
      </c>
      <c r="E23" s="2">
        <v>0.99999999999999989</v>
      </c>
      <c r="F23" s="2">
        <v>2.9804535640973499E-16</v>
      </c>
      <c r="G23" s="2">
        <v>5.9609071281946999E-16</v>
      </c>
      <c r="H23" s="2">
        <v>0.99999999999999967</v>
      </c>
      <c r="I23" s="2">
        <v>3.648972880327134E-16</v>
      </c>
      <c r="J23" s="2">
        <v>6.6613381477509392E-16</v>
      </c>
      <c r="K23" s="2" t="s">
        <v>2</v>
      </c>
    </row>
    <row r="24" spans="1:11" x14ac:dyDescent="0.35">
      <c r="A24" s="2" t="s">
        <v>34</v>
      </c>
      <c r="B24" s="2">
        <v>356</v>
      </c>
      <c r="C24" s="2">
        <v>348</v>
      </c>
      <c r="D24" s="2">
        <v>0.50568181818181823</v>
      </c>
      <c r="E24" s="2">
        <v>0.39596959597855169</v>
      </c>
      <c r="F24" s="2">
        <v>0.63275715045003333</v>
      </c>
      <c r="G24" s="2">
        <v>0.79193919195710338</v>
      </c>
      <c r="H24" s="2">
        <v>0.38151230027649652</v>
      </c>
      <c r="I24" s="2">
        <v>0.61848769972350348</v>
      </c>
      <c r="J24" s="2">
        <v>0.76302460055299304</v>
      </c>
      <c r="K24" s="2" t="s">
        <v>12</v>
      </c>
    </row>
    <row r="25" spans="1:11" x14ac:dyDescent="0.35">
      <c r="A25" s="2" t="s">
        <v>35</v>
      </c>
      <c r="B25" s="2">
        <v>384</v>
      </c>
      <c r="C25" s="2">
        <v>320</v>
      </c>
      <c r="D25" s="2">
        <v>0.54545454545454541</v>
      </c>
      <c r="E25" s="2">
        <v>8.7576396766929094E-3</v>
      </c>
      <c r="F25" s="2">
        <v>0.99288163498380022</v>
      </c>
      <c r="G25" s="2">
        <v>1.7515279353385819E-2</v>
      </c>
      <c r="H25" s="2">
        <v>7.9306663698865965E-3</v>
      </c>
      <c r="I25" s="2">
        <v>0.9920693336301134</v>
      </c>
      <c r="J25" s="2">
        <v>1.5861332739773189E-2</v>
      </c>
      <c r="K25" s="2" t="s">
        <v>1</v>
      </c>
    </row>
    <row r="26" spans="1:11" x14ac:dyDescent="0.35">
      <c r="A26" s="2" t="s">
        <v>36</v>
      </c>
      <c r="B26" s="2">
        <v>447</v>
      </c>
      <c r="C26" s="2">
        <v>257</v>
      </c>
      <c r="D26" s="2">
        <v>0.63494318181818177</v>
      </c>
      <c r="E26" s="2">
        <v>6.7296703835153783E-13</v>
      </c>
      <c r="F26" s="2">
        <v>0.99999999999961464</v>
      </c>
      <c r="G26" s="2">
        <v>1.3459340767030761E-12</v>
      </c>
      <c r="H26" s="2">
        <v>4.0079051188968151E-13</v>
      </c>
      <c r="I26" s="2">
        <v>0.99999999999959921</v>
      </c>
      <c r="J26" s="2">
        <v>8.0158102377936302E-13</v>
      </c>
      <c r="K26" s="2" t="s">
        <v>1</v>
      </c>
    </row>
    <row r="27" spans="1:11" x14ac:dyDescent="0.35">
      <c r="A27" s="2" t="s">
        <v>37</v>
      </c>
      <c r="B27" s="2">
        <v>484</v>
      </c>
      <c r="C27" s="2">
        <v>220</v>
      </c>
      <c r="D27" s="2">
        <v>0.6875</v>
      </c>
      <c r="E27" s="2">
        <v>5.4870066049419023E-24</v>
      </c>
      <c r="F27" s="2">
        <v>1</v>
      </c>
      <c r="G27" s="2">
        <v>1.09740132098838E-23</v>
      </c>
      <c r="H27" s="2">
        <v>0</v>
      </c>
      <c r="I27" s="2">
        <v>1</v>
      </c>
      <c r="J27" s="2">
        <v>0</v>
      </c>
      <c r="K27" s="2" t="s">
        <v>1</v>
      </c>
    </row>
    <row r="28" spans="1:11" x14ac:dyDescent="0.35">
      <c r="A28" s="2" t="s">
        <v>38</v>
      </c>
      <c r="B28" s="2">
        <v>433</v>
      </c>
      <c r="C28" s="2">
        <v>271</v>
      </c>
      <c r="D28" s="2">
        <v>0.61505681818181823</v>
      </c>
      <c r="E28" s="2">
        <v>5.5012734621003682E-10</v>
      </c>
      <c r="F28" s="2">
        <v>0.99999999965971842</v>
      </c>
      <c r="G28" s="2">
        <v>1.1002546924200741E-9</v>
      </c>
      <c r="H28" s="2">
        <v>5.1206083817589843E-10</v>
      </c>
      <c r="I28" s="2">
        <v>0.99999999948793916</v>
      </c>
      <c r="J28" s="2">
        <v>1.0241216763517971E-9</v>
      </c>
      <c r="K28" s="2" t="s">
        <v>1</v>
      </c>
    </row>
    <row r="29" spans="1:11" x14ac:dyDescent="0.35">
      <c r="A29" s="2" t="s">
        <v>39</v>
      </c>
      <c r="B29" s="2">
        <v>396</v>
      </c>
      <c r="C29" s="2">
        <v>308</v>
      </c>
      <c r="D29" s="2">
        <v>0.5625</v>
      </c>
      <c r="E29" s="2">
        <v>5.140143795173258E-4</v>
      </c>
      <c r="F29" s="2">
        <v>0.99960803532611964</v>
      </c>
      <c r="G29" s="2">
        <v>1.028028759034652E-3</v>
      </c>
      <c r="H29" s="2">
        <v>4.555594385768913E-4</v>
      </c>
      <c r="I29" s="2">
        <v>0.99954444056142311</v>
      </c>
      <c r="J29" s="2">
        <v>9.1111887715378259E-4</v>
      </c>
      <c r="K29" s="2" t="s">
        <v>1</v>
      </c>
    </row>
    <row r="30" spans="1:11" x14ac:dyDescent="0.35">
      <c r="A30" s="2" t="s">
        <v>40</v>
      </c>
      <c r="B30" s="2">
        <v>471</v>
      </c>
      <c r="C30" s="2">
        <v>233</v>
      </c>
      <c r="D30" s="2">
        <v>0.66903409090909094</v>
      </c>
      <c r="E30" s="2">
        <v>9.4747657568744627E-20</v>
      </c>
      <c r="F30" s="2">
        <v>1</v>
      </c>
      <c r="G30" s="2">
        <v>1.894953151374893E-19</v>
      </c>
      <c r="H30" s="2">
        <v>0</v>
      </c>
      <c r="I30" s="2">
        <v>1</v>
      </c>
      <c r="J30" s="2">
        <v>0</v>
      </c>
      <c r="K30" s="2" t="s">
        <v>1</v>
      </c>
    </row>
    <row r="31" spans="1:11" x14ac:dyDescent="0.35">
      <c r="A31" s="2" t="s">
        <v>41</v>
      </c>
      <c r="B31" s="2">
        <v>162</v>
      </c>
      <c r="C31" s="2">
        <v>542</v>
      </c>
      <c r="D31" s="2">
        <v>0.23011363636363641</v>
      </c>
      <c r="E31" s="2">
        <v>1</v>
      </c>
      <c r="F31" s="2">
        <v>5.0459623456448502E-49</v>
      </c>
      <c r="G31" s="2">
        <v>1.00919246912897E-48</v>
      </c>
      <c r="H31" s="2">
        <v>1</v>
      </c>
      <c r="I31" s="2">
        <v>7.9976142288709913E-47</v>
      </c>
      <c r="J31" s="2">
        <v>0</v>
      </c>
      <c r="K31" s="2" t="s">
        <v>2</v>
      </c>
    </row>
    <row r="32" spans="1:11" x14ac:dyDescent="0.35">
      <c r="A32" s="2" t="s">
        <v>42</v>
      </c>
      <c r="B32" s="2">
        <v>226</v>
      </c>
      <c r="C32" s="2">
        <v>478</v>
      </c>
      <c r="D32" s="2">
        <v>0.32102272727272729</v>
      </c>
      <c r="E32" s="2">
        <v>1</v>
      </c>
      <c r="F32" s="2">
        <v>5.6723166494676379E-22</v>
      </c>
      <c r="G32" s="2">
        <v>1.134463329893528E-21</v>
      </c>
      <c r="H32" s="2">
        <v>1</v>
      </c>
      <c r="I32" s="2">
        <v>1.07384054722145E-21</v>
      </c>
      <c r="J32" s="2">
        <v>0</v>
      </c>
      <c r="K32" s="2" t="s">
        <v>2</v>
      </c>
    </row>
    <row r="33" spans="1:11" x14ac:dyDescent="0.35">
      <c r="A33" s="2" t="s">
        <v>43</v>
      </c>
      <c r="B33" s="2">
        <v>291</v>
      </c>
      <c r="C33" s="2">
        <v>413</v>
      </c>
      <c r="D33" s="2">
        <v>0.41335227272727271</v>
      </c>
      <c r="E33" s="2">
        <v>0.99999831688327856</v>
      </c>
      <c r="F33" s="2">
        <v>2.425141220284132E-6</v>
      </c>
      <c r="G33" s="2">
        <v>4.8502824405682632E-6</v>
      </c>
      <c r="H33" s="2">
        <v>0.99999786766127818</v>
      </c>
      <c r="I33" s="2">
        <v>2.1323387218256759E-6</v>
      </c>
      <c r="J33" s="2">
        <v>4.2646774436327917E-6</v>
      </c>
      <c r="K33" s="2" t="s">
        <v>2</v>
      </c>
    </row>
    <row r="34" spans="1:11" x14ac:dyDescent="0.35">
      <c r="A34" s="2" t="s">
        <v>44</v>
      </c>
      <c r="B34" s="2">
        <v>163</v>
      </c>
      <c r="C34" s="2">
        <v>541</v>
      </c>
      <c r="D34" s="2">
        <v>0.23153409090909091</v>
      </c>
      <c r="E34" s="2">
        <v>1</v>
      </c>
      <c r="F34" s="2">
        <v>1.6835630691730059E-48</v>
      </c>
      <c r="G34" s="2">
        <v>3.3671261383460117E-48</v>
      </c>
      <c r="H34" s="2">
        <v>1</v>
      </c>
      <c r="I34" s="2">
        <v>2.3595933187347531E-46</v>
      </c>
      <c r="J34" s="2">
        <v>0</v>
      </c>
      <c r="K34" s="2" t="s">
        <v>2</v>
      </c>
    </row>
    <row r="35" spans="1:11" x14ac:dyDescent="0.35">
      <c r="A35" s="2" t="s">
        <v>45</v>
      </c>
      <c r="B35" s="2">
        <v>182</v>
      </c>
      <c r="C35" s="2">
        <v>522</v>
      </c>
      <c r="D35" s="2">
        <v>0.25852272727272729</v>
      </c>
      <c r="E35" s="2">
        <v>1</v>
      </c>
      <c r="F35" s="2">
        <v>3.3845026632262342E-39</v>
      </c>
      <c r="G35" s="2">
        <v>6.769005326452467E-39</v>
      </c>
      <c r="H35" s="2">
        <v>1</v>
      </c>
      <c r="I35" s="2">
        <v>6.8241372096338507E-38</v>
      </c>
      <c r="J35" s="2">
        <v>0</v>
      </c>
      <c r="K35" s="2" t="s">
        <v>2</v>
      </c>
    </row>
    <row r="36" spans="1:11" x14ac:dyDescent="0.35">
      <c r="A36" s="2" t="s">
        <v>46</v>
      </c>
      <c r="B36" s="2">
        <v>195</v>
      </c>
      <c r="C36" s="2">
        <v>509</v>
      </c>
      <c r="D36" s="2">
        <v>0.27698863636363641</v>
      </c>
      <c r="E36" s="2">
        <v>1</v>
      </c>
      <c r="F36" s="2">
        <v>1.6755297730258412E-33</v>
      </c>
      <c r="G36" s="2">
        <v>3.3510595460516823E-33</v>
      </c>
      <c r="H36" s="2">
        <v>1</v>
      </c>
      <c r="I36" s="2">
        <v>1.2971835151858049E-32</v>
      </c>
      <c r="J36" s="2">
        <v>0</v>
      </c>
      <c r="K36" s="2" t="s">
        <v>2</v>
      </c>
    </row>
    <row r="37" spans="1:11" x14ac:dyDescent="0.35">
      <c r="A37" s="2" t="s">
        <v>47</v>
      </c>
      <c r="B37" s="2">
        <v>345</v>
      </c>
      <c r="C37" s="2">
        <v>359</v>
      </c>
      <c r="D37" s="2">
        <v>0.49005681818181818</v>
      </c>
      <c r="E37" s="2">
        <v>0.71406108938773216</v>
      </c>
      <c r="F37" s="2">
        <v>0.31209817740007528</v>
      </c>
      <c r="G37" s="2">
        <v>0.62419635480015057</v>
      </c>
      <c r="H37" s="2">
        <v>0.70112707214848013</v>
      </c>
      <c r="I37" s="2">
        <v>0.29887292785151992</v>
      </c>
      <c r="J37" s="2">
        <v>0.59774585570303973</v>
      </c>
      <c r="K37" s="2" t="s">
        <v>12</v>
      </c>
    </row>
    <row r="38" spans="1:11" x14ac:dyDescent="0.35">
      <c r="A38" s="2" t="s">
        <v>48</v>
      </c>
      <c r="B38" s="2">
        <v>346</v>
      </c>
      <c r="C38" s="2">
        <v>358</v>
      </c>
      <c r="D38" s="2">
        <v>0.49147727272727271</v>
      </c>
      <c r="E38" s="2">
        <v>0.68790182259992472</v>
      </c>
      <c r="F38" s="2">
        <v>0.33924030681285811</v>
      </c>
      <c r="G38" s="2">
        <v>0.6784806136257161</v>
      </c>
      <c r="H38" s="2">
        <v>0.67446168296108322</v>
      </c>
      <c r="I38" s="2">
        <v>0.32553831703891678</v>
      </c>
      <c r="J38" s="2">
        <v>0.65107663407783356</v>
      </c>
      <c r="K38" s="2" t="s">
        <v>12</v>
      </c>
    </row>
    <row r="39" spans="1:11" x14ac:dyDescent="0.35">
      <c r="A39" s="2" t="s">
        <v>49</v>
      </c>
      <c r="B39" s="2">
        <v>250</v>
      </c>
      <c r="C39" s="2">
        <v>454</v>
      </c>
      <c r="D39" s="2">
        <v>0.35511363636363641</v>
      </c>
      <c r="E39" s="2">
        <v>0.99999999999999645</v>
      </c>
      <c r="F39" s="2">
        <v>6.5633437089035283E-15</v>
      </c>
      <c r="G39" s="2">
        <v>1.312668741780706E-14</v>
      </c>
      <c r="H39" s="2">
        <v>0.99999999999999256</v>
      </c>
      <c r="I39" s="2">
        <v>7.4412160783291908E-15</v>
      </c>
      <c r="J39" s="2">
        <v>1.4876988529977101E-14</v>
      </c>
      <c r="K39" s="2" t="s">
        <v>2</v>
      </c>
    </row>
    <row r="40" spans="1:11" x14ac:dyDescent="0.35">
      <c r="A40" s="2" t="s">
        <v>50</v>
      </c>
      <c r="B40" s="2">
        <v>243</v>
      </c>
      <c r="C40" s="2">
        <v>461</v>
      </c>
      <c r="D40" s="2">
        <v>0.34517045454545447</v>
      </c>
      <c r="E40" s="2">
        <v>1</v>
      </c>
      <c r="F40" s="2">
        <v>8.2873783617900435E-17</v>
      </c>
      <c r="G40" s="2">
        <v>1.6574756723580089E-16</v>
      </c>
      <c r="H40" s="2">
        <v>0.99999999999999989</v>
      </c>
      <c r="I40" s="2">
        <v>1.050404002378279E-16</v>
      </c>
      <c r="J40" s="2">
        <v>2.2204460492503131E-16</v>
      </c>
      <c r="K40" s="2" t="s">
        <v>2</v>
      </c>
    </row>
    <row r="41" spans="1:11" x14ac:dyDescent="0.35">
      <c r="A41" s="2" t="s">
        <v>51</v>
      </c>
      <c r="B41" s="2">
        <v>176</v>
      </c>
      <c r="C41" s="2">
        <v>528</v>
      </c>
      <c r="D41" s="2">
        <v>0.25</v>
      </c>
      <c r="E41" s="2">
        <v>1</v>
      </c>
      <c r="F41" s="2">
        <v>5.2525601200730668E-42</v>
      </c>
      <c r="G41" s="2">
        <v>1.050512024014613E-41</v>
      </c>
      <c r="H41" s="2">
        <v>1</v>
      </c>
      <c r="I41" s="2">
        <v>1.810530513421601E-40</v>
      </c>
      <c r="J41" s="2">
        <v>0</v>
      </c>
      <c r="K41" s="2" t="s">
        <v>2</v>
      </c>
    </row>
    <row r="42" spans="1:11" x14ac:dyDescent="0.35">
      <c r="A42" s="2" t="s">
        <v>52</v>
      </c>
      <c r="B42" s="2">
        <v>160</v>
      </c>
      <c r="C42" s="2">
        <v>544</v>
      </c>
      <c r="D42" s="2">
        <v>0.22727272727272729</v>
      </c>
      <c r="E42" s="2">
        <v>1</v>
      </c>
      <c r="F42" s="2">
        <v>4.4255725709607187E-50</v>
      </c>
      <c r="G42" s="2">
        <v>8.8511451419214373E-50</v>
      </c>
      <c r="H42" s="2">
        <v>1</v>
      </c>
      <c r="I42" s="2">
        <v>9.0331505970576874E-48</v>
      </c>
      <c r="J42" s="2">
        <v>0</v>
      </c>
      <c r="K42" s="2" t="s">
        <v>2</v>
      </c>
    </row>
    <row r="43" spans="1:11" x14ac:dyDescent="0.35">
      <c r="A43" s="2" t="s">
        <v>53</v>
      </c>
      <c r="B43" s="2">
        <v>239</v>
      </c>
      <c r="C43" s="2">
        <v>465</v>
      </c>
      <c r="D43" s="2">
        <v>0.33948863636363641</v>
      </c>
      <c r="E43" s="2">
        <v>1</v>
      </c>
      <c r="F43" s="2">
        <v>5.947395794988822E-18</v>
      </c>
      <c r="G43" s="2">
        <v>1.1894791589977639E-17</v>
      </c>
      <c r="H43" s="2">
        <v>1</v>
      </c>
      <c r="I43" s="2">
        <v>8.1379739360316048E-18</v>
      </c>
      <c r="J43" s="2">
        <v>0</v>
      </c>
      <c r="K43" s="2" t="s">
        <v>2</v>
      </c>
    </row>
    <row r="44" spans="1:11" x14ac:dyDescent="0.35">
      <c r="A44" s="2" t="s">
        <v>54</v>
      </c>
      <c r="B44" s="2">
        <v>300</v>
      </c>
      <c r="C44" s="2">
        <v>404</v>
      </c>
      <c r="D44" s="2">
        <v>0.42613636363636359</v>
      </c>
      <c r="E44" s="2">
        <v>0.99996318795309103</v>
      </c>
      <c r="F44" s="2">
        <v>5.0438205584933382E-5</v>
      </c>
      <c r="G44" s="2">
        <v>1.008764111698668E-4</v>
      </c>
      <c r="H44" s="2">
        <v>0.99995566070850206</v>
      </c>
      <c r="I44" s="2">
        <v>4.4339291497947962E-5</v>
      </c>
      <c r="J44" s="2">
        <v>8.8678582995882493E-5</v>
      </c>
      <c r="K44" s="2" t="s">
        <v>2</v>
      </c>
    </row>
    <row r="45" spans="1:11" x14ac:dyDescent="0.35">
      <c r="A45" s="2" t="s">
        <v>55</v>
      </c>
      <c r="B45" s="2">
        <v>215</v>
      </c>
      <c r="C45" s="2">
        <v>489</v>
      </c>
      <c r="D45" s="2">
        <v>0.30539772727272729</v>
      </c>
      <c r="E45" s="2">
        <v>1</v>
      </c>
      <c r="F45" s="2">
        <v>9.6049905137288658E-26</v>
      </c>
      <c r="G45" s="2">
        <v>1.9209981027457729E-25</v>
      </c>
      <c r="H45" s="2">
        <v>1</v>
      </c>
      <c r="I45" s="2">
        <v>2.6664826888956972E-25</v>
      </c>
      <c r="J45" s="2">
        <v>0</v>
      </c>
      <c r="K45" s="2" t="s">
        <v>2</v>
      </c>
    </row>
    <row r="46" spans="1:11" x14ac:dyDescent="0.35">
      <c r="A46" s="2" t="s">
        <v>56</v>
      </c>
      <c r="B46" s="2">
        <v>658</v>
      </c>
      <c r="C46" s="2">
        <v>46</v>
      </c>
      <c r="D46" s="2">
        <v>0.93465909090909094</v>
      </c>
      <c r="E46" s="2">
        <v>5.0271216826926082E-140</v>
      </c>
      <c r="F46" s="2">
        <v>1</v>
      </c>
      <c r="G46" s="2">
        <v>1.005424336538522E-139</v>
      </c>
      <c r="H46" s="2">
        <v>0</v>
      </c>
      <c r="I46" s="2">
        <v>1</v>
      </c>
      <c r="J46" s="2">
        <v>0</v>
      </c>
      <c r="K46" s="2" t="s">
        <v>1</v>
      </c>
    </row>
    <row r="47" spans="1:11" x14ac:dyDescent="0.35">
      <c r="A47" s="2" t="s">
        <v>57</v>
      </c>
      <c r="B47" s="2">
        <v>604</v>
      </c>
      <c r="C47" s="2">
        <v>100</v>
      </c>
      <c r="D47" s="2">
        <v>0.85795454545454541</v>
      </c>
      <c r="E47" s="2">
        <v>5.3926073520730547E-89</v>
      </c>
      <c r="F47" s="2">
        <v>1</v>
      </c>
      <c r="G47" s="2">
        <v>1.0785214704146109E-88</v>
      </c>
      <c r="H47" s="2">
        <v>0</v>
      </c>
      <c r="I47" s="2">
        <v>1</v>
      </c>
      <c r="J47" s="2">
        <v>0</v>
      </c>
      <c r="K47" s="2" t="s">
        <v>1</v>
      </c>
    </row>
    <row r="48" spans="1:11" x14ac:dyDescent="0.35">
      <c r="A48" s="2" t="s">
        <v>58</v>
      </c>
      <c r="B48" s="2">
        <v>586</v>
      </c>
      <c r="C48" s="2">
        <v>118</v>
      </c>
      <c r="D48" s="2">
        <v>0.83238636363636365</v>
      </c>
      <c r="E48" s="2">
        <v>9.9456408634682228E-76</v>
      </c>
      <c r="F48" s="2">
        <v>1</v>
      </c>
      <c r="G48" s="2">
        <v>1.9891281726936451E-75</v>
      </c>
      <c r="H48" s="2">
        <v>0</v>
      </c>
      <c r="I48" s="2">
        <v>1</v>
      </c>
      <c r="J48" s="2">
        <v>0</v>
      </c>
      <c r="K48" s="2" t="s">
        <v>1</v>
      </c>
    </row>
    <row r="49" spans="1:11" x14ac:dyDescent="0.35">
      <c r="A49" s="2" t="s">
        <v>59</v>
      </c>
      <c r="B49" s="2">
        <v>557</v>
      </c>
      <c r="C49" s="2">
        <v>147</v>
      </c>
      <c r="D49" s="2">
        <v>0.79119318181818177</v>
      </c>
      <c r="E49" s="2">
        <v>2.6866680931156952E-57</v>
      </c>
      <c r="F49" s="2">
        <v>1</v>
      </c>
      <c r="G49" s="2">
        <v>5.3733361862313892E-57</v>
      </c>
      <c r="H49" s="2">
        <v>0</v>
      </c>
      <c r="I49" s="2">
        <v>1</v>
      </c>
      <c r="J49" s="2">
        <v>0</v>
      </c>
      <c r="K49" s="2" t="s">
        <v>1</v>
      </c>
    </row>
    <row r="50" spans="1:11" x14ac:dyDescent="0.35">
      <c r="A50" s="2" t="s">
        <v>60</v>
      </c>
      <c r="B50" s="2">
        <v>521</v>
      </c>
      <c r="C50" s="2">
        <v>183</v>
      </c>
      <c r="D50" s="2">
        <v>0.74005681818181823</v>
      </c>
      <c r="E50" s="2">
        <v>9.692158585558598E-39</v>
      </c>
      <c r="F50" s="2">
        <v>1</v>
      </c>
      <c r="G50" s="2">
        <v>1.9384317171117201E-38</v>
      </c>
      <c r="H50" s="2">
        <v>0</v>
      </c>
      <c r="I50" s="2">
        <v>1</v>
      </c>
      <c r="J50" s="2">
        <v>0</v>
      </c>
      <c r="K50" s="2" t="s">
        <v>1</v>
      </c>
    </row>
    <row r="51" spans="1:11" x14ac:dyDescent="0.35">
      <c r="A51" s="2" t="s">
        <v>61</v>
      </c>
      <c r="B51" s="2">
        <v>516</v>
      </c>
      <c r="C51" s="2">
        <v>188</v>
      </c>
      <c r="D51" s="2">
        <v>0.73295454545454541</v>
      </c>
      <c r="E51" s="2">
        <v>1.672935226012477E-36</v>
      </c>
      <c r="F51" s="2">
        <v>1</v>
      </c>
      <c r="G51" s="2">
        <v>3.3458704520249527E-36</v>
      </c>
      <c r="H51" s="2">
        <v>0</v>
      </c>
      <c r="I51" s="2">
        <v>1</v>
      </c>
      <c r="J51" s="2">
        <v>0</v>
      </c>
      <c r="K51" s="2" t="s">
        <v>1</v>
      </c>
    </row>
    <row r="52" spans="1:11" x14ac:dyDescent="0.35">
      <c r="A52" s="2" t="s">
        <v>62</v>
      </c>
      <c r="B52" s="2">
        <v>596</v>
      </c>
      <c r="C52" s="2">
        <v>108</v>
      </c>
      <c r="D52" s="2">
        <v>0.84659090909090906</v>
      </c>
      <c r="E52" s="2">
        <v>6.5456300674276173E-83</v>
      </c>
      <c r="F52" s="2">
        <v>1</v>
      </c>
      <c r="G52" s="2">
        <v>1.309126013485523E-82</v>
      </c>
      <c r="H52" s="2">
        <v>0</v>
      </c>
      <c r="I52" s="2">
        <v>1</v>
      </c>
      <c r="J52" s="2">
        <v>0</v>
      </c>
      <c r="K52" s="2" t="s">
        <v>1</v>
      </c>
    </row>
    <row r="53" spans="1:11" x14ac:dyDescent="0.35">
      <c r="A53" s="2" t="s">
        <v>63</v>
      </c>
      <c r="B53" s="2">
        <v>255</v>
      </c>
      <c r="C53" s="2">
        <v>449</v>
      </c>
      <c r="D53" s="2">
        <v>0.36221590909090912</v>
      </c>
      <c r="E53" s="2">
        <v>0.99999999999993028</v>
      </c>
      <c r="F53" s="2">
        <v>1.240624711943028E-13</v>
      </c>
      <c r="G53" s="2">
        <v>2.4812494238860569E-13</v>
      </c>
      <c r="H53" s="2">
        <v>0.99999999999986811</v>
      </c>
      <c r="I53" s="2">
        <v>1.319407581265117E-13</v>
      </c>
      <c r="J53" s="2">
        <v>2.6378899065093719E-13</v>
      </c>
      <c r="K53" s="2" t="s">
        <v>2</v>
      </c>
    </row>
    <row r="54" spans="1:11" x14ac:dyDescent="0.35">
      <c r="A54" s="2" t="s">
        <v>64</v>
      </c>
      <c r="B54" s="2">
        <v>601</v>
      </c>
      <c r="C54" s="2">
        <v>103</v>
      </c>
      <c r="D54" s="2">
        <v>0.85369318181818177</v>
      </c>
      <c r="E54" s="2">
        <v>1.122046647098312E-86</v>
      </c>
      <c r="F54" s="2">
        <v>1</v>
      </c>
      <c r="G54" s="2">
        <v>2.2440932941966239E-86</v>
      </c>
      <c r="H54" s="2">
        <v>0</v>
      </c>
      <c r="I54" s="2">
        <v>1</v>
      </c>
      <c r="J54" s="2">
        <v>0</v>
      </c>
      <c r="K54" s="2" t="s">
        <v>1</v>
      </c>
    </row>
    <row r="55" spans="1:11" x14ac:dyDescent="0.35">
      <c r="A55" s="2" t="s">
        <v>65</v>
      </c>
      <c r="B55" s="2">
        <v>704</v>
      </c>
      <c r="C55" s="2">
        <v>0</v>
      </c>
      <c r="D55" s="2">
        <v>1</v>
      </c>
      <c r="E55" s="2">
        <v>1.1881822289344749E-212</v>
      </c>
      <c r="F55" s="2">
        <v>1</v>
      </c>
      <c r="G55" s="2">
        <v>2.3763644578689498E-212</v>
      </c>
      <c r="H55" s="2">
        <v>0</v>
      </c>
      <c r="I55" s="2">
        <v>1</v>
      </c>
      <c r="J55" s="2">
        <v>0</v>
      </c>
      <c r="K55" s="2" t="s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5"/>
  <sheetViews>
    <sheetView workbookViewId="0"/>
  </sheetViews>
  <sheetFormatPr defaultRowHeight="14.5" x14ac:dyDescent="0.35"/>
  <cols>
    <col min="1" max="1" width="23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357</v>
      </c>
      <c r="C2" s="2">
        <v>347</v>
      </c>
      <c r="D2" s="2">
        <v>0.50710227272727271</v>
      </c>
      <c r="E2" s="2">
        <v>0.36724284954996672</v>
      </c>
      <c r="F2" s="2">
        <v>0.66075969318714201</v>
      </c>
      <c r="G2" s="2">
        <v>0.73448569909993344</v>
      </c>
      <c r="H2" s="2">
        <v>0.35312798105242671</v>
      </c>
      <c r="I2" s="2">
        <v>0.64687201894757329</v>
      </c>
      <c r="J2" s="2">
        <v>0.70625596210485342</v>
      </c>
      <c r="K2" s="2" t="s">
        <v>12</v>
      </c>
    </row>
    <row r="3" spans="1:11" x14ac:dyDescent="0.35">
      <c r="A3" s="2" t="s">
        <v>13</v>
      </c>
      <c r="B3" s="2">
        <v>612</v>
      </c>
      <c r="C3" s="2">
        <v>92</v>
      </c>
      <c r="D3" s="2">
        <v>0.86931818181818177</v>
      </c>
      <c r="E3" s="2">
        <v>2.1142922395084159E-95</v>
      </c>
      <c r="F3" s="2">
        <v>1</v>
      </c>
      <c r="G3" s="2">
        <v>4.2285844790168312E-95</v>
      </c>
      <c r="H3" s="2">
        <v>0</v>
      </c>
      <c r="I3" s="2">
        <v>1</v>
      </c>
      <c r="J3" s="2">
        <v>0</v>
      </c>
      <c r="K3" s="2" t="s">
        <v>1</v>
      </c>
    </row>
    <row r="4" spans="1:11" x14ac:dyDescent="0.35">
      <c r="A4" s="2" t="s">
        <v>14</v>
      </c>
      <c r="B4" s="2">
        <v>612</v>
      </c>
      <c r="C4" s="2">
        <v>92</v>
      </c>
      <c r="D4" s="2">
        <v>0.86931818181818177</v>
      </c>
      <c r="E4" s="2">
        <v>2.1142922395084159E-95</v>
      </c>
      <c r="F4" s="2">
        <v>1</v>
      </c>
      <c r="G4" s="2">
        <v>4.2285844790168312E-95</v>
      </c>
      <c r="H4" s="2">
        <v>0</v>
      </c>
      <c r="I4" s="2">
        <v>1</v>
      </c>
      <c r="J4" s="2">
        <v>0</v>
      </c>
      <c r="K4" s="2" t="s">
        <v>1</v>
      </c>
    </row>
    <row r="5" spans="1:11" x14ac:dyDescent="0.35">
      <c r="A5" s="2" t="s">
        <v>15</v>
      </c>
      <c r="B5" s="2">
        <v>544</v>
      </c>
      <c r="C5" s="2">
        <v>160</v>
      </c>
      <c r="D5" s="2">
        <v>0.77272727272727271</v>
      </c>
      <c r="E5" s="2">
        <v>4.4255725709607187E-50</v>
      </c>
      <c r="F5" s="2">
        <v>1</v>
      </c>
      <c r="G5" s="2">
        <v>8.8511451419214373E-50</v>
      </c>
      <c r="H5" s="2">
        <v>0</v>
      </c>
      <c r="I5" s="2">
        <v>1</v>
      </c>
      <c r="J5" s="2">
        <v>0</v>
      </c>
      <c r="K5" s="2" t="s">
        <v>1</v>
      </c>
    </row>
    <row r="6" spans="1:11" x14ac:dyDescent="0.35">
      <c r="A6" s="2" t="s">
        <v>16</v>
      </c>
      <c r="B6" s="2">
        <v>443</v>
      </c>
      <c r="C6" s="2">
        <v>261</v>
      </c>
      <c r="D6" s="2">
        <v>0.62926136363636365</v>
      </c>
      <c r="E6" s="2">
        <v>3.458226107812958E-12</v>
      </c>
      <c r="F6" s="2">
        <v>0.99999999999798395</v>
      </c>
      <c r="G6" s="2">
        <v>6.9164522156259161E-12</v>
      </c>
      <c r="H6" s="2">
        <v>3.457900632497513E-12</v>
      </c>
      <c r="I6" s="2">
        <v>0.9999999999965421</v>
      </c>
      <c r="J6" s="2">
        <v>6.9158012649950251E-12</v>
      </c>
      <c r="K6" s="2" t="s">
        <v>1</v>
      </c>
    </row>
    <row r="7" spans="1:11" x14ac:dyDescent="0.35">
      <c r="A7" s="2" t="s">
        <v>17</v>
      </c>
      <c r="B7" s="2">
        <v>578</v>
      </c>
      <c r="C7" s="2">
        <v>126</v>
      </c>
      <c r="D7" s="2">
        <v>0.82102272727272729</v>
      </c>
      <c r="E7" s="2">
        <v>2.6580516062331328E-70</v>
      </c>
      <c r="F7" s="2">
        <v>1</v>
      </c>
      <c r="G7" s="2">
        <v>5.3161032124662657E-70</v>
      </c>
      <c r="H7" s="2">
        <v>0</v>
      </c>
      <c r="I7" s="2">
        <v>1</v>
      </c>
      <c r="J7" s="2">
        <v>0</v>
      </c>
      <c r="K7" s="2" t="s">
        <v>1</v>
      </c>
    </row>
    <row r="8" spans="1:11" x14ac:dyDescent="0.35">
      <c r="A8" s="2" t="s">
        <v>18</v>
      </c>
      <c r="B8" s="2">
        <v>451</v>
      </c>
      <c r="C8" s="2">
        <v>253</v>
      </c>
      <c r="D8" s="2">
        <v>0.640625</v>
      </c>
      <c r="E8" s="2">
        <v>3.8989699383371863E-14</v>
      </c>
      <c r="F8" s="2">
        <v>0.99999999999997835</v>
      </c>
      <c r="G8" s="2">
        <v>7.7979398766743726E-14</v>
      </c>
      <c r="H8" s="2">
        <v>4.2521541843143502E-14</v>
      </c>
      <c r="I8" s="2">
        <v>0.99999999999995748</v>
      </c>
      <c r="J8" s="2">
        <v>8.5043083686286991E-14</v>
      </c>
      <c r="K8" s="2" t="s">
        <v>1</v>
      </c>
    </row>
    <row r="9" spans="1:11" x14ac:dyDescent="0.35">
      <c r="A9" s="2" t="s">
        <v>19</v>
      </c>
      <c r="B9" s="2">
        <v>429</v>
      </c>
      <c r="C9" s="2">
        <v>275</v>
      </c>
      <c r="D9" s="2">
        <v>0.609375</v>
      </c>
      <c r="E9" s="2">
        <v>3.5444863431141359E-9</v>
      </c>
      <c r="F9" s="2">
        <v>0.99999999775569159</v>
      </c>
      <c r="G9" s="2">
        <v>7.088972686228271E-9</v>
      </c>
      <c r="H9" s="2">
        <v>3.2357602153254561E-9</v>
      </c>
      <c r="I9" s="2">
        <v>0.99999999676423978</v>
      </c>
      <c r="J9" s="2">
        <v>6.4715204306509122E-9</v>
      </c>
      <c r="K9" s="2" t="s">
        <v>1</v>
      </c>
    </row>
    <row r="10" spans="1:11" x14ac:dyDescent="0.35">
      <c r="A10" s="2" t="s">
        <v>20</v>
      </c>
      <c r="B10" s="2">
        <v>427</v>
      </c>
      <c r="C10" s="2">
        <v>277</v>
      </c>
      <c r="D10" s="2">
        <v>0.60653409090909094</v>
      </c>
      <c r="E10" s="2">
        <v>8.6880052469512098E-9</v>
      </c>
      <c r="F10" s="2">
        <v>0.99999999443458498</v>
      </c>
      <c r="G10" s="2">
        <v>1.737601049390242E-8</v>
      </c>
      <c r="H10" s="2">
        <v>7.8680845172485192E-9</v>
      </c>
      <c r="I10" s="2">
        <v>0.99999999213191548</v>
      </c>
      <c r="J10" s="2">
        <v>1.5736169034497038E-8</v>
      </c>
      <c r="K10" s="2" t="s">
        <v>1</v>
      </c>
    </row>
    <row r="11" spans="1:11" x14ac:dyDescent="0.35">
      <c r="A11" s="2" t="s">
        <v>21</v>
      </c>
      <c r="B11" s="2">
        <v>318</v>
      </c>
      <c r="C11" s="2">
        <v>386</v>
      </c>
      <c r="D11" s="2">
        <v>0.45170454545454553</v>
      </c>
      <c r="E11" s="2">
        <v>0.99537016444620019</v>
      </c>
      <c r="F11" s="2">
        <v>5.7558510126729696E-3</v>
      </c>
      <c r="G11" s="2">
        <v>1.1511702025345939E-2</v>
      </c>
      <c r="H11" s="2">
        <v>0.99480910210514906</v>
      </c>
      <c r="I11" s="2">
        <v>5.1908978948508964E-3</v>
      </c>
      <c r="J11" s="2">
        <v>1.038179578970189E-2</v>
      </c>
      <c r="K11" s="2" t="s">
        <v>2</v>
      </c>
    </row>
    <row r="12" spans="1:11" x14ac:dyDescent="0.35">
      <c r="A12" s="2" t="s">
        <v>22</v>
      </c>
      <c r="B12" s="2">
        <v>365</v>
      </c>
      <c r="C12" s="2">
        <v>339</v>
      </c>
      <c r="D12" s="2">
        <v>0.51846590909090906</v>
      </c>
      <c r="E12" s="2">
        <v>0.17304251071291021</v>
      </c>
      <c r="F12" s="2">
        <v>0.84556710823239156</v>
      </c>
      <c r="G12" s="2">
        <v>0.34608502142582048</v>
      </c>
      <c r="H12" s="2">
        <v>0.16356481161757741</v>
      </c>
      <c r="I12" s="2">
        <v>0.83643518838242259</v>
      </c>
      <c r="J12" s="2">
        <v>0.32712962323515482</v>
      </c>
      <c r="K12" s="2" t="s">
        <v>12</v>
      </c>
    </row>
    <row r="13" spans="1:11" x14ac:dyDescent="0.35">
      <c r="A13" s="2" t="s">
        <v>23</v>
      </c>
      <c r="B13" s="2">
        <v>340</v>
      </c>
      <c r="C13" s="2">
        <v>364</v>
      </c>
      <c r="D13" s="2">
        <v>0.48295454545454553</v>
      </c>
      <c r="E13" s="2">
        <v>0.82695748928708979</v>
      </c>
      <c r="F13" s="2">
        <v>0.19302048399242741</v>
      </c>
      <c r="G13" s="2">
        <v>0.38604096798485482</v>
      </c>
      <c r="H13" s="2">
        <v>0.8171438518592431</v>
      </c>
      <c r="I13" s="2">
        <v>0.18285614814075679</v>
      </c>
      <c r="J13" s="2">
        <v>0.3657122962815138</v>
      </c>
      <c r="K13" s="2" t="s">
        <v>12</v>
      </c>
    </row>
    <row r="14" spans="1:11" x14ac:dyDescent="0.35">
      <c r="A14" s="2" t="s">
        <v>24</v>
      </c>
      <c r="B14" s="2">
        <v>382</v>
      </c>
      <c r="C14" s="2">
        <v>322</v>
      </c>
      <c r="D14" s="2">
        <v>0.54261363636363635</v>
      </c>
      <c r="E14" s="2">
        <v>1.305113666870847E-2</v>
      </c>
      <c r="F14" s="2">
        <v>0.98928135886028723</v>
      </c>
      <c r="G14" s="2">
        <v>2.610227333741693E-2</v>
      </c>
      <c r="H14" s="2">
        <v>1.186925762502733E-2</v>
      </c>
      <c r="I14" s="2">
        <v>0.98813074237497267</v>
      </c>
      <c r="J14" s="2">
        <v>2.3738515250054659E-2</v>
      </c>
      <c r="K14" s="2" t="s">
        <v>1</v>
      </c>
    </row>
    <row r="15" spans="1:11" x14ac:dyDescent="0.35">
      <c r="A15" s="2" t="s">
        <v>25</v>
      </c>
      <c r="B15" s="2">
        <v>601</v>
      </c>
      <c r="C15" s="2">
        <v>103</v>
      </c>
      <c r="D15" s="2">
        <v>0.85369318181818177</v>
      </c>
      <c r="E15" s="2">
        <v>1.122046647098312E-86</v>
      </c>
      <c r="F15" s="2">
        <v>1</v>
      </c>
      <c r="G15" s="2">
        <v>2.2440932941966239E-86</v>
      </c>
      <c r="H15" s="2">
        <v>0</v>
      </c>
      <c r="I15" s="2">
        <v>1</v>
      </c>
      <c r="J15" s="2">
        <v>0</v>
      </c>
      <c r="K15" s="2" t="s">
        <v>1</v>
      </c>
    </row>
    <row r="16" spans="1:11" x14ac:dyDescent="0.35">
      <c r="A16" s="2" t="s">
        <v>26</v>
      </c>
      <c r="B16" s="2">
        <v>367</v>
      </c>
      <c r="C16" s="2">
        <v>337</v>
      </c>
      <c r="D16" s="2">
        <v>0.52130681818181823</v>
      </c>
      <c r="E16" s="2">
        <v>0.1371961135641718</v>
      </c>
      <c r="F16" s="2">
        <v>0.87867863039430649</v>
      </c>
      <c r="G16" s="2">
        <v>0.27439222712834371</v>
      </c>
      <c r="H16" s="2">
        <v>0.12909752379197201</v>
      </c>
      <c r="I16" s="2">
        <v>0.87090247620802796</v>
      </c>
      <c r="J16" s="2">
        <v>0.25819504758394413</v>
      </c>
      <c r="K16" s="2" t="s">
        <v>12</v>
      </c>
    </row>
    <row r="17" spans="1:11" x14ac:dyDescent="0.35">
      <c r="A17" s="2" t="s">
        <v>27</v>
      </c>
      <c r="B17" s="2">
        <v>623</v>
      </c>
      <c r="C17" s="2">
        <v>81</v>
      </c>
      <c r="D17" s="2">
        <v>0.88494318181818177</v>
      </c>
      <c r="E17" s="2">
        <v>8.8247572463066848E-105</v>
      </c>
      <c r="F17" s="2">
        <v>1</v>
      </c>
      <c r="G17" s="2">
        <v>1.764951449261337E-104</v>
      </c>
      <c r="H17" s="2">
        <v>0</v>
      </c>
      <c r="I17" s="2">
        <v>1</v>
      </c>
      <c r="J17" s="2">
        <v>0</v>
      </c>
      <c r="K17" s="2" t="s">
        <v>1</v>
      </c>
    </row>
    <row r="18" spans="1:11" x14ac:dyDescent="0.35">
      <c r="A18" s="2" t="s">
        <v>28</v>
      </c>
      <c r="B18" s="2">
        <v>416</v>
      </c>
      <c r="C18" s="2">
        <v>288</v>
      </c>
      <c r="D18" s="2">
        <v>0.59090909090909094</v>
      </c>
      <c r="E18" s="2">
        <v>7.9707961039300455E-7</v>
      </c>
      <c r="F18" s="2">
        <v>0.99999945612132479</v>
      </c>
      <c r="G18" s="2">
        <v>1.5941592207860091E-6</v>
      </c>
      <c r="H18" s="2">
        <v>7.028967590194668E-7</v>
      </c>
      <c r="I18" s="2">
        <v>0.99999929710324098</v>
      </c>
      <c r="J18" s="2">
        <v>1.405793518038934E-6</v>
      </c>
      <c r="K18" s="2" t="s">
        <v>1</v>
      </c>
    </row>
    <row r="19" spans="1:11" x14ac:dyDescent="0.35">
      <c r="A19" s="2" t="s">
        <v>29</v>
      </c>
      <c r="B19" s="2">
        <v>491</v>
      </c>
      <c r="C19" s="2">
        <v>213</v>
      </c>
      <c r="D19" s="2">
        <v>0.69744318181818177</v>
      </c>
      <c r="E19" s="2">
        <v>4.1928894555716279E-26</v>
      </c>
      <c r="F19" s="2">
        <v>1</v>
      </c>
      <c r="G19" s="2">
        <v>8.3857789111432569E-26</v>
      </c>
      <c r="H19" s="2">
        <v>0</v>
      </c>
      <c r="I19" s="2">
        <v>1</v>
      </c>
      <c r="J19" s="2">
        <v>0</v>
      </c>
      <c r="K19" s="2" t="s">
        <v>1</v>
      </c>
    </row>
    <row r="20" spans="1:11" x14ac:dyDescent="0.35">
      <c r="A20" s="2" t="s">
        <v>30</v>
      </c>
      <c r="B20" s="2">
        <v>475</v>
      </c>
      <c r="C20" s="2">
        <v>229</v>
      </c>
      <c r="D20" s="2">
        <v>0.67471590909090906</v>
      </c>
      <c r="E20" s="2">
        <v>5.285215232807774E-21</v>
      </c>
      <c r="F20" s="2">
        <v>1</v>
      </c>
      <c r="G20" s="2">
        <v>1.057043046561555E-20</v>
      </c>
      <c r="H20" s="2">
        <v>0</v>
      </c>
      <c r="I20" s="2">
        <v>1</v>
      </c>
      <c r="J20" s="2">
        <v>0</v>
      </c>
      <c r="K20" s="2" t="s">
        <v>1</v>
      </c>
    </row>
    <row r="21" spans="1:11" x14ac:dyDescent="0.35">
      <c r="A21" s="2" t="s">
        <v>31</v>
      </c>
      <c r="B21" s="2">
        <v>504</v>
      </c>
      <c r="C21" s="2">
        <v>200</v>
      </c>
      <c r="D21" s="2">
        <v>0.71590909090909094</v>
      </c>
      <c r="E21" s="2">
        <v>1.885928027292221E-31</v>
      </c>
      <c r="F21" s="2">
        <v>1</v>
      </c>
      <c r="G21" s="2">
        <v>3.7718560545844412E-31</v>
      </c>
      <c r="H21" s="2">
        <v>0</v>
      </c>
      <c r="I21" s="2">
        <v>1</v>
      </c>
      <c r="J21" s="2">
        <v>0</v>
      </c>
      <c r="K21" s="2" t="s">
        <v>1</v>
      </c>
    </row>
    <row r="22" spans="1:11" x14ac:dyDescent="0.35">
      <c r="A22" s="2" t="s">
        <v>32</v>
      </c>
      <c r="B22" s="2">
        <v>531</v>
      </c>
      <c r="C22" s="2">
        <v>173</v>
      </c>
      <c r="D22" s="2">
        <v>0.75426136363636365</v>
      </c>
      <c r="E22" s="2">
        <v>1.869928608147261E-43</v>
      </c>
      <c r="F22" s="2">
        <v>1</v>
      </c>
      <c r="G22" s="2">
        <v>3.739857216294522E-43</v>
      </c>
      <c r="H22" s="2">
        <v>0</v>
      </c>
      <c r="I22" s="2">
        <v>1</v>
      </c>
      <c r="J22" s="2">
        <v>0</v>
      </c>
      <c r="K22" s="2" t="s">
        <v>1</v>
      </c>
    </row>
    <row r="23" spans="1:11" x14ac:dyDescent="0.35">
      <c r="A23" s="2" t="s">
        <v>33</v>
      </c>
      <c r="B23" s="2">
        <v>371</v>
      </c>
      <c r="C23" s="2">
        <v>333</v>
      </c>
      <c r="D23" s="2">
        <v>0.52698863636363635</v>
      </c>
      <c r="E23" s="2">
        <v>8.1561343068735734E-2</v>
      </c>
      <c r="F23" s="2">
        <v>0.92922855552128913</v>
      </c>
      <c r="G23" s="2">
        <v>0.1631226861374715</v>
      </c>
      <c r="H23" s="2">
        <v>7.6046316240789946E-2</v>
      </c>
      <c r="I23" s="2">
        <v>0.92395368375921005</v>
      </c>
      <c r="J23" s="2">
        <v>0.15209263248157989</v>
      </c>
      <c r="K23" s="2" t="s">
        <v>12</v>
      </c>
    </row>
    <row r="24" spans="1:11" x14ac:dyDescent="0.35">
      <c r="A24" s="2" t="s">
        <v>34</v>
      </c>
      <c r="B24" s="2">
        <v>486</v>
      </c>
      <c r="C24" s="2">
        <v>218</v>
      </c>
      <c r="D24" s="2">
        <v>0.69034090909090906</v>
      </c>
      <c r="E24" s="2">
        <v>1.109647746892832E-24</v>
      </c>
      <c r="F24" s="2">
        <v>1</v>
      </c>
      <c r="G24" s="2">
        <v>2.219295493785664E-24</v>
      </c>
      <c r="H24" s="2">
        <v>0</v>
      </c>
      <c r="I24" s="2">
        <v>1</v>
      </c>
      <c r="J24" s="2">
        <v>0</v>
      </c>
      <c r="K24" s="2" t="s">
        <v>1</v>
      </c>
    </row>
    <row r="25" spans="1:11" x14ac:dyDescent="0.35">
      <c r="A25" s="2" t="s">
        <v>35</v>
      </c>
      <c r="B25" s="2">
        <v>485</v>
      </c>
      <c r="C25" s="2">
        <v>219</v>
      </c>
      <c r="D25" s="2">
        <v>0.68892045454545459</v>
      </c>
      <c r="E25" s="2">
        <v>2.475632071390249E-24</v>
      </c>
      <c r="F25" s="2">
        <v>1</v>
      </c>
      <c r="G25" s="2">
        <v>4.9512641427804987E-24</v>
      </c>
      <c r="H25" s="2">
        <v>0</v>
      </c>
      <c r="I25" s="2">
        <v>1</v>
      </c>
      <c r="J25" s="2">
        <v>0</v>
      </c>
      <c r="K25" s="2" t="s">
        <v>1</v>
      </c>
    </row>
    <row r="26" spans="1:11" x14ac:dyDescent="0.35">
      <c r="A26" s="2" t="s">
        <v>36</v>
      </c>
      <c r="B26" s="2">
        <v>365</v>
      </c>
      <c r="C26" s="2">
        <v>339</v>
      </c>
      <c r="D26" s="2">
        <v>0.51846590909090906</v>
      </c>
      <c r="E26" s="2">
        <v>0.17304251071291021</v>
      </c>
      <c r="F26" s="2">
        <v>0.84556710823239156</v>
      </c>
      <c r="G26" s="2">
        <v>0.34608502142582048</v>
      </c>
      <c r="H26" s="2">
        <v>0.16356481161757741</v>
      </c>
      <c r="I26" s="2">
        <v>0.83643518838242259</v>
      </c>
      <c r="J26" s="2">
        <v>0.32712962323515482</v>
      </c>
      <c r="K26" s="2" t="s">
        <v>12</v>
      </c>
    </row>
    <row r="27" spans="1:11" x14ac:dyDescent="0.35">
      <c r="A27" s="2" t="s">
        <v>37</v>
      </c>
      <c r="B27" s="2">
        <v>420</v>
      </c>
      <c r="C27" s="2">
        <v>284</v>
      </c>
      <c r="D27" s="2">
        <v>0.59659090909090906</v>
      </c>
      <c r="E27" s="2">
        <v>1.6698232803194559E-7</v>
      </c>
      <c r="F27" s="2">
        <v>0.99999988863049394</v>
      </c>
      <c r="G27" s="2">
        <v>3.3396465606389117E-7</v>
      </c>
      <c r="H27" s="2">
        <v>1.4822276928061479E-7</v>
      </c>
      <c r="I27" s="2">
        <v>0.99999985177723072</v>
      </c>
      <c r="J27" s="2">
        <v>2.9644553856122968E-7</v>
      </c>
      <c r="K27" s="2" t="s">
        <v>1</v>
      </c>
    </row>
    <row r="28" spans="1:11" x14ac:dyDescent="0.35">
      <c r="A28" s="2" t="s">
        <v>38</v>
      </c>
      <c r="B28" s="2">
        <v>441</v>
      </c>
      <c r="C28" s="2">
        <v>263</v>
      </c>
      <c r="D28" s="2">
        <v>0.62642045454545459</v>
      </c>
      <c r="E28" s="2">
        <v>9.9948438318163314E-12</v>
      </c>
      <c r="F28" s="2">
        <v>0.99999999999410327</v>
      </c>
      <c r="G28" s="2">
        <v>1.998968766363266E-11</v>
      </c>
      <c r="H28" s="2">
        <v>9.8231422995809226E-12</v>
      </c>
      <c r="I28" s="2">
        <v>0.99999999999017686</v>
      </c>
      <c r="J28" s="2">
        <v>1.9646284599161852E-11</v>
      </c>
      <c r="K28" s="2" t="s">
        <v>1</v>
      </c>
    </row>
    <row r="29" spans="1:11" x14ac:dyDescent="0.35">
      <c r="A29" s="2" t="s">
        <v>39</v>
      </c>
      <c r="B29" s="2">
        <v>293</v>
      </c>
      <c r="C29" s="2">
        <v>411</v>
      </c>
      <c r="D29" s="2">
        <v>0.41619318181818182</v>
      </c>
      <c r="E29" s="2">
        <v>0.99999652535152628</v>
      </c>
      <c r="F29" s="2">
        <v>4.9504061134201882E-6</v>
      </c>
      <c r="G29" s="2">
        <v>9.9008122268403763E-6</v>
      </c>
      <c r="H29" s="2">
        <v>0.999995652027029</v>
      </c>
      <c r="I29" s="2">
        <v>4.3479729710524754E-6</v>
      </c>
      <c r="J29" s="2">
        <v>8.6959459419944096E-6</v>
      </c>
      <c r="K29" s="2" t="s">
        <v>2</v>
      </c>
    </row>
    <row r="30" spans="1:11" x14ac:dyDescent="0.35">
      <c r="A30" s="2" t="s">
        <v>40</v>
      </c>
      <c r="B30" s="2">
        <v>642</v>
      </c>
      <c r="C30" s="2">
        <v>62</v>
      </c>
      <c r="D30" s="2">
        <v>0.91193181818181823</v>
      </c>
      <c r="E30" s="2">
        <v>9.2972515938927735E-123</v>
      </c>
      <c r="F30" s="2">
        <v>1</v>
      </c>
      <c r="G30" s="2">
        <v>1.859450318778555E-122</v>
      </c>
      <c r="H30" s="2">
        <v>0</v>
      </c>
      <c r="I30" s="2">
        <v>1</v>
      </c>
      <c r="J30" s="2">
        <v>0</v>
      </c>
      <c r="K30" s="2" t="s">
        <v>1</v>
      </c>
    </row>
    <row r="31" spans="1:11" x14ac:dyDescent="0.35">
      <c r="A31" s="2" t="s">
        <v>41</v>
      </c>
      <c r="B31" s="2">
        <v>336</v>
      </c>
      <c r="C31" s="2">
        <v>368</v>
      </c>
      <c r="D31" s="2">
        <v>0.47727272727272729</v>
      </c>
      <c r="E31" s="2">
        <v>0.8932160997258477</v>
      </c>
      <c r="F31" s="2">
        <v>0.12132136960569349</v>
      </c>
      <c r="G31" s="2">
        <v>0.24264273921138699</v>
      </c>
      <c r="H31" s="2">
        <v>0.88610000300588521</v>
      </c>
      <c r="I31" s="2">
        <v>0.1138999969941147</v>
      </c>
      <c r="J31" s="2">
        <v>0.22779999398822959</v>
      </c>
      <c r="K31" s="2" t="s">
        <v>12</v>
      </c>
    </row>
    <row r="32" spans="1:11" x14ac:dyDescent="0.35">
      <c r="A32" s="2" t="s">
        <v>42</v>
      </c>
      <c r="B32" s="2">
        <v>302</v>
      </c>
      <c r="C32" s="2">
        <v>402</v>
      </c>
      <c r="D32" s="2">
        <v>0.42897727272727271</v>
      </c>
      <c r="E32" s="2">
        <v>0.99993127286383343</v>
      </c>
      <c r="F32" s="2">
        <v>9.3132563399741616E-5</v>
      </c>
      <c r="G32" s="2">
        <v>1.8626512679948321E-4</v>
      </c>
      <c r="H32" s="2">
        <v>0.99991801303050887</v>
      </c>
      <c r="I32" s="2">
        <v>8.1986969491158737E-5</v>
      </c>
      <c r="J32" s="2">
        <v>1.6397393898226481E-4</v>
      </c>
      <c r="K32" s="2" t="s">
        <v>2</v>
      </c>
    </row>
    <row r="33" spans="1:11" x14ac:dyDescent="0.35">
      <c r="A33" s="2" t="s">
        <v>43</v>
      </c>
      <c r="B33" s="2">
        <v>281</v>
      </c>
      <c r="C33" s="2">
        <v>423</v>
      </c>
      <c r="D33" s="2">
        <v>0.39914772727272729</v>
      </c>
      <c r="E33" s="2">
        <v>0.99999996807690539</v>
      </c>
      <c r="F33" s="2">
        <v>4.8695444035950358E-8</v>
      </c>
      <c r="G33" s="2">
        <v>9.7390888071900728E-8</v>
      </c>
      <c r="H33" s="2">
        <v>0.99999995646453665</v>
      </c>
      <c r="I33" s="2">
        <v>4.3535463367751409E-8</v>
      </c>
      <c r="J33" s="2">
        <v>8.7070926690913097E-8</v>
      </c>
      <c r="K33" s="2" t="s">
        <v>2</v>
      </c>
    </row>
    <row r="34" spans="1:11" x14ac:dyDescent="0.35">
      <c r="A34" s="2" t="s">
        <v>44</v>
      </c>
      <c r="B34" s="2">
        <v>141</v>
      </c>
      <c r="C34" s="2">
        <v>563</v>
      </c>
      <c r="D34" s="2">
        <v>0.20028409090909091</v>
      </c>
      <c r="E34" s="2">
        <v>1</v>
      </c>
      <c r="F34" s="2">
        <v>7.7444877599609219E-61</v>
      </c>
      <c r="G34" s="2">
        <v>1.5488975519921841E-60</v>
      </c>
      <c r="H34" s="2">
        <v>1</v>
      </c>
      <c r="I34" s="2">
        <v>2.9381118074175331E-57</v>
      </c>
      <c r="J34" s="2">
        <v>0</v>
      </c>
      <c r="K34" s="2" t="s">
        <v>2</v>
      </c>
    </row>
    <row r="35" spans="1:11" x14ac:dyDescent="0.35">
      <c r="A35" s="2" t="s">
        <v>45</v>
      </c>
      <c r="B35" s="2">
        <v>159</v>
      </c>
      <c r="C35" s="2">
        <v>545</v>
      </c>
      <c r="D35" s="2">
        <v>0.22585227272727271</v>
      </c>
      <c r="E35" s="2">
        <v>1</v>
      </c>
      <c r="F35" s="2">
        <v>1.2949402305475899E-50</v>
      </c>
      <c r="G35" s="2">
        <v>2.5898804610951798E-50</v>
      </c>
      <c r="H35" s="2">
        <v>1</v>
      </c>
      <c r="I35" s="2">
        <v>3.0101942364306642E-48</v>
      </c>
      <c r="J35" s="2">
        <v>0</v>
      </c>
      <c r="K35" s="2" t="s">
        <v>2</v>
      </c>
    </row>
    <row r="36" spans="1:11" x14ac:dyDescent="0.35">
      <c r="A36" s="2" t="s">
        <v>46</v>
      </c>
      <c r="B36" s="2">
        <v>119</v>
      </c>
      <c r="C36" s="2">
        <v>585</v>
      </c>
      <c r="D36" s="2">
        <v>0.16903409090909091</v>
      </c>
      <c r="E36" s="2">
        <v>1</v>
      </c>
      <c r="F36" s="2">
        <v>4.9101379600436773E-75</v>
      </c>
      <c r="G36" s="2">
        <v>9.8202759200873546E-75</v>
      </c>
      <c r="H36" s="2">
        <v>1</v>
      </c>
      <c r="I36" s="2">
        <v>2.363885695239932E-69</v>
      </c>
      <c r="J36" s="2">
        <v>0</v>
      </c>
      <c r="K36" s="2" t="s">
        <v>2</v>
      </c>
    </row>
    <row r="37" spans="1:11" x14ac:dyDescent="0.35">
      <c r="A37" s="2" t="s">
        <v>47</v>
      </c>
      <c r="B37" s="2">
        <v>253</v>
      </c>
      <c r="C37" s="2">
        <v>451</v>
      </c>
      <c r="D37" s="2">
        <v>0.359375</v>
      </c>
      <c r="E37" s="2">
        <v>0.99999999999997835</v>
      </c>
      <c r="F37" s="2">
        <v>3.8989699383371863E-14</v>
      </c>
      <c r="G37" s="2">
        <v>7.7979398766743726E-14</v>
      </c>
      <c r="H37" s="2">
        <v>0.99999999999995748</v>
      </c>
      <c r="I37" s="2">
        <v>4.2478382908461559E-14</v>
      </c>
      <c r="J37" s="2">
        <v>8.5043083686286991E-14</v>
      </c>
      <c r="K37" s="2" t="s">
        <v>2</v>
      </c>
    </row>
    <row r="38" spans="1:11" x14ac:dyDescent="0.35">
      <c r="A38" s="2" t="s">
        <v>48</v>
      </c>
      <c r="B38" s="2">
        <v>317</v>
      </c>
      <c r="C38" s="2">
        <v>387</v>
      </c>
      <c r="D38" s="2">
        <v>0.45028409090909088</v>
      </c>
      <c r="E38" s="2">
        <v>0.99629541745891781</v>
      </c>
      <c r="F38" s="2">
        <v>4.6298355537997774E-3</v>
      </c>
      <c r="G38" s="2">
        <v>9.2596711075995548E-3</v>
      </c>
      <c r="H38" s="2">
        <v>0.99583292771109133</v>
      </c>
      <c r="I38" s="2">
        <v>4.1670722889086756E-3</v>
      </c>
      <c r="J38" s="2">
        <v>8.3341445778173373E-3</v>
      </c>
      <c r="K38" s="2" t="s">
        <v>2</v>
      </c>
    </row>
    <row r="39" spans="1:11" x14ac:dyDescent="0.35">
      <c r="A39" s="2" t="s">
        <v>49</v>
      </c>
      <c r="B39" s="2">
        <v>309</v>
      </c>
      <c r="C39" s="2">
        <v>395</v>
      </c>
      <c r="D39" s="2">
        <v>0.43892045454545447</v>
      </c>
      <c r="E39" s="2">
        <v>0.99948598562048263</v>
      </c>
      <c r="F39" s="2">
        <v>6.7042759450837246E-4</v>
      </c>
      <c r="G39" s="2">
        <v>1.3408551890167449E-3</v>
      </c>
      <c r="H39" s="2">
        <v>0.9994049598082726</v>
      </c>
      <c r="I39" s="2">
        <v>5.9504019172738302E-4</v>
      </c>
      <c r="J39" s="2">
        <v>1.1900803834548059E-3</v>
      </c>
      <c r="K39" s="2" t="s">
        <v>2</v>
      </c>
    </row>
    <row r="40" spans="1:11" x14ac:dyDescent="0.35">
      <c r="A40" s="2" t="s">
        <v>50</v>
      </c>
      <c r="B40" s="2">
        <v>308</v>
      </c>
      <c r="C40" s="2">
        <v>396</v>
      </c>
      <c r="D40" s="2">
        <v>0.4375</v>
      </c>
      <c r="E40" s="2">
        <v>0.99960803532611964</v>
      </c>
      <c r="F40" s="2">
        <v>5.140143795173258E-4</v>
      </c>
      <c r="G40" s="2">
        <v>1.028028759034652E-3</v>
      </c>
      <c r="H40" s="2">
        <v>0.99954444056142311</v>
      </c>
      <c r="I40" s="2">
        <v>4.5555943857685638E-4</v>
      </c>
      <c r="J40" s="2">
        <v>9.1111887715378259E-4</v>
      </c>
      <c r="K40" s="2" t="s">
        <v>2</v>
      </c>
    </row>
    <row r="41" spans="1:11" x14ac:dyDescent="0.35">
      <c r="A41" s="2" t="s">
        <v>51</v>
      </c>
      <c r="B41" s="2">
        <v>356</v>
      </c>
      <c r="C41" s="2">
        <v>348</v>
      </c>
      <c r="D41" s="2">
        <v>0.50568181818181823</v>
      </c>
      <c r="E41" s="2">
        <v>0.39596959597855169</v>
      </c>
      <c r="F41" s="2">
        <v>0.63275715045003333</v>
      </c>
      <c r="G41" s="2">
        <v>0.79193919195710338</v>
      </c>
      <c r="H41" s="2">
        <v>0.38151230027649652</v>
      </c>
      <c r="I41" s="2">
        <v>0.61848769972350348</v>
      </c>
      <c r="J41" s="2">
        <v>0.76302460055299304</v>
      </c>
      <c r="K41" s="2" t="s">
        <v>12</v>
      </c>
    </row>
    <row r="42" spans="1:11" x14ac:dyDescent="0.35">
      <c r="A42" s="2" t="s">
        <v>52</v>
      </c>
      <c r="B42" s="2">
        <v>430</v>
      </c>
      <c r="C42" s="2">
        <v>274</v>
      </c>
      <c r="D42" s="2">
        <v>0.61079545454545459</v>
      </c>
      <c r="E42" s="2">
        <v>2.2443084356065412E-9</v>
      </c>
      <c r="F42" s="2">
        <v>0.99999999858720068</v>
      </c>
      <c r="G42" s="2">
        <v>4.4886168712130824E-9</v>
      </c>
      <c r="H42" s="2">
        <v>2.0578957427019869E-9</v>
      </c>
      <c r="I42" s="2">
        <v>0.99999999794210426</v>
      </c>
      <c r="J42" s="2">
        <v>4.1157914854039754E-9</v>
      </c>
      <c r="K42" s="2" t="s">
        <v>1</v>
      </c>
    </row>
    <row r="43" spans="1:11" x14ac:dyDescent="0.35">
      <c r="A43" s="2" t="s">
        <v>53</v>
      </c>
      <c r="B43" s="2">
        <v>303</v>
      </c>
      <c r="C43" s="2">
        <v>401</v>
      </c>
      <c r="D43" s="2">
        <v>0.43039772727272729</v>
      </c>
      <c r="E43" s="2">
        <v>0.99990686743660029</v>
      </c>
      <c r="F43" s="2">
        <v>1.2551204111500489E-4</v>
      </c>
      <c r="G43" s="2">
        <v>2.5102408223000972E-4</v>
      </c>
      <c r="H43" s="2">
        <v>0.99988941182370716</v>
      </c>
      <c r="I43" s="2">
        <v>1.1058817629283019E-4</v>
      </c>
      <c r="J43" s="2">
        <v>2.211763525856725E-4</v>
      </c>
      <c r="K43" s="2" t="s">
        <v>2</v>
      </c>
    </row>
    <row r="44" spans="1:11" x14ac:dyDescent="0.35">
      <c r="A44" s="2" t="s">
        <v>54</v>
      </c>
      <c r="B44" s="2">
        <v>509</v>
      </c>
      <c r="C44" s="2">
        <v>195</v>
      </c>
      <c r="D44" s="2">
        <v>0.72301136363636365</v>
      </c>
      <c r="E44" s="2">
        <v>1.6755297730258412E-33</v>
      </c>
      <c r="F44" s="2">
        <v>1</v>
      </c>
      <c r="G44" s="2">
        <v>3.3510595460516823E-33</v>
      </c>
      <c r="H44" s="2">
        <v>0</v>
      </c>
      <c r="I44" s="2">
        <v>1</v>
      </c>
      <c r="J44" s="2">
        <v>0</v>
      </c>
      <c r="K44" s="2" t="s">
        <v>1</v>
      </c>
    </row>
    <row r="45" spans="1:11" x14ac:dyDescent="0.35">
      <c r="A45" s="2" t="s">
        <v>55</v>
      </c>
      <c r="B45" s="2">
        <v>446</v>
      </c>
      <c r="C45" s="2">
        <v>258</v>
      </c>
      <c r="D45" s="2">
        <v>0.63352272727272729</v>
      </c>
      <c r="E45" s="2">
        <v>6.7296703835153783E-13</v>
      </c>
      <c r="F45" s="2">
        <v>0.99999999999961464</v>
      </c>
      <c r="G45" s="2">
        <v>1.3459340767030761E-12</v>
      </c>
      <c r="H45" s="2">
        <v>6.9266814506363517E-13</v>
      </c>
      <c r="I45" s="2">
        <v>0.99999999999930733</v>
      </c>
      <c r="J45" s="2">
        <v>1.3853362901272699E-12</v>
      </c>
      <c r="K45" s="2" t="s">
        <v>1</v>
      </c>
    </row>
    <row r="46" spans="1:11" x14ac:dyDescent="0.35">
      <c r="A46" s="2" t="s">
        <v>56</v>
      </c>
      <c r="B46" s="2">
        <v>460</v>
      </c>
      <c r="C46" s="2">
        <v>244</v>
      </c>
      <c r="D46" s="2">
        <v>0.65340909090909094</v>
      </c>
      <c r="E46" s="2">
        <v>1.576497202618777E-16</v>
      </c>
      <c r="F46" s="2">
        <v>0.99999999999999989</v>
      </c>
      <c r="G46" s="2">
        <v>3.1529944052375539E-16</v>
      </c>
      <c r="H46" s="2">
        <v>2.2204460492503131E-16</v>
      </c>
      <c r="I46" s="2">
        <v>0.99999999999999978</v>
      </c>
      <c r="J46" s="2">
        <v>4.4408920985006262E-16</v>
      </c>
      <c r="K46" s="2" t="s">
        <v>1</v>
      </c>
    </row>
    <row r="47" spans="1:11" x14ac:dyDescent="0.35">
      <c r="A47" s="2" t="s">
        <v>57</v>
      </c>
      <c r="B47" s="2">
        <v>647</v>
      </c>
      <c r="C47" s="2">
        <v>57</v>
      </c>
      <c r="D47" s="2">
        <v>0.91903409090909094</v>
      </c>
      <c r="E47" s="2">
        <v>6.4073281525434737E-128</v>
      </c>
      <c r="F47" s="2">
        <v>1</v>
      </c>
      <c r="G47" s="2">
        <v>1.2814656305086949E-127</v>
      </c>
      <c r="H47" s="2">
        <v>0</v>
      </c>
      <c r="I47" s="2">
        <v>1</v>
      </c>
      <c r="J47" s="2">
        <v>0</v>
      </c>
      <c r="K47" s="2" t="s">
        <v>1</v>
      </c>
    </row>
    <row r="48" spans="1:11" x14ac:dyDescent="0.35">
      <c r="A48" s="2" t="s">
        <v>58</v>
      </c>
      <c r="B48" s="2">
        <v>612</v>
      </c>
      <c r="C48" s="2">
        <v>92</v>
      </c>
      <c r="D48" s="2">
        <v>0.86931818181818177</v>
      </c>
      <c r="E48" s="2">
        <v>2.1142922395084159E-95</v>
      </c>
      <c r="F48" s="2">
        <v>1</v>
      </c>
      <c r="G48" s="2">
        <v>4.2285844790168312E-95</v>
      </c>
      <c r="H48" s="2">
        <v>0</v>
      </c>
      <c r="I48" s="2">
        <v>1</v>
      </c>
      <c r="J48" s="2">
        <v>0</v>
      </c>
      <c r="K48" s="2" t="s">
        <v>1</v>
      </c>
    </row>
    <row r="49" spans="1:11" x14ac:dyDescent="0.35">
      <c r="A49" s="2" t="s">
        <v>59</v>
      </c>
      <c r="B49" s="2">
        <v>544</v>
      </c>
      <c r="C49" s="2">
        <v>160</v>
      </c>
      <c r="D49" s="2">
        <v>0.77272727272727271</v>
      </c>
      <c r="E49" s="2">
        <v>4.4255725709607187E-50</v>
      </c>
      <c r="F49" s="2">
        <v>1</v>
      </c>
      <c r="G49" s="2">
        <v>8.8511451419214373E-50</v>
      </c>
      <c r="H49" s="2">
        <v>0</v>
      </c>
      <c r="I49" s="2">
        <v>1</v>
      </c>
      <c r="J49" s="2">
        <v>0</v>
      </c>
      <c r="K49" s="2" t="s">
        <v>1</v>
      </c>
    </row>
    <row r="50" spans="1:11" x14ac:dyDescent="0.35">
      <c r="A50" s="2" t="s">
        <v>60</v>
      </c>
      <c r="B50" s="2">
        <v>509</v>
      </c>
      <c r="C50" s="2">
        <v>195</v>
      </c>
      <c r="D50" s="2">
        <v>0.72301136363636365</v>
      </c>
      <c r="E50" s="2">
        <v>1.6755297730258412E-33</v>
      </c>
      <c r="F50" s="2">
        <v>1</v>
      </c>
      <c r="G50" s="2">
        <v>3.3510595460516823E-33</v>
      </c>
      <c r="H50" s="2">
        <v>0</v>
      </c>
      <c r="I50" s="2">
        <v>1</v>
      </c>
      <c r="J50" s="2">
        <v>0</v>
      </c>
      <c r="K50" s="2" t="s">
        <v>1</v>
      </c>
    </row>
    <row r="51" spans="1:11" x14ac:dyDescent="0.35">
      <c r="A51" s="2" t="s">
        <v>61</v>
      </c>
      <c r="B51" s="2">
        <v>317</v>
      </c>
      <c r="C51" s="2">
        <v>387</v>
      </c>
      <c r="D51" s="2">
        <v>0.45028409090909088</v>
      </c>
      <c r="E51" s="2">
        <v>0.99629541745891781</v>
      </c>
      <c r="F51" s="2">
        <v>4.6298355537997774E-3</v>
      </c>
      <c r="G51" s="2">
        <v>9.2596711075995548E-3</v>
      </c>
      <c r="H51" s="2">
        <v>0.99583292771109133</v>
      </c>
      <c r="I51" s="2">
        <v>4.1670722889086756E-3</v>
      </c>
      <c r="J51" s="2">
        <v>8.3341445778173373E-3</v>
      </c>
      <c r="K51" s="2" t="s">
        <v>2</v>
      </c>
    </row>
    <row r="52" spans="1:11" x14ac:dyDescent="0.35">
      <c r="A52" s="2" t="s">
        <v>62</v>
      </c>
      <c r="B52" s="2">
        <v>704</v>
      </c>
      <c r="C52" s="2">
        <v>0</v>
      </c>
      <c r="D52" s="2">
        <v>1</v>
      </c>
      <c r="E52" s="2">
        <v>1.1881822289344749E-212</v>
      </c>
      <c r="F52" s="2">
        <v>1</v>
      </c>
      <c r="G52" s="2">
        <v>2.3763644578689498E-212</v>
      </c>
      <c r="H52" s="2">
        <v>0</v>
      </c>
      <c r="I52" s="2">
        <v>1</v>
      </c>
      <c r="J52" s="2">
        <v>0</v>
      </c>
      <c r="K52" s="2" t="s">
        <v>1</v>
      </c>
    </row>
    <row r="53" spans="1:11" x14ac:dyDescent="0.35">
      <c r="A53" s="2" t="s">
        <v>63</v>
      </c>
      <c r="B53" s="2">
        <v>502</v>
      </c>
      <c r="C53" s="2">
        <v>202</v>
      </c>
      <c r="D53" s="2">
        <v>0.71306818181818177</v>
      </c>
      <c r="E53" s="2">
        <v>2.9522028872401471E-30</v>
      </c>
      <c r="F53" s="2">
        <v>1</v>
      </c>
      <c r="G53" s="2">
        <v>5.9044057744802949E-30</v>
      </c>
      <c r="H53" s="2">
        <v>0</v>
      </c>
      <c r="I53" s="2">
        <v>1</v>
      </c>
      <c r="J53" s="2">
        <v>0</v>
      </c>
      <c r="K53" s="2" t="s">
        <v>1</v>
      </c>
    </row>
    <row r="54" spans="1:11" x14ac:dyDescent="0.35">
      <c r="A54" s="2" t="s">
        <v>64</v>
      </c>
      <c r="B54" s="2">
        <v>677</v>
      </c>
      <c r="C54" s="2">
        <v>27</v>
      </c>
      <c r="D54" s="2">
        <v>0.96164772727272729</v>
      </c>
      <c r="E54" s="2">
        <v>5.2563298167933999E-164</v>
      </c>
      <c r="F54" s="2">
        <v>1</v>
      </c>
      <c r="G54" s="2">
        <v>1.05126596335868E-163</v>
      </c>
      <c r="H54" s="2">
        <v>0</v>
      </c>
      <c r="I54" s="2">
        <v>1</v>
      </c>
      <c r="J54" s="2">
        <v>0</v>
      </c>
      <c r="K54" s="2" t="s">
        <v>1</v>
      </c>
    </row>
    <row r="55" spans="1:11" x14ac:dyDescent="0.35">
      <c r="A55" s="2" t="s">
        <v>65</v>
      </c>
      <c r="B55" s="2">
        <v>704</v>
      </c>
      <c r="C55" s="2">
        <v>0</v>
      </c>
      <c r="D55" s="2">
        <v>1</v>
      </c>
      <c r="E55" s="2">
        <v>1.1881822289344749E-212</v>
      </c>
      <c r="F55" s="2">
        <v>1</v>
      </c>
      <c r="G55" s="2">
        <v>2.3763644578689498E-212</v>
      </c>
      <c r="H55" s="2">
        <v>0</v>
      </c>
      <c r="I55" s="2">
        <v>1</v>
      </c>
      <c r="J55" s="2">
        <v>0</v>
      </c>
      <c r="K55" s="2" t="s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5"/>
  <sheetViews>
    <sheetView workbookViewId="0"/>
  </sheetViews>
  <sheetFormatPr defaultRowHeight="14.5" x14ac:dyDescent="0.35"/>
  <cols>
    <col min="1" max="1" width="23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360</v>
      </c>
      <c r="C2" s="2">
        <v>344</v>
      </c>
      <c r="D2" s="2">
        <v>0.51136363636363635</v>
      </c>
      <c r="E2" s="2">
        <v>0.28593891061226778</v>
      </c>
      <c r="F2" s="2">
        <v>0.73913038672604903</v>
      </c>
      <c r="G2" s="2">
        <v>0.57187782122453568</v>
      </c>
      <c r="H2" s="2">
        <v>0.27324679770329119</v>
      </c>
      <c r="I2" s="2">
        <v>0.72675320229670881</v>
      </c>
      <c r="J2" s="2">
        <v>0.54649359540658238</v>
      </c>
      <c r="K2" s="2" t="s">
        <v>12</v>
      </c>
    </row>
    <row r="3" spans="1:11" x14ac:dyDescent="0.35">
      <c r="A3" s="2" t="s">
        <v>13</v>
      </c>
      <c r="B3" s="2">
        <v>111</v>
      </c>
      <c r="C3" s="2">
        <v>593</v>
      </c>
      <c r="D3" s="2">
        <v>0.15767045454545461</v>
      </c>
      <c r="E3" s="2">
        <v>1</v>
      </c>
      <c r="F3" s="2">
        <v>1.043564636923742E-80</v>
      </c>
      <c r="G3" s="2">
        <v>2.0871292738474851E-80</v>
      </c>
      <c r="H3" s="2">
        <v>1</v>
      </c>
      <c r="I3" s="2">
        <v>4.7920336003613243E-74</v>
      </c>
      <c r="J3" s="2">
        <v>0</v>
      </c>
      <c r="K3" s="2" t="s">
        <v>2</v>
      </c>
    </row>
    <row r="4" spans="1:11" x14ac:dyDescent="0.35">
      <c r="A4" s="2" t="s">
        <v>14</v>
      </c>
      <c r="B4" s="2">
        <v>77</v>
      </c>
      <c r="C4" s="2">
        <v>627</v>
      </c>
      <c r="D4" s="2">
        <v>0.109375</v>
      </c>
      <c r="E4" s="2">
        <v>1</v>
      </c>
      <c r="F4" s="2">
        <v>2.283112508325887E-108</v>
      </c>
      <c r="G4" s="2">
        <v>4.5662250166517748E-108</v>
      </c>
      <c r="H4" s="2">
        <v>1</v>
      </c>
      <c r="I4" s="2">
        <v>9.5032838653949989E-96</v>
      </c>
      <c r="J4" s="2">
        <v>0</v>
      </c>
      <c r="K4" s="2" t="s">
        <v>2</v>
      </c>
    </row>
    <row r="5" spans="1:11" x14ac:dyDescent="0.35">
      <c r="A5" s="2" t="s">
        <v>15</v>
      </c>
      <c r="B5" s="2">
        <v>84</v>
      </c>
      <c r="C5" s="2">
        <v>620</v>
      </c>
      <c r="D5" s="2">
        <v>0.1193181818181818</v>
      </c>
      <c r="E5" s="2">
        <v>1</v>
      </c>
      <c r="F5" s="2">
        <v>3.7378802256302499E-102</v>
      </c>
      <c r="G5" s="2">
        <v>7.4757604512604998E-102</v>
      </c>
      <c r="H5" s="2">
        <v>1</v>
      </c>
      <c r="I5" s="2">
        <v>4.7715433194442063E-91</v>
      </c>
      <c r="J5" s="2">
        <v>0</v>
      </c>
      <c r="K5" s="2" t="s">
        <v>2</v>
      </c>
    </row>
    <row r="6" spans="1:11" x14ac:dyDescent="0.35">
      <c r="A6" s="2" t="s">
        <v>16</v>
      </c>
      <c r="B6" s="2">
        <v>95</v>
      </c>
      <c r="C6" s="2">
        <v>609</v>
      </c>
      <c r="D6" s="2">
        <v>0.1349431818181818</v>
      </c>
      <c r="E6" s="2">
        <v>1</v>
      </c>
      <c r="F6" s="2">
        <v>5.8457810095231113E-93</v>
      </c>
      <c r="G6" s="2">
        <v>1.1691562019046219E-92</v>
      </c>
      <c r="H6" s="2">
        <v>1</v>
      </c>
      <c r="I6" s="2">
        <v>6.6360936160072326E-84</v>
      </c>
      <c r="J6" s="2">
        <v>0</v>
      </c>
      <c r="K6" s="2" t="s">
        <v>2</v>
      </c>
    </row>
    <row r="7" spans="1:11" x14ac:dyDescent="0.35">
      <c r="A7" s="2" t="s">
        <v>17</v>
      </c>
      <c r="B7" s="2">
        <v>224</v>
      </c>
      <c r="C7" s="2">
        <v>480</v>
      </c>
      <c r="D7" s="2">
        <v>0.31818181818181818</v>
      </c>
      <c r="E7" s="2">
        <v>1</v>
      </c>
      <c r="F7" s="2">
        <v>1.240409552897812E-22</v>
      </c>
      <c r="G7" s="2">
        <v>2.4808191057956239E-22</v>
      </c>
      <c r="H7" s="2">
        <v>1</v>
      </c>
      <c r="I7" s="2">
        <v>2.4973315511776192E-22</v>
      </c>
      <c r="J7" s="2">
        <v>0</v>
      </c>
      <c r="K7" s="2" t="s">
        <v>2</v>
      </c>
    </row>
    <row r="8" spans="1:11" x14ac:dyDescent="0.35">
      <c r="A8" s="2" t="s">
        <v>18</v>
      </c>
      <c r="B8" s="2">
        <v>217</v>
      </c>
      <c r="C8" s="2">
        <v>487</v>
      </c>
      <c r="D8" s="2">
        <v>0.30823863636363641</v>
      </c>
      <c r="E8" s="2">
        <v>1</v>
      </c>
      <c r="F8" s="2">
        <v>4.9411160066861492E-25</v>
      </c>
      <c r="G8" s="2">
        <v>9.8822320133722983E-25</v>
      </c>
      <c r="H8" s="2">
        <v>1</v>
      </c>
      <c r="I8" s="2">
        <v>1.268795996811758E-24</v>
      </c>
      <c r="J8" s="2">
        <v>0</v>
      </c>
      <c r="K8" s="2" t="s">
        <v>2</v>
      </c>
    </row>
    <row r="9" spans="1:11" x14ac:dyDescent="0.35">
      <c r="A9" s="2" t="s">
        <v>19</v>
      </c>
      <c r="B9" s="2">
        <v>220</v>
      </c>
      <c r="C9" s="2">
        <v>484</v>
      </c>
      <c r="D9" s="2">
        <v>0.3125</v>
      </c>
      <c r="E9" s="2">
        <v>1</v>
      </c>
      <c r="F9" s="2">
        <v>5.4870066049419023E-24</v>
      </c>
      <c r="G9" s="2">
        <v>1.09740132098838E-23</v>
      </c>
      <c r="H9" s="2">
        <v>1</v>
      </c>
      <c r="I9" s="2">
        <v>1.262508831201369E-23</v>
      </c>
      <c r="J9" s="2">
        <v>0</v>
      </c>
      <c r="K9" s="2" t="s">
        <v>2</v>
      </c>
    </row>
    <row r="10" spans="1:11" x14ac:dyDescent="0.35">
      <c r="A10" s="2" t="s">
        <v>20</v>
      </c>
      <c r="B10" s="2">
        <v>143</v>
      </c>
      <c r="C10" s="2">
        <v>561</v>
      </c>
      <c r="D10" s="2">
        <v>0.203125</v>
      </c>
      <c r="E10" s="2">
        <v>1</v>
      </c>
      <c r="F10" s="2">
        <v>1.213894333138013E-59</v>
      </c>
      <c r="G10" s="2">
        <v>2.4277886662760269E-59</v>
      </c>
      <c r="H10" s="2">
        <v>1</v>
      </c>
      <c r="I10" s="2">
        <v>3.225200149802477E-56</v>
      </c>
      <c r="J10" s="2">
        <v>0</v>
      </c>
      <c r="K10" s="2" t="s">
        <v>2</v>
      </c>
    </row>
    <row r="11" spans="1:11" x14ac:dyDescent="0.35">
      <c r="A11" s="2" t="s">
        <v>21</v>
      </c>
      <c r="B11" s="2">
        <v>394</v>
      </c>
      <c r="C11" s="2">
        <v>310</v>
      </c>
      <c r="D11" s="2">
        <v>0.55965909090909094</v>
      </c>
      <c r="E11" s="2">
        <v>8.6972830393244492E-4</v>
      </c>
      <c r="F11" s="2">
        <v>0.99932957240549158</v>
      </c>
      <c r="G11" s="2">
        <v>1.7394566078648901E-3</v>
      </c>
      <c r="H11" s="2">
        <v>7.7310173854039377E-4</v>
      </c>
      <c r="I11" s="2">
        <v>0.99922689826145961</v>
      </c>
      <c r="J11" s="2">
        <v>1.546203477080788E-3</v>
      </c>
      <c r="K11" s="2" t="s">
        <v>1</v>
      </c>
    </row>
    <row r="12" spans="1:11" x14ac:dyDescent="0.35">
      <c r="A12" s="2" t="s">
        <v>22</v>
      </c>
      <c r="B12" s="2">
        <v>175</v>
      </c>
      <c r="C12" s="2">
        <v>529</v>
      </c>
      <c r="D12" s="2">
        <v>0.24857954545454539</v>
      </c>
      <c r="E12" s="2">
        <v>1</v>
      </c>
      <c r="F12" s="2">
        <v>1.741043016652972E-42</v>
      </c>
      <c r="G12" s="2">
        <v>3.4820860333059433E-42</v>
      </c>
      <c r="H12" s="2">
        <v>1</v>
      </c>
      <c r="I12" s="2">
        <v>6.604562072102192E-41</v>
      </c>
      <c r="J12" s="2">
        <v>0</v>
      </c>
      <c r="K12" s="2" t="s">
        <v>2</v>
      </c>
    </row>
    <row r="13" spans="1:11" x14ac:dyDescent="0.35">
      <c r="A13" s="2" t="s">
        <v>23</v>
      </c>
      <c r="B13" s="2">
        <v>216</v>
      </c>
      <c r="C13" s="2">
        <v>488</v>
      </c>
      <c r="D13" s="2">
        <v>0.30681818181818182</v>
      </c>
      <c r="E13" s="2">
        <v>1</v>
      </c>
      <c r="F13" s="2">
        <v>2.185738596483581E-25</v>
      </c>
      <c r="G13" s="2">
        <v>4.3714771929671629E-25</v>
      </c>
      <c r="H13" s="2">
        <v>1</v>
      </c>
      <c r="I13" s="2">
        <v>5.8329460102882498E-25</v>
      </c>
      <c r="J13" s="2">
        <v>0</v>
      </c>
      <c r="K13" s="2" t="s">
        <v>2</v>
      </c>
    </row>
    <row r="14" spans="1:11" x14ac:dyDescent="0.35">
      <c r="A14" s="2" t="s">
        <v>24</v>
      </c>
      <c r="B14" s="2">
        <v>226</v>
      </c>
      <c r="C14" s="2">
        <v>478</v>
      </c>
      <c r="D14" s="2">
        <v>0.32102272727272729</v>
      </c>
      <c r="E14" s="2">
        <v>1</v>
      </c>
      <c r="F14" s="2">
        <v>5.6723166494676379E-22</v>
      </c>
      <c r="G14" s="2">
        <v>1.134463329893528E-21</v>
      </c>
      <c r="H14" s="2">
        <v>1</v>
      </c>
      <c r="I14" s="2">
        <v>1.07384054722145E-21</v>
      </c>
      <c r="J14" s="2">
        <v>0</v>
      </c>
      <c r="K14" s="2" t="s">
        <v>2</v>
      </c>
    </row>
    <row r="15" spans="1:11" x14ac:dyDescent="0.35">
      <c r="A15" s="2" t="s">
        <v>25</v>
      </c>
      <c r="B15" s="2">
        <v>166</v>
      </c>
      <c r="C15" s="2">
        <v>538</v>
      </c>
      <c r="D15" s="2">
        <v>0.23579545454545461</v>
      </c>
      <c r="E15" s="2">
        <v>1</v>
      </c>
      <c r="F15" s="2">
        <v>5.9628957811031605E-47</v>
      </c>
      <c r="G15" s="2">
        <v>1.1925791562206321E-46</v>
      </c>
      <c r="H15" s="2">
        <v>1</v>
      </c>
      <c r="I15" s="2">
        <v>5.857781257806386E-45</v>
      </c>
      <c r="J15" s="2">
        <v>0</v>
      </c>
      <c r="K15" s="2" t="s">
        <v>2</v>
      </c>
    </row>
    <row r="16" spans="1:11" x14ac:dyDescent="0.35">
      <c r="A16" s="2" t="s">
        <v>26</v>
      </c>
      <c r="B16" s="2">
        <v>304</v>
      </c>
      <c r="C16" s="2">
        <v>400</v>
      </c>
      <c r="D16" s="2">
        <v>0.43181818181818182</v>
      </c>
      <c r="E16" s="2">
        <v>0.99987448795888501</v>
      </c>
      <c r="F16" s="2">
        <v>1.682231284959967E-4</v>
      </c>
      <c r="G16" s="2">
        <v>3.3644625699199351E-4</v>
      </c>
      <c r="H16" s="2">
        <v>0.99985163384435338</v>
      </c>
      <c r="I16" s="2">
        <v>1.4836615564657029E-4</v>
      </c>
      <c r="J16" s="2">
        <v>2.9673231129323518E-4</v>
      </c>
      <c r="K16" s="2" t="s">
        <v>2</v>
      </c>
    </row>
    <row r="17" spans="1:11" x14ac:dyDescent="0.35">
      <c r="A17" s="2" t="s">
        <v>27</v>
      </c>
      <c r="B17" s="2">
        <v>124</v>
      </c>
      <c r="C17" s="2">
        <v>580</v>
      </c>
      <c r="D17" s="2">
        <v>0.17613636363636359</v>
      </c>
      <c r="E17" s="2">
        <v>1</v>
      </c>
      <c r="F17" s="2">
        <v>1.2400197949969341E-71</v>
      </c>
      <c r="G17" s="2">
        <v>2.4800395899938681E-71</v>
      </c>
      <c r="H17" s="2">
        <v>1</v>
      </c>
      <c r="I17" s="2">
        <v>1.6860665371692589E-66</v>
      </c>
      <c r="J17" s="2">
        <v>0</v>
      </c>
      <c r="K17" s="2" t="s">
        <v>2</v>
      </c>
    </row>
    <row r="18" spans="1:11" x14ac:dyDescent="0.35">
      <c r="A18" s="2" t="s">
        <v>28</v>
      </c>
      <c r="B18" s="2">
        <v>201</v>
      </c>
      <c r="C18" s="2">
        <v>503</v>
      </c>
      <c r="D18" s="2">
        <v>0.28551136363636359</v>
      </c>
      <c r="E18" s="2">
        <v>1</v>
      </c>
      <c r="F18" s="2">
        <v>4.7504017313034421E-31</v>
      </c>
      <c r="G18" s="2">
        <v>9.5008034626068843E-31</v>
      </c>
      <c r="H18" s="2">
        <v>1</v>
      </c>
      <c r="I18" s="2">
        <v>2.5687845571579409E-30</v>
      </c>
      <c r="J18" s="2">
        <v>0</v>
      </c>
      <c r="K18" s="2" t="s">
        <v>2</v>
      </c>
    </row>
    <row r="19" spans="1:11" x14ac:dyDescent="0.35">
      <c r="A19" s="2" t="s">
        <v>29</v>
      </c>
      <c r="B19" s="2">
        <v>179</v>
      </c>
      <c r="C19" s="2">
        <v>525</v>
      </c>
      <c r="D19" s="2">
        <v>0.25426136363636359</v>
      </c>
      <c r="E19" s="2">
        <v>1</v>
      </c>
      <c r="F19" s="2">
        <v>1.378744080652062E-40</v>
      </c>
      <c r="G19" s="2">
        <v>2.7574881613041239E-40</v>
      </c>
      <c r="H19" s="2">
        <v>1</v>
      </c>
      <c r="I19" s="2">
        <v>3.6055191761920078E-39</v>
      </c>
      <c r="J19" s="2">
        <v>0</v>
      </c>
      <c r="K19" s="2" t="s">
        <v>2</v>
      </c>
    </row>
    <row r="20" spans="1:11" x14ac:dyDescent="0.35">
      <c r="A20" s="2" t="s">
        <v>30</v>
      </c>
      <c r="B20" s="2">
        <v>181</v>
      </c>
      <c r="C20" s="2">
        <v>523</v>
      </c>
      <c r="D20" s="2">
        <v>0.25710227272727271</v>
      </c>
      <c r="E20" s="2">
        <v>1</v>
      </c>
      <c r="F20" s="2">
        <v>1.173198000799468E-39</v>
      </c>
      <c r="G20" s="2">
        <v>2.346396001598936E-39</v>
      </c>
      <c r="H20" s="2">
        <v>1</v>
      </c>
      <c r="I20" s="2">
        <v>2.5751808329932719E-38</v>
      </c>
      <c r="J20" s="2">
        <v>0</v>
      </c>
      <c r="K20" s="2" t="s">
        <v>2</v>
      </c>
    </row>
    <row r="21" spans="1:11" x14ac:dyDescent="0.35">
      <c r="A21" s="2" t="s">
        <v>31</v>
      </c>
      <c r="B21" s="2">
        <v>141</v>
      </c>
      <c r="C21" s="2">
        <v>563</v>
      </c>
      <c r="D21" s="2">
        <v>0.20028409090909091</v>
      </c>
      <c r="E21" s="2">
        <v>1</v>
      </c>
      <c r="F21" s="2">
        <v>7.7444877599609219E-61</v>
      </c>
      <c r="G21" s="2">
        <v>1.5488975519921841E-60</v>
      </c>
      <c r="H21" s="2">
        <v>1</v>
      </c>
      <c r="I21" s="2">
        <v>2.9381118074175331E-57</v>
      </c>
      <c r="J21" s="2">
        <v>0</v>
      </c>
      <c r="K21" s="2" t="s">
        <v>2</v>
      </c>
    </row>
    <row r="22" spans="1:11" x14ac:dyDescent="0.35">
      <c r="A22" s="2" t="s">
        <v>32</v>
      </c>
      <c r="B22" s="2">
        <v>65</v>
      </c>
      <c r="C22" s="2">
        <v>639</v>
      </c>
      <c r="D22" s="2">
        <v>9.2329545454545456E-2</v>
      </c>
      <c r="E22" s="2">
        <v>1</v>
      </c>
      <c r="F22" s="2">
        <v>9.3964645870206983E-120</v>
      </c>
      <c r="G22" s="2">
        <v>1.8792929174041399E-119</v>
      </c>
      <c r="H22" s="2">
        <v>1</v>
      </c>
      <c r="I22" s="2">
        <v>4.3523006055437188E-104</v>
      </c>
      <c r="J22" s="2">
        <v>0</v>
      </c>
      <c r="K22" s="2" t="s">
        <v>2</v>
      </c>
    </row>
    <row r="23" spans="1:11" x14ac:dyDescent="0.35">
      <c r="A23" s="2" t="s">
        <v>33</v>
      </c>
      <c r="B23" s="2">
        <v>121</v>
      </c>
      <c r="C23" s="2">
        <v>583</v>
      </c>
      <c r="D23" s="2">
        <v>0.171875</v>
      </c>
      <c r="E23" s="2">
        <v>1</v>
      </c>
      <c r="F23" s="2">
        <v>1.161278070274943E-73</v>
      </c>
      <c r="G23" s="2">
        <v>2.3225561405498861E-73</v>
      </c>
      <c r="H23" s="2">
        <v>1</v>
      </c>
      <c r="I23" s="2">
        <v>3.3289287407251578E-68</v>
      </c>
      <c r="J23" s="2">
        <v>0</v>
      </c>
      <c r="K23" s="2" t="s">
        <v>2</v>
      </c>
    </row>
    <row r="24" spans="1:11" x14ac:dyDescent="0.35">
      <c r="A24" s="2" t="s">
        <v>34</v>
      </c>
      <c r="B24" s="2">
        <v>90</v>
      </c>
      <c r="C24" s="2">
        <v>614</v>
      </c>
      <c r="D24" s="2">
        <v>0.12784090909090909</v>
      </c>
      <c r="E24" s="2">
        <v>1</v>
      </c>
      <c r="F24" s="2">
        <v>4.6823633021019584E-97</v>
      </c>
      <c r="G24" s="2">
        <v>9.3647266042039168E-97</v>
      </c>
      <c r="H24" s="2">
        <v>1</v>
      </c>
      <c r="I24" s="2">
        <v>4.0916597394635436E-87</v>
      </c>
      <c r="J24" s="2">
        <v>0</v>
      </c>
      <c r="K24" s="2" t="s">
        <v>2</v>
      </c>
    </row>
    <row r="25" spans="1:11" x14ac:dyDescent="0.35">
      <c r="A25" s="2" t="s">
        <v>35</v>
      </c>
      <c r="B25" s="2">
        <v>69</v>
      </c>
      <c r="C25" s="2">
        <v>635</v>
      </c>
      <c r="D25" s="2">
        <v>9.8011363636363633E-2</v>
      </c>
      <c r="E25" s="2">
        <v>1</v>
      </c>
      <c r="F25" s="2">
        <v>7.5380420569438527E-116</v>
      </c>
      <c r="G25" s="2">
        <v>1.507608411388771E-115</v>
      </c>
      <c r="H25" s="2">
        <v>1</v>
      </c>
      <c r="I25" s="2">
        <v>2.8696703607212171E-101</v>
      </c>
      <c r="J25" s="2">
        <v>0</v>
      </c>
      <c r="K25" s="2" t="s">
        <v>2</v>
      </c>
    </row>
    <row r="26" spans="1:11" x14ac:dyDescent="0.35">
      <c r="A26" s="2" t="s">
        <v>36</v>
      </c>
      <c r="B26" s="2">
        <v>221</v>
      </c>
      <c r="C26" s="2">
        <v>483</v>
      </c>
      <c r="D26" s="2">
        <v>0.31392045454545447</v>
      </c>
      <c r="E26" s="2">
        <v>1</v>
      </c>
      <c r="F26" s="2">
        <v>1.208205309470976E-23</v>
      </c>
      <c r="G26" s="2">
        <v>2.4164106189419519E-23</v>
      </c>
      <c r="H26" s="2">
        <v>1</v>
      </c>
      <c r="I26" s="2">
        <v>2.6850976645161533E-23</v>
      </c>
      <c r="J26" s="2">
        <v>0</v>
      </c>
      <c r="K26" s="2" t="s">
        <v>2</v>
      </c>
    </row>
    <row r="27" spans="1:11" x14ac:dyDescent="0.35">
      <c r="A27" s="2" t="s">
        <v>37</v>
      </c>
      <c r="B27" s="2">
        <v>311</v>
      </c>
      <c r="C27" s="2">
        <v>393</v>
      </c>
      <c r="D27" s="2">
        <v>0.44176136363636359</v>
      </c>
      <c r="E27" s="2">
        <v>0.99913027169606761</v>
      </c>
      <c r="F27" s="2">
        <v>1.122218591755879E-3</v>
      </c>
      <c r="G27" s="2">
        <v>2.244437183511758E-3</v>
      </c>
      <c r="H27" s="2">
        <v>0.99900087164584905</v>
      </c>
      <c r="I27" s="2">
        <v>9.9912835415090127E-4</v>
      </c>
      <c r="J27" s="2">
        <v>1.9982567083018932E-3</v>
      </c>
      <c r="K27" s="2" t="s">
        <v>2</v>
      </c>
    </row>
    <row r="28" spans="1:11" x14ac:dyDescent="0.35">
      <c r="A28" s="2" t="s">
        <v>38</v>
      </c>
      <c r="B28" s="2">
        <v>328</v>
      </c>
      <c r="C28" s="2">
        <v>376</v>
      </c>
      <c r="D28" s="2">
        <v>0.46590909090909088</v>
      </c>
      <c r="E28" s="2">
        <v>0.9676470434726987</v>
      </c>
      <c r="F28" s="2">
        <v>3.8211572417738697E-2</v>
      </c>
      <c r="G28" s="2">
        <v>7.6423144835477408E-2</v>
      </c>
      <c r="H28" s="2">
        <v>0.96477978536395614</v>
      </c>
      <c r="I28" s="2">
        <v>3.5220214636043863E-2</v>
      </c>
      <c r="J28" s="2">
        <v>7.0440429272087712E-2</v>
      </c>
      <c r="K28" s="2" t="s">
        <v>2</v>
      </c>
    </row>
    <row r="29" spans="1:11" x14ac:dyDescent="0.35">
      <c r="A29" s="2" t="s">
        <v>39</v>
      </c>
      <c r="B29" s="2">
        <v>356</v>
      </c>
      <c r="C29" s="2">
        <v>348</v>
      </c>
      <c r="D29" s="2">
        <v>0.50568181818181823</v>
      </c>
      <c r="E29" s="2">
        <v>0.39596959597855169</v>
      </c>
      <c r="F29" s="2">
        <v>0.63275715045003333</v>
      </c>
      <c r="G29" s="2">
        <v>0.79193919195710338</v>
      </c>
      <c r="H29" s="2">
        <v>0.38151230027649652</v>
      </c>
      <c r="I29" s="2">
        <v>0.61848769972350348</v>
      </c>
      <c r="J29" s="2">
        <v>0.76302460055299304</v>
      </c>
      <c r="K29" s="2" t="s">
        <v>12</v>
      </c>
    </row>
    <row r="30" spans="1:11" x14ac:dyDescent="0.35">
      <c r="A30" s="2" t="s">
        <v>40</v>
      </c>
      <c r="B30" s="2">
        <v>141</v>
      </c>
      <c r="C30" s="2">
        <v>563</v>
      </c>
      <c r="D30" s="2">
        <v>0.20028409090909091</v>
      </c>
      <c r="E30" s="2">
        <v>1</v>
      </c>
      <c r="F30" s="2">
        <v>7.7444877599609219E-61</v>
      </c>
      <c r="G30" s="2">
        <v>1.5488975519921841E-60</v>
      </c>
      <c r="H30" s="2">
        <v>1</v>
      </c>
      <c r="I30" s="2">
        <v>2.9381118074175331E-57</v>
      </c>
      <c r="J30" s="2">
        <v>0</v>
      </c>
      <c r="K30" s="2" t="s">
        <v>2</v>
      </c>
    </row>
    <row r="31" spans="1:11" x14ac:dyDescent="0.35">
      <c r="A31" s="2" t="s">
        <v>41</v>
      </c>
      <c r="B31" s="2">
        <v>270</v>
      </c>
      <c r="C31" s="2">
        <v>434</v>
      </c>
      <c r="D31" s="2">
        <v>0.38352272727272729</v>
      </c>
      <c r="E31" s="2">
        <v>0.99999999979075116</v>
      </c>
      <c r="F31" s="2">
        <v>3.402815753304427E-10</v>
      </c>
      <c r="G31" s="2">
        <v>6.8056315066088541E-10</v>
      </c>
      <c r="H31" s="2">
        <v>0.99999999968148079</v>
      </c>
      <c r="I31" s="2">
        <v>3.1851926549481152E-10</v>
      </c>
      <c r="J31" s="2">
        <v>6.3703842201334737E-10</v>
      </c>
      <c r="K31" s="2" t="s">
        <v>2</v>
      </c>
    </row>
    <row r="32" spans="1:11" x14ac:dyDescent="0.35">
      <c r="A32" s="2" t="s">
        <v>42</v>
      </c>
      <c r="B32" s="2">
        <v>202</v>
      </c>
      <c r="C32" s="2">
        <v>502</v>
      </c>
      <c r="D32" s="2">
        <v>0.28693181818181818</v>
      </c>
      <c r="E32" s="2">
        <v>1</v>
      </c>
      <c r="F32" s="2">
        <v>1.188322486554911E-30</v>
      </c>
      <c r="G32" s="2">
        <v>2.376644973109822E-30</v>
      </c>
      <c r="H32" s="2">
        <v>1</v>
      </c>
      <c r="I32" s="2">
        <v>6.0805281908208537E-30</v>
      </c>
      <c r="J32" s="2">
        <v>0</v>
      </c>
      <c r="K32" s="2" t="s">
        <v>2</v>
      </c>
    </row>
    <row r="33" spans="1:11" x14ac:dyDescent="0.35">
      <c r="A33" s="2" t="s">
        <v>43</v>
      </c>
      <c r="B33" s="2">
        <v>147</v>
      </c>
      <c r="C33" s="2">
        <v>557</v>
      </c>
      <c r="D33" s="2">
        <v>0.2088068181818182</v>
      </c>
      <c r="E33" s="2">
        <v>1</v>
      </c>
      <c r="F33" s="2">
        <v>2.6866680931156952E-57</v>
      </c>
      <c r="G33" s="2">
        <v>5.3733361862313892E-57</v>
      </c>
      <c r="H33" s="2">
        <v>1</v>
      </c>
      <c r="I33" s="2">
        <v>3.6311120320489423E-54</v>
      </c>
      <c r="J33" s="2">
        <v>0</v>
      </c>
      <c r="K33" s="2" t="s">
        <v>2</v>
      </c>
    </row>
    <row r="34" spans="1:11" x14ac:dyDescent="0.35">
      <c r="A34" s="2" t="s">
        <v>44</v>
      </c>
      <c r="B34" s="2">
        <v>181</v>
      </c>
      <c r="C34" s="2">
        <v>523</v>
      </c>
      <c r="D34" s="2">
        <v>0.25710227272727271</v>
      </c>
      <c r="E34" s="2">
        <v>1</v>
      </c>
      <c r="F34" s="2">
        <v>1.173198000799468E-39</v>
      </c>
      <c r="G34" s="2">
        <v>2.346396001598936E-39</v>
      </c>
      <c r="H34" s="2">
        <v>1</v>
      </c>
      <c r="I34" s="2">
        <v>2.5751808329932719E-38</v>
      </c>
      <c r="J34" s="2">
        <v>0</v>
      </c>
      <c r="K34" s="2" t="s">
        <v>2</v>
      </c>
    </row>
    <row r="35" spans="1:11" x14ac:dyDescent="0.35">
      <c r="A35" s="2" t="s">
        <v>45</v>
      </c>
      <c r="B35" s="2">
        <v>236</v>
      </c>
      <c r="C35" s="2">
        <v>468</v>
      </c>
      <c r="D35" s="2">
        <v>0.33522727272727271</v>
      </c>
      <c r="E35" s="2">
        <v>1</v>
      </c>
      <c r="F35" s="2">
        <v>7.7224614927399764E-19</v>
      </c>
      <c r="G35" s="2">
        <v>1.5444922985479951E-18</v>
      </c>
      <c r="H35" s="2">
        <v>1</v>
      </c>
      <c r="I35" s="2">
        <v>1.126702200502399E-18</v>
      </c>
      <c r="J35" s="2">
        <v>0</v>
      </c>
      <c r="K35" s="2" t="s">
        <v>2</v>
      </c>
    </row>
    <row r="36" spans="1:11" x14ac:dyDescent="0.35">
      <c r="A36" s="2" t="s">
        <v>46</v>
      </c>
      <c r="B36" s="2">
        <v>325</v>
      </c>
      <c r="C36" s="2">
        <v>379</v>
      </c>
      <c r="D36" s="2">
        <v>0.46164772727272729</v>
      </c>
      <c r="E36" s="2">
        <v>0.98094645180629603</v>
      </c>
      <c r="F36" s="2">
        <v>2.284636495568472E-2</v>
      </c>
      <c r="G36" s="2">
        <v>4.5692729911369447E-2</v>
      </c>
      <c r="H36" s="2">
        <v>0.97908470271737758</v>
      </c>
      <c r="I36" s="2">
        <v>2.091529728262238E-2</v>
      </c>
      <c r="J36" s="2">
        <v>4.183059456524485E-2</v>
      </c>
      <c r="K36" s="2" t="s">
        <v>2</v>
      </c>
    </row>
    <row r="37" spans="1:11" x14ac:dyDescent="0.35">
      <c r="A37" s="2" t="s">
        <v>47</v>
      </c>
      <c r="B37" s="2">
        <v>320</v>
      </c>
      <c r="C37" s="2">
        <v>384</v>
      </c>
      <c r="D37" s="2">
        <v>0.45454545454545447</v>
      </c>
      <c r="E37" s="2">
        <v>0.99288163498380022</v>
      </c>
      <c r="F37" s="2">
        <v>8.7576396766929094E-3</v>
      </c>
      <c r="G37" s="2">
        <v>1.7515279353385819E-2</v>
      </c>
      <c r="H37" s="2">
        <v>0.99206933363011351</v>
      </c>
      <c r="I37" s="2">
        <v>7.9306663698864906E-3</v>
      </c>
      <c r="J37" s="2">
        <v>1.5861332739772971E-2</v>
      </c>
      <c r="K37" s="2" t="s">
        <v>2</v>
      </c>
    </row>
    <row r="38" spans="1:11" x14ac:dyDescent="0.35">
      <c r="A38" s="2" t="s">
        <v>48</v>
      </c>
      <c r="B38" s="2">
        <v>367</v>
      </c>
      <c r="C38" s="2">
        <v>337</v>
      </c>
      <c r="D38" s="2">
        <v>0.52130681818181823</v>
      </c>
      <c r="E38" s="2">
        <v>0.1371961135641718</v>
      </c>
      <c r="F38" s="2">
        <v>0.87867863039430649</v>
      </c>
      <c r="G38" s="2">
        <v>0.27439222712834371</v>
      </c>
      <c r="H38" s="2">
        <v>0.12909752379197201</v>
      </c>
      <c r="I38" s="2">
        <v>0.87090247620802796</v>
      </c>
      <c r="J38" s="2">
        <v>0.25819504758394413</v>
      </c>
      <c r="K38" s="2" t="s">
        <v>12</v>
      </c>
    </row>
    <row r="39" spans="1:11" x14ac:dyDescent="0.35">
      <c r="A39" s="2" t="s">
        <v>49</v>
      </c>
      <c r="B39" s="2">
        <v>451</v>
      </c>
      <c r="C39" s="2">
        <v>253</v>
      </c>
      <c r="D39" s="2">
        <v>0.640625</v>
      </c>
      <c r="E39" s="2">
        <v>3.8989699383371863E-14</v>
      </c>
      <c r="F39" s="2">
        <v>0.99999999999997835</v>
      </c>
      <c r="G39" s="2">
        <v>7.7979398766743726E-14</v>
      </c>
      <c r="H39" s="2">
        <v>4.2521541843143502E-14</v>
      </c>
      <c r="I39" s="2">
        <v>0.99999999999995748</v>
      </c>
      <c r="J39" s="2">
        <v>8.5043083686286991E-14</v>
      </c>
      <c r="K39" s="2" t="s">
        <v>1</v>
      </c>
    </row>
    <row r="40" spans="1:11" x14ac:dyDescent="0.35">
      <c r="A40" s="2" t="s">
        <v>50</v>
      </c>
      <c r="B40" s="2">
        <v>269</v>
      </c>
      <c r="C40" s="2">
        <v>435</v>
      </c>
      <c r="D40" s="2">
        <v>0.38210227272727271</v>
      </c>
      <c r="E40" s="2">
        <v>0.99999999987208177</v>
      </c>
      <c r="F40" s="2">
        <v>2.0924884743097259E-10</v>
      </c>
      <c r="G40" s="2">
        <v>4.1849769486194508E-10</v>
      </c>
      <c r="H40" s="2">
        <v>0.99999999980296728</v>
      </c>
      <c r="I40" s="2">
        <v>1.9703275787215481E-10</v>
      </c>
      <c r="J40" s="2">
        <v>3.9406544694031709E-10</v>
      </c>
      <c r="K40" s="2" t="s">
        <v>2</v>
      </c>
    </row>
    <row r="41" spans="1:11" x14ac:dyDescent="0.35">
      <c r="A41" s="2" t="s">
        <v>51</v>
      </c>
      <c r="B41" s="2">
        <v>524</v>
      </c>
      <c r="C41" s="2">
        <v>180</v>
      </c>
      <c r="D41" s="2">
        <v>0.74431818181818177</v>
      </c>
      <c r="E41" s="2">
        <v>4.0368089073880516E-40</v>
      </c>
      <c r="F41" s="2">
        <v>1</v>
      </c>
      <c r="G41" s="2">
        <v>8.0736178147761049E-40</v>
      </c>
      <c r="H41" s="2">
        <v>0</v>
      </c>
      <c r="I41" s="2">
        <v>1</v>
      </c>
      <c r="J41" s="2">
        <v>0</v>
      </c>
      <c r="K41" s="2" t="s">
        <v>1</v>
      </c>
    </row>
    <row r="42" spans="1:11" x14ac:dyDescent="0.35">
      <c r="A42" s="2" t="s">
        <v>52</v>
      </c>
      <c r="B42" s="2">
        <v>474</v>
      </c>
      <c r="C42" s="2">
        <v>230</v>
      </c>
      <c r="D42" s="2">
        <v>0.67329545454545459</v>
      </c>
      <c r="E42" s="2">
        <v>1.097977112383042E-20</v>
      </c>
      <c r="F42" s="2">
        <v>1</v>
      </c>
      <c r="G42" s="2">
        <v>2.195954224766083E-20</v>
      </c>
      <c r="H42" s="2">
        <v>0</v>
      </c>
      <c r="I42" s="2">
        <v>1</v>
      </c>
      <c r="J42" s="2">
        <v>0</v>
      </c>
      <c r="K42" s="2" t="s">
        <v>1</v>
      </c>
    </row>
    <row r="43" spans="1:11" x14ac:dyDescent="0.35">
      <c r="A43" s="2" t="s">
        <v>53</v>
      </c>
      <c r="B43" s="2">
        <v>479</v>
      </c>
      <c r="C43" s="2">
        <v>225</v>
      </c>
      <c r="D43" s="2">
        <v>0.68039772727272729</v>
      </c>
      <c r="E43" s="2">
        <v>2.66113438101818E-22</v>
      </c>
      <c r="F43" s="2">
        <v>1</v>
      </c>
      <c r="G43" s="2">
        <v>5.3222687620363591E-22</v>
      </c>
      <c r="H43" s="2">
        <v>0</v>
      </c>
      <c r="I43" s="2">
        <v>1</v>
      </c>
      <c r="J43" s="2">
        <v>0</v>
      </c>
      <c r="K43" s="2" t="s">
        <v>1</v>
      </c>
    </row>
    <row r="44" spans="1:11" x14ac:dyDescent="0.35">
      <c r="A44" s="2" t="s">
        <v>54</v>
      </c>
      <c r="B44" s="2">
        <v>545</v>
      </c>
      <c r="C44" s="2">
        <v>159</v>
      </c>
      <c r="D44" s="2">
        <v>0.77414772727272729</v>
      </c>
      <c r="E44" s="2">
        <v>1.2949402305475899E-50</v>
      </c>
      <c r="F44" s="2">
        <v>1</v>
      </c>
      <c r="G44" s="2">
        <v>2.5898804610951798E-50</v>
      </c>
      <c r="H44" s="2">
        <v>0</v>
      </c>
      <c r="I44" s="2">
        <v>1</v>
      </c>
      <c r="J44" s="2">
        <v>0</v>
      </c>
      <c r="K44" s="2" t="s">
        <v>1</v>
      </c>
    </row>
    <row r="45" spans="1:11" x14ac:dyDescent="0.35">
      <c r="A45" s="2" t="s">
        <v>55</v>
      </c>
      <c r="B45" s="2">
        <v>469</v>
      </c>
      <c r="C45" s="2">
        <v>235</v>
      </c>
      <c r="D45" s="2">
        <v>0.66619318181818177</v>
      </c>
      <c r="E45" s="2">
        <v>7.7224614927399764E-19</v>
      </c>
      <c r="F45" s="2">
        <v>1</v>
      </c>
      <c r="G45" s="2">
        <v>1.5444922985479951E-18</v>
      </c>
      <c r="H45" s="2">
        <v>0</v>
      </c>
      <c r="I45" s="2">
        <v>1</v>
      </c>
      <c r="J45" s="2">
        <v>0</v>
      </c>
      <c r="K45" s="2" t="s">
        <v>1</v>
      </c>
    </row>
    <row r="46" spans="1:11" x14ac:dyDescent="0.35">
      <c r="A46" s="2" t="s">
        <v>56</v>
      </c>
      <c r="B46" s="2">
        <v>486</v>
      </c>
      <c r="C46" s="2">
        <v>218</v>
      </c>
      <c r="D46" s="2">
        <v>0.69034090909090906</v>
      </c>
      <c r="E46" s="2">
        <v>1.109647746892832E-24</v>
      </c>
      <c r="F46" s="2">
        <v>1</v>
      </c>
      <c r="G46" s="2">
        <v>2.219295493785664E-24</v>
      </c>
      <c r="H46" s="2">
        <v>0</v>
      </c>
      <c r="I46" s="2">
        <v>1</v>
      </c>
      <c r="J46" s="2">
        <v>0</v>
      </c>
      <c r="K46" s="2" t="s">
        <v>1</v>
      </c>
    </row>
    <row r="47" spans="1:11" x14ac:dyDescent="0.35">
      <c r="A47" s="2" t="s">
        <v>57</v>
      </c>
      <c r="B47" s="2">
        <v>520</v>
      </c>
      <c r="C47" s="2">
        <v>184</v>
      </c>
      <c r="D47" s="2">
        <v>0.73863636363636365</v>
      </c>
      <c r="E47" s="2">
        <v>2.755242345259783E-38</v>
      </c>
      <c r="F47" s="2">
        <v>1</v>
      </c>
      <c r="G47" s="2">
        <v>5.510484690519566E-38</v>
      </c>
      <c r="H47" s="2">
        <v>0</v>
      </c>
      <c r="I47" s="2">
        <v>1</v>
      </c>
      <c r="J47" s="2">
        <v>0</v>
      </c>
      <c r="K47" s="2" t="s">
        <v>1</v>
      </c>
    </row>
    <row r="48" spans="1:11" x14ac:dyDescent="0.35">
      <c r="A48" s="2" t="s">
        <v>58</v>
      </c>
      <c r="B48" s="2">
        <v>656</v>
      </c>
      <c r="C48" s="2">
        <v>48</v>
      </c>
      <c r="D48" s="2">
        <v>0.93181818181818177</v>
      </c>
      <c r="E48" s="2">
        <v>9.6669904004877135E-138</v>
      </c>
      <c r="F48" s="2">
        <v>1</v>
      </c>
      <c r="G48" s="2">
        <v>1.9333980800975429E-137</v>
      </c>
      <c r="H48" s="2">
        <v>0</v>
      </c>
      <c r="I48" s="2">
        <v>1</v>
      </c>
      <c r="J48" s="2">
        <v>0</v>
      </c>
      <c r="K48" s="2" t="s">
        <v>1</v>
      </c>
    </row>
    <row r="49" spans="1:11" x14ac:dyDescent="0.35">
      <c r="A49" s="2" t="s">
        <v>59</v>
      </c>
      <c r="B49" s="2">
        <v>186</v>
      </c>
      <c r="C49" s="2">
        <v>518</v>
      </c>
      <c r="D49" s="2">
        <v>0.26420454545454553</v>
      </c>
      <c r="E49" s="2">
        <v>1</v>
      </c>
      <c r="F49" s="2">
        <v>2.178335365085946E-37</v>
      </c>
      <c r="G49" s="2">
        <v>4.356670730171892E-37</v>
      </c>
      <c r="H49" s="2">
        <v>1</v>
      </c>
      <c r="I49" s="2">
        <v>3.180377913453164E-36</v>
      </c>
      <c r="J49" s="2">
        <v>0</v>
      </c>
      <c r="K49" s="2" t="s">
        <v>2</v>
      </c>
    </row>
    <row r="50" spans="1:11" x14ac:dyDescent="0.35">
      <c r="A50" s="2" t="s">
        <v>60</v>
      </c>
      <c r="B50" s="2">
        <v>526</v>
      </c>
      <c r="C50" s="2">
        <v>178</v>
      </c>
      <c r="D50" s="2">
        <v>0.74715909090909094</v>
      </c>
      <c r="E50" s="2">
        <v>4.6740756862825874E-41</v>
      </c>
      <c r="F50" s="2">
        <v>1</v>
      </c>
      <c r="G50" s="2">
        <v>9.3481513725651747E-41</v>
      </c>
      <c r="H50" s="2">
        <v>0</v>
      </c>
      <c r="I50" s="2">
        <v>1</v>
      </c>
      <c r="J50" s="2">
        <v>0</v>
      </c>
      <c r="K50" s="2" t="s">
        <v>1</v>
      </c>
    </row>
    <row r="51" spans="1:11" x14ac:dyDescent="0.35">
      <c r="A51" s="2" t="s">
        <v>61</v>
      </c>
      <c r="B51" s="2">
        <v>162</v>
      </c>
      <c r="C51" s="2">
        <v>542</v>
      </c>
      <c r="D51" s="2">
        <v>0.23011363636363641</v>
      </c>
      <c r="E51" s="2">
        <v>1</v>
      </c>
      <c r="F51" s="2">
        <v>5.0459623456448502E-49</v>
      </c>
      <c r="G51" s="2">
        <v>1.00919246912897E-48</v>
      </c>
      <c r="H51" s="2">
        <v>1</v>
      </c>
      <c r="I51" s="2">
        <v>7.9976142288709913E-47</v>
      </c>
      <c r="J51" s="2">
        <v>0</v>
      </c>
      <c r="K51" s="2" t="s">
        <v>2</v>
      </c>
    </row>
    <row r="52" spans="1:11" x14ac:dyDescent="0.35">
      <c r="A52" s="2" t="s">
        <v>62</v>
      </c>
      <c r="B52" s="2">
        <v>254</v>
      </c>
      <c r="C52" s="2">
        <v>450</v>
      </c>
      <c r="D52" s="2">
        <v>0.36079545454545447</v>
      </c>
      <c r="E52" s="2">
        <v>0.99999999999996103</v>
      </c>
      <c r="F52" s="2">
        <v>6.9760701953280878E-14</v>
      </c>
      <c r="G52" s="2">
        <v>1.3952140390656181E-13</v>
      </c>
      <c r="H52" s="2">
        <v>0.99999999999992495</v>
      </c>
      <c r="I52" s="2">
        <v>7.507352722503857E-14</v>
      </c>
      <c r="J52" s="2">
        <v>1.5010215292932119E-13</v>
      </c>
      <c r="K52" s="2" t="s">
        <v>2</v>
      </c>
    </row>
    <row r="53" spans="1:11" x14ac:dyDescent="0.35">
      <c r="A53" s="2" t="s">
        <v>63</v>
      </c>
      <c r="B53" s="2">
        <v>112</v>
      </c>
      <c r="C53" s="2">
        <v>592</v>
      </c>
      <c r="D53" s="2">
        <v>0.15909090909090909</v>
      </c>
      <c r="E53" s="2">
        <v>1</v>
      </c>
      <c r="F53" s="2">
        <v>5.5388766361411054E-80</v>
      </c>
      <c r="G53" s="2">
        <v>1.1077753272282211E-79</v>
      </c>
      <c r="H53" s="2">
        <v>1</v>
      </c>
      <c r="I53" s="2">
        <v>1.8869846548259529E-73</v>
      </c>
      <c r="J53" s="2">
        <v>0</v>
      </c>
      <c r="K53" s="2" t="s">
        <v>2</v>
      </c>
    </row>
    <row r="54" spans="1:11" x14ac:dyDescent="0.35">
      <c r="A54" s="2" t="s">
        <v>64</v>
      </c>
      <c r="B54" s="2">
        <v>206</v>
      </c>
      <c r="C54" s="2">
        <v>498</v>
      </c>
      <c r="D54" s="2">
        <v>0.29261363636363641</v>
      </c>
      <c r="E54" s="2">
        <v>1</v>
      </c>
      <c r="F54" s="2">
        <v>4.3442945899577279E-29</v>
      </c>
      <c r="G54" s="2">
        <v>8.6885891799154569E-29</v>
      </c>
      <c r="H54" s="2">
        <v>1</v>
      </c>
      <c r="I54" s="2">
        <v>1.8042922837426549E-28</v>
      </c>
      <c r="J54" s="2">
        <v>0</v>
      </c>
      <c r="K54" s="2" t="s">
        <v>2</v>
      </c>
    </row>
    <row r="55" spans="1:11" x14ac:dyDescent="0.35">
      <c r="A55" s="2" t="s">
        <v>65</v>
      </c>
      <c r="B55" s="2">
        <v>704</v>
      </c>
      <c r="C55" s="2">
        <v>0</v>
      </c>
      <c r="D55" s="2">
        <v>1</v>
      </c>
      <c r="E55" s="2">
        <v>1.1881822289344749E-212</v>
      </c>
      <c r="F55" s="2">
        <v>1</v>
      </c>
      <c r="G55" s="2">
        <v>2.3763644578689498E-212</v>
      </c>
      <c r="H55" s="2">
        <v>0</v>
      </c>
      <c r="I55" s="2">
        <v>1</v>
      </c>
      <c r="J55" s="2">
        <v>0</v>
      </c>
      <c r="K55" s="2" t="s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5"/>
  <sheetViews>
    <sheetView workbookViewId="0"/>
  </sheetViews>
  <sheetFormatPr defaultRowHeight="14.5" x14ac:dyDescent="0.35"/>
  <cols>
    <col min="1" max="1" width="23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359</v>
      </c>
      <c r="C2" s="2">
        <v>345</v>
      </c>
      <c r="D2" s="2">
        <v>0.50994318181818177</v>
      </c>
      <c r="E2" s="2">
        <v>0.33924030681285811</v>
      </c>
      <c r="F2" s="2">
        <v>0.68790182259992472</v>
      </c>
      <c r="G2" s="2">
        <v>0.6784806136257161</v>
      </c>
      <c r="H2" s="2">
        <v>0.29887292785152092</v>
      </c>
      <c r="I2" s="2">
        <v>0.70112707214847914</v>
      </c>
      <c r="J2" s="2">
        <v>0.59774585570304173</v>
      </c>
      <c r="K2" s="2" t="s">
        <v>12</v>
      </c>
    </row>
    <row r="3" spans="1:11" x14ac:dyDescent="0.35">
      <c r="A3" s="2" t="s">
        <v>13</v>
      </c>
      <c r="B3" s="2">
        <v>320</v>
      </c>
      <c r="C3" s="2">
        <v>384</v>
      </c>
      <c r="D3" s="2">
        <v>0.45454545454545447</v>
      </c>
      <c r="E3" s="2">
        <v>0.99288163498380022</v>
      </c>
      <c r="F3" s="2">
        <v>8.7576396766929094E-3</v>
      </c>
      <c r="G3" s="2">
        <v>1.7515279353385819E-2</v>
      </c>
      <c r="H3" s="2">
        <v>0.99206933363011351</v>
      </c>
      <c r="I3" s="2">
        <v>7.9306663698864906E-3</v>
      </c>
      <c r="J3" s="2">
        <v>1.5861332739772971E-2</v>
      </c>
      <c r="K3" s="2" t="s">
        <v>2</v>
      </c>
    </row>
    <row r="4" spans="1:11" x14ac:dyDescent="0.35">
      <c r="A4" s="2" t="s">
        <v>14</v>
      </c>
      <c r="B4" s="2">
        <v>302</v>
      </c>
      <c r="C4" s="2">
        <v>402</v>
      </c>
      <c r="D4" s="2">
        <v>0.42897727272727271</v>
      </c>
      <c r="E4" s="2">
        <v>0.99993127286383343</v>
      </c>
      <c r="F4" s="2">
        <v>9.3132563399741616E-5</v>
      </c>
      <c r="G4" s="2">
        <v>1.8626512679948321E-4</v>
      </c>
      <c r="H4" s="2">
        <v>0.99991801303050887</v>
      </c>
      <c r="I4" s="2">
        <v>8.1986969491158737E-5</v>
      </c>
      <c r="J4" s="2">
        <v>1.6397393898226481E-4</v>
      </c>
      <c r="K4" s="2" t="s">
        <v>2</v>
      </c>
    </row>
    <row r="5" spans="1:11" x14ac:dyDescent="0.35">
      <c r="A5" s="2" t="s">
        <v>15</v>
      </c>
      <c r="B5" s="2">
        <v>338</v>
      </c>
      <c r="C5" s="2">
        <v>366</v>
      </c>
      <c r="D5" s="2">
        <v>0.48011363636363641</v>
      </c>
      <c r="E5" s="2">
        <v>0.86280388643582817</v>
      </c>
      <c r="F5" s="2">
        <v>0.15443289176760841</v>
      </c>
      <c r="G5" s="2">
        <v>0.30886578353521688</v>
      </c>
      <c r="H5" s="2">
        <v>0.85435357619109364</v>
      </c>
      <c r="I5" s="2">
        <v>0.1456464238089063</v>
      </c>
      <c r="J5" s="2">
        <v>0.29129284761781271</v>
      </c>
      <c r="K5" s="2" t="s">
        <v>12</v>
      </c>
    </row>
    <row r="6" spans="1:11" x14ac:dyDescent="0.35">
      <c r="A6" s="2" t="s">
        <v>16</v>
      </c>
      <c r="B6" s="2">
        <v>320</v>
      </c>
      <c r="C6" s="2">
        <v>384</v>
      </c>
      <c r="D6" s="2">
        <v>0.45454545454545447</v>
      </c>
      <c r="E6" s="2">
        <v>0.99288163498380022</v>
      </c>
      <c r="F6" s="2">
        <v>8.7576396766929094E-3</v>
      </c>
      <c r="G6" s="2">
        <v>1.7515279353385819E-2</v>
      </c>
      <c r="H6" s="2">
        <v>0.99206933363011351</v>
      </c>
      <c r="I6" s="2">
        <v>7.9306663698864906E-3</v>
      </c>
      <c r="J6" s="2">
        <v>1.5861332739772971E-2</v>
      </c>
      <c r="K6" s="2" t="s">
        <v>2</v>
      </c>
    </row>
    <row r="7" spans="1:11" x14ac:dyDescent="0.35">
      <c r="A7" s="2" t="s">
        <v>17</v>
      </c>
      <c r="B7" s="2">
        <v>314</v>
      </c>
      <c r="C7" s="2">
        <v>390</v>
      </c>
      <c r="D7" s="2">
        <v>0.44602272727272729</v>
      </c>
      <c r="E7" s="2">
        <v>0.99816142786523809</v>
      </c>
      <c r="F7" s="2">
        <v>2.334560481166707E-3</v>
      </c>
      <c r="G7" s="2">
        <v>4.669120962333414E-3</v>
      </c>
      <c r="H7" s="2">
        <v>0.99791072121591673</v>
      </c>
      <c r="I7" s="2">
        <v>2.0892787840832449E-3</v>
      </c>
      <c r="J7" s="2">
        <v>4.178557568166541E-3</v>
      </c>
      <c r="K7" s="2" t="s">
        <v>2</v>
      </c>
    </row>
    <row r="8" spans="1:11" x14ac:dyDescent="0.35">
      <c r="A8" s="2" t="s">
        <v>18</v>
      </c>
      <c r="B8" s="2">
        <v>292</v>
      </c>
      <c r="C8" s="2">
        <v>412</v>
      </c>
      <c r="D8" s="2">
        <v>0.41477272727272729</v>
      </c>
      <c r="E8" s="2">
        <v>0.99999757485877971</v>
      </c>
      <c r="F8" s="2">
        <v>3.4746484737434672E-6</v>
      </c>
      <c r="G8" s="2">
        <v>6.9492969474869344E-6</v>
      </c>
      <c r="H8" s="2">
        <v>0.99999694678212048</v>
      </c>
      <c r="I8" s="2">
        <v>3.0532178795044568E-6</v>
      </c>
      <c r="J8" s="2">
        <v>6.1064357590456808E-6</v>
      </c>
      <c r="K8" s="2" t="s">
        <v>2</v>
      </c>
    </row>
    <row r="9" spans="1:11" x14ac:dyDescent="0.35">
      <c r="A9" s="2" t="s">
        <v>19</v>
      </c>
      <c r="B9" s="2">
        <v>291</v>
      </c>
      <c r="C9" s="2">
        <v>413</v>
      </c>
      <c r="D9" s="2">
        <v>0.41335227272727271</v>
      </c>
      <c r="E9" s="2">
        <v>0.99999831688327856</v>
      </c>
      <c r="F9" s="2">
        <v>2.425141220284132E-6</v>
      </c>
      <c r="G9" s="2">
        <v>4.8502824405682632E-6</v>
      </c>
      <c r="H9" s="2">
        <v>0.99999786766127818</v>
      </c>
      <c r="I9" s="2">
        <v>2.1323387218256759E-6</v>
      </c>
      <c r="J9" s="2">
        <v>4.2646774436327917E-6</v>
      </c>
      <c r="K9" s="2" t="s">
        <v>2</v>
      </c>
    </row>
    <row r="10" spans="1:11" x14ac:dyDescent="0.35">
      <c r="A10" s="2" t="s">
        <v>20</v>
      </c>
      <c r="B10" s="2">
        <v>329</v>
      </c>
      <c r="C10" s="2">
        <v>375</v>
      </c>
      <c r="D10" s="2">
        <v>0.46732954545454553</v>
      </c>
      <c r="E10" s="2">
        <v>0.96178842758226124</v>
      </c>
      <c r="F10" s="2">
        <v>4.4907133435382003E-2</v>
      </c>
      <c r="G10" s="2">
        <v>8.9814266870763992E-2</v>
      </c>
      <c r="H10" s="2">
        <v>0.9585134696377936</v>
      </c>
      <c r="I10" s="2">
        <v>4.1486530362206432E-2</v>
      </c>
      <c r="J10" s="2">
        <v>8.2973060724412795E-2</v>
      </c>
      <c r="K10" s="2" t="s">
        <v>2</v>
      </c>
    </row>
    <row r="11" spans="1:11" x14ac:dyDescent="0.35">
      <c r="A11" s="2" t="s">
        <v>21</v>
      </c>
      <c r="B11" s="2">
        <v>314</v>
      </c>
      <c r="C11" s="2">
        <v>390</v>
      </c>
      <c r="D11" s="2">
        <v>0.44602272727272729</v>
      </c>
      <c r="E11" s="2">
        <v>0.99816142786523809</v>
      </c>
      <c r="F11" s="2">
        <v>2.334560481166707E-3</v>
      </c>
      <c r="G11" s="2">
        <v>4.669120962333414E-3</v>
      </c>
      <c r="H11" s="2">
        <v>0.99791072121591673</v>
      </c>
      <c r="I11" s="2">
        <v>2.0892787840832449E-3</v>
      </c>
      <c r="J11" s="2">
        <v>4.178557568166541E-3</v>
      </c>
      <c r="K11" s="2" t="s">
        <v>2</v>
      </c>
    </row>
    <row r="12" spans="1:11" x14ac:dyDescent="0.35">
      <c r="A12" s="2" t="s">
        <v>22</v>
      </c>
      <c r="B12" s="2">
        <v>425</v>
      </c>
      <c r="C12" s="2">
        <v>279</v>
      </c>
      <c r="D12" s="2">
        <v>0.60369318181818177</v>
      </c>
      <c r="E12" s="2">
        <v>3.1923094571434119E-8</v>
      </c>
      <c r="F12" s="2">
        <v>0.99999997919254269</v>
      </c>
      <c r="G12" s="2">
        <v>6.3846189142868239E-8</v>
      </c>
      <c r="H12" s="2">
        <v>1.87134486795415E-8</v>
      </c>
      <c r="I12" s="2">
        <v>0.99999998128655132</v>
      </c>
      <c r="J12" s="2">
        <v>3.7426897359083E-8</v>
      </c>
      <c r="K12" s="2" t="s">
        <v>1</v>
      </c>
    </row>
    <row r="13" spans="1:11" x14ac:dyDescent="0.35">
      <c r="A13" s="2" t="s">
        <v>23</v>
      </c>
      <c r="B13" s="2">
        <v>562</v>
      </c>
      <c r="C13" s="2">
        <v>142</v>
      </c>
      <c r="D13" s="2">
        <v>0.79829545454545459</v>
      </c>
      <c r="E13" s="2">
        <v>3.0795873879392979E-60</v>
      </c>
      <c r="F13" s="2">
        <v>1</v>
      </c>
      <c r="G13" s="2">
        <v>6.1591747758785958E-60</v>
      </c>
      <c r="H13" s="2">
        <v>0</v>
      </c>
      <c r="I13" s="2">
        <v>1</v>
      </c>
      <c r="J13" s="2">
        <v>0</v>
      </c>
      <c r="K13" s="2" t="s">
        <v>1</v>
      </c>
    </row>
    <row r="14" spans="1:11" x14ac:dyDescent="0.35">
      <c r="A14" s="2" t="s">
        <v>24</v>
      </c>
      <c r="B14" s="2">
        <v>376</v>
      </c>
      <c r="C14" s="2">
        <v>328</v>
      </c>
      <c r="D14" s="2">
        <v>0.53409090909090906</v>
      </c>
      <c r="E14" s="2">
        <v>3.8211572417738697E-2</v>
      </c>
      <c r="F14" s="2">
        <v>0.9676470434726987</v>
      </c>
      <c r="G14" s="2">
        <v>7.6423144835477408E-2</v>
      </c>
      <c r="H14" s="2">
        <v>3.5220214636044078E-2</v>
      </c>
      <c r="I14" s="2">
        <v>0.96477978536395592</v>
      </c>
      <c r="J14" s="2">
        <v>7.0440429272088156E-2</v>
      </c>
      <c r="K14" s="2" t="s">
        <v>1</v>
      </c>
    </row>
    <row r="15" spans="1:11" x14ac:dyDescent="0.35">
      <c r="A15" s="2" t="s">
        <v>25</v>
      </c>
      <c r="B15" s="2">
        <v>442</v>
      </c>
      <c r="C15" s="2">
        <v>262</v>
      </c>
      <c r="D15" s="2">
        <v>0.62784090909090906</v>
      </c>
      <c r="E15" s="2">
        <v>5.8967090318025666E-12</v>
      </c>
      <c r="F15" s="2">
        <v>0.99999999999654177</v>
      </c>
      <c r="G15" s="2">
        <v>1.179341806360513E-11</v>
      </c>
      <c r="H15" s="2">
        <v>5.8444360462317491E-12</v>
      </c>
      <c r="I15" s="2">
        <v>0.99999999999415556</v>
      </c>
      <c r="J15" s="2">
        <v>1.16888720924635E-11</v>
      </c>
      <c r="K15" s="2" t="s">
        <v>1</v>
      </c>
    </row>
    <row r="16" spans="1:11" x14ac:dyDescent="0.35">
      <c r="A16" s="2" t="s">
        <v>26</v>
      </c>
      <c r="B16" s="2">
        <v>367</v>
      </c>
      <c r="C16" s="2">
        <v>337</v>
      </c>
      <c r="D16" s="2">
        <v>0.52130681818181823</v>
      </c>
      <c r="E16" s="2">
        <v>0.1371961135641718</v>
      </c>
      <c r="F16" s="2">
        <v>0.87867863039430649</v>
      </c>
      <c r="G16" s="2">
        <v>0.27439222712834371</v>
      </c>
      <c r="H16" s="2">
        <v>0.12909752379197201</v>
      </c>
      <c r="I16" s="2">
        <v>0.87090247620802796</v>
      </c>
      <c r="J16" s="2">
        <v>0.25819504758394413</v>
      </c>
      <c r="K16" s="2" t="s">
        <v>12</v>
      </c>
    </row>
    <row r="17" spans="1:11" x14ac:dyDescent="0.35">
      <c r="A17" s="2" t="s">
        <v>27</v>
      </c>
      <c r="B17" s="2">
        <v>404</v>
      </c>
      <c r="C17" s="2">
        <v>300</v>
      </c>
      <c r="D17" s="2">
        <v>0.57386363636363635</v>
      </c>
      <c r="E17" s="2">
        <v>5.0438205584933382E-5</v>
      </c>
      <c r="F17" s="2">
        <v>0.99996318795309103</v>
      </c>
      <c r="G17" s="2">
        <v>1.008764111698668E-4</v>
      </c>
      <c r="H17" s="2">
        <v>4.4339291497941247E-5</v>
      </c>
      <c r="I17" s="2">
        <v>0.99995566070850206</v>
      </c>
      <c r="J17" s="2">
        <v>8.8678582995882493E-5</v>
      </c>
      <c r="K17" s="2" t="s">
        <v>1</v>
      </c>
    </row>
    <row r="18" spans="1:11" x14ac:dyDescent="0.35">
      <c r="A18" s="2" t="s">
        <v>28</v>
      </c>
      <c r="B18" s="2">
        <v>376</v>
      </c>
      <c r="C18" s="2">
        <v>328</v>
      </c>
      <c r="D18" s="2">
        <v>0.53409090909090906</v>
      </c>
      <c r="E18" s="2">
        <v>3.8211572417738697E-2</v>
      </c>
      <c r="F18" s="2">
        <v>0.9676470434726987</v>
      </c>
      <c r="G18" s="2">
        <v>7.6423144835477408E-2</v>
      </c>
      <c r="H18" s="2">
        <v>3.5220214636044078E-2</v>
      </c>
      <c r="I18" s="2">
        <v>0.96477978536395592</v>
      </c>
      <c r="J18" s="2">
        <v>7.0440429272088156E-2</v>
      </c>
      <c r="K18" s="2" t="s">
        <v>1</v>
      </c>
    </row>
    <row r="19" spans="1:11" x14ac:dyDescent="0.35">
      <c r="A19" s="2" t="s">
        <v>29</v>
      </c>
      <c r="B19" s="2">
        <v>328</v>
      </c>
      <c r="C19" s="2">
        <v>376</v>
      </c>
      <c r="D19" s="2">
        <v>0.46590909090909088</v>
      </c>
      <c r="E19" s="2">
        <v>0.9676470434726987</v>
      </c>
      <c r="F19" s="2">
        <v>3.8211572417738697E-2</v>
      </c>
      <c r="G19" s="2">
        <v>7.6423144835477408E-2</v>
      </c>
      <c r="H19" s="2">
        <v>0.96477978536395614</v>
      </c>
      <c r="I19" s="2">
        <v>3.5220214636043863E-2</v>
      </c>
      <c r="J19" s="2">
        <v>7.0440429272087712E-2</v>
      </c>
      <c r="K19" s="2" t="s">
        <v>2</v>
      </c>
    </row>
    <row r="20" spans="1:11" x14ac:dyDescent="0.35">
      <c r="A20" s="2" t="s">
        <v>30</v>
      </c>
      <c r="B20" s="2">
        <v>317</v>
      </c>
      <c r="C20" s="2">
        <v>387</v>
      </c>
      <c r="D20" s="2">
        <v>0.45028409090909088</v>
      </c>
      <c r="E20" s="2">
        <v>0.99629541745891781</v>
      </c>
      <c r="F20" s="2">
        <v>4.6298355537997774E-3</v>
      </c>
      <c r="G20" s="2">
        <v>9.2596711075995548E-3</v>
      </c>
      <c r="H20" s="2">
        <v>0.99583292771109133</v>
      </c>
      <c r="I20" s="2">
        <v>4.1670722889086756E-3</v>
      </c>
      <c r="J20" s="2">
        <v>8.3341445778173373E-3</v>
      </c>
      <c r="K20" s="2" t="s">
        <v>2</v>
      </c>
    </row>
    <row r="21" spans="1:11" x14ac:dyDescent="0.35">
      <c r="A21" s="2" t="s">
        <v>31</v>
      </c>
      <c r="B21" s="2">
        <v>366</v>
      </c>
      <c r="C21" s="2">
        <v>338</v>
      </c>
      <c r="D21" s="2">
        <v>0.51988636363636365</v>
      </c>
      <c r="E21" s="2">
        <v>0.15443289176760841</v>
      </c>
      <c r="F21" s="2">
        <v>0.86280388643582817</v>
      </c>
      <c r="G21" s="2">
        <v>0.30886578353521688</v>
      </c>
      <c r="H21" s="2">
        <v>0.14564642380890641</v>
      </c>
      <c r="I21" s="2">
        <v>0.85435357619109364</v>
      </c>
      <c r="J21" s="2">
        <v>0.29129284761781271</v>
      </c>
      <c r="K21" s="2" t="s">
        <v>12</v>
      </c>
    </row>
    <row r="22" spans="1:11" x14ac:dyDescent="0.35">
      <c r="A22" s="2" t="s">
        <v>32</v>
      </c>
      <c r="B22" s="2">
        <v>349</v>
      </c>
      <c r="C22" s="2">
        <v>355</v>
      </c>
      <c r="D22" s="2">
        <v>0.49573863636363641</v>
      </c>
      <c r="E22" s="2">
        <v>0.60403040402144836</v>
      </c>
      <c r="F22" s="2">
        <v>0.42527252356759487</v>
      </c>
      <c r="G22" s="2">
        <v>0.85054504713518975</v>
      </c>
      <c r="H22" s="2">
        <v>0.58945120822402042</v>
      </c>
      <c r="I22" s="2">
        <v>0.41054879177597953</v>
      </c>
      <c r="J22" s="2">
        <v>0.82109758355195916</v>
      </c>
      <c r="K22" s="2" t="s">
        <v>12</v>
      </c>
    </row>
    <row r="23" spans="1:11" x14ac:dyDescent="0.35">
      <c r="A23" s="2" t="s">
        <v>33</v>
      </c>
      <c r="B23" s="2">
        <v>323</v>
      </c>
      <c r="C23" s="2">
        <v>381</v>
      </c>
      <c r="D23" s="2">
        <v>0.45880681818181818</v>
      </c>
      <c r="E23" s="2">
        <v>0.9869488633312915</v>
      </c>
      <c r="F23" s="2">
        <v>1.5809691752536308E-2</v>
      </c>
      <c r="G23" s="2">
        <v>3.1619383505072617E-2</v>
      </c>
      <c r="H23" s="2">
        <v>0.98559063337486219</v>
      </c>
      <c r="I23" s="2">
        <v>1.440936662513778E-2</v>
      </c>
      <c r="J23" s="2">
        <v>2.8818733250275619E-2</v>
      </c>
      <c r="K23" s="2" t="s">
        <v>2</v>
      </c>
    </row>
    <row r="24" spans="1:11" x14ac:dyDescent="0.35">
      <c r="A24" s="2" t="s">
        <v>34</v>
      </c>
      <c r="B24" s="2">
        <v>351</v>
      </c>
      <c r="C24" s="2">
        <v>353</v>
      </c>
      <c r="D24" s="2">
        <v>0.49857954545454553</v>
      </c>
      <c r="E24" s="2">
        <v>0.54500593559208865</v>
      </c>
      <c r="F24" s="2">
        <v>0.4849696355118181</v>
      </c>
      <c r="G24" s="2">
        <v>0.9699392710236362</v>
      </c>
      <c r="H24" s="2">
        <v>0.53004295338662577</v>
      </c>
      <c r="I24" s="2">
        <v>0.46995704661337417</v>
      </c>
      <c r="J24" s="2">
        <v>0.93991409322674846</v>
      </c>
      <c r="K24" s="2" t="s">
        <v>12</v>
      </c>
    </row>
    <row r="25" spans="1:11" x14ac:dyDescent="0.35">
      <c r="A25" s="2" t="s">
        <v>35</v>
      </c>
      <c r="B25" s="2">
        <v>364</v>
      </c>
      <c r="C25" s="2">
        <v>340</v>
      </c>
      <c r="D25" s="2">
        <v>0.51704545454545459</v>
      </c>
      <c r="E25" s="2">
        <v>0.19302048399242741</v>
      </c>
      <c r="F25" s="2">
        <v>0.82695748928708979</v>
      </c>
      <c r="G25" s="2">
        <v>0.38604096798485482</v>
      </c>
      <c r="H25" s="2">
        <v>0.18285614814075599</v>
      </c>
      <c r="I25" s="2">
        <v>0.81714385185924399</v>
      </c>
      <c r="J25" s="2">
        <v>0.36571229628151197</v>
      </c>
      <c r="K25" s="2" t="s">
        <v>12</v>
      </c>
    </row>
    <row r="26" spans="1:11" x14ac:dyDescent="0.35">
      <c r="A26" s="2" t="s">
        <v>36</v>
      </c>
      <c r="B26" s="2">
        <v>346</v>
      </c>
      <c r="C26" s="2">
        <v>358</v>
      </c>
      <c r="D26" s="2">
        <v>0.49147727272727271</v>
      </c>
      <c r="E26" s="2">
        <v>0.68790182259992472</v>
      </c>
      <c r="F26" s="2">
        <v>0.33924030681285811</v>
      </c>
      <c r="G26" s="2">
        <v>0.6784806136257161</v>
      </c>
      <c r="H26" s="2">
        <v>0.67446168296108322</v>
      </c>
      <c r="I26" s="2">
        <v>0.32553831703891678</v>
      </c>
      <c r="J26" s="2">
        <v>0.65107663407783356</v>
      </c>
      <c r="K26" s="2" t="s">
        <v>12</v>
      </c>
    </row>
    <row r="27" spans="1:11" x14ac:dyDescent="0.35">
      <c r="A27" s="2" t="s">
        <v>37</v>
      </c>
      <c r="B27" s="2">
        <v>415</v>
      </c>
      <c r="C27" s="2">
        <v>289</v>
      </c>
      <c r="D27" s="2">
        <v>0.58948863636363635</v>
      </c>
      <c r="E27" s="2">
        <v>1.161548776651688E-6</v>
      </c>
      <c r="F27" s="2">
        <v>0.99999920292038957</v>
      </c>
      <c r="G27" s="2">
        <v>2.323097553303376E-6</v>
      </c>
      <c r="H27" s="2">
        <v>1.023117284004726E-6</v>
      </c>
      <c r="I27" s="2">
        <v>0.999998976882716</v>
      </c>
      <c r="J27" s="2">
        <v>2.0462345680094529E-6</v>
      </c>
      <c r="K27" s="2" t="s">
        <v>1</v>
      </c>
    </row>
    <row r="28" spans="1:11" x14ac:dyDescent="0.35">
      <c r="A28" s="2" t="s">
        <v>38</v>
      </c>
      <c r="B28" s="2">
        <v>329</v>
      </c>
      <c r="C28" s="2">
        <v>375</v>
      </c>
      <c r="D28" s="2">
        <v>0.46732954545454553</v>
      </c>
      <c r="E28" s="2">
        <v>0.96178842758226124</v>
      </c>
      <c r="F28" s="2">
        <v>4.4907133435382003E-2</v>
      </c>
      <c r="G28" s="2">
        <v>8.9814266870763992E-2</v>
      </c>
      <c r="H28" s="2">
        <v>0.9585134696377936</v>
      </c>
      <c r="I28" s="2">
        <v>4.1486530362206432E-2</v>
      </c>
      <c r="J28" s="2">
        <v>8.2973060724412795E-2</v>
      </c>
      <c r="K28" s="2" t="s">
        <v>2</v>
      </c>
    </row>
    <row r="29" spans="1:11" x14ac:dyDescent="0.35">
      <c r="A29" s="2" t="s">
        <v>39</v>
      </c>
      <c r="B29" s="2">
        <v>282</v>
      </c>
      <c r="C29" s="2">
        <v>422</v>
      </c>
      <c r="D29" s="2">
        <v>0.40056818181818182</v>
      </c>
      <c r="E29" s="2">
        <v>0.99999995130455599</v>
      </c>
      <c r="F29" s="2">
        <v>7.3853968232725039E-8</v>
      </c>
      <c r="G29" s="2">
        <v>1.477079364654501E-7</v>
      </c>
      <c r="H29" s="2">
        <v>0.99999993414425803</v>
      </c>
      <c r="I29" s="2">
        <v>6.5855741945611969E-8</v>
      </c>
      <c r="J29" s="2">
        <v>1.3171148394164331E-7</v>
      </c>
      <c r="K29" s="2" t="s">
        <v>2</v>
      </c>
    </row>
    <row r="30" spans="1:11" x14ac:dyDescent="0.35">
      <c r="A30" s="2" t="s">
        <v>40</v>
      </c>
      <c r="B30" s="2">
        <v>441</v>
      </c>
      <c r="C30" s="2">
        <v>263</v>
      </c>
      <c r="D30" s="2">
        <v>0.62642045454545459</v>
      </c>
      <c r="E30" s="2">
        <v>9.9948438318163314E-12</v>
      </c>
      <c r="F30" s="2">
        <v>0.99999999999410327</v>
      </c>
      <c r="G30" s="2">
        <v>1.998968766363266E-11</v>
      </c>
      <c r="H30" s="2">
        <v>9.8231422995809226E-12</v>
      </c>
      <c r="I30" s="2">
        <v>0.99999999999017686</v>
      </c>
      <c r="J30" s="2">
        <v>1.9646284599161852E-11</v>
      </c>
      <c r="K30" s="2" t="s">
        <v>1</v>
      </c>
    </row>
    <row r="31" spans="1:11" x14ac:dyDescent="0.35">
      <c r="A31" s="2" t="s">
        <v>41</v>
      </c>
      <c r="B31" s="2">
        <v>90</v>
      </c>
      <c r="C31" s="2">
        <v>614</v>
      </c>
      <c r="D31" s="2">
        <v>0.12784090909090909</v>
      </c>
      <c r="E31" s="2">
        <v>1</v>
      </c>
      <c r="F31" s="2">
        <v>4.6823633021019584E-97</v>
      </c>
      <c r="G31" s="2">
        <v>9.3647266042039168E-97</v>
      </c>
      <c r="H31" s="2">
        <v>1</v>
      </c>
      <c r="I31" s="2">
        <v>4.0916597394635436E-87</v>
      </c>
      <c r="J31" s="2">
        <v>0</v>
      </c>
      <c r="K31" s="2" t="s">
        <v>2</v>
      </c>
    </row>
    <row r="32" spans="1:11" x14ac:dyDescent="0.35">
      <c r="A32" s="2" t="s">
        <v>42</v>
      </c>
      <c r="B32" s="2">
        <v>219</v>
      </c>
      <c r="C32" s="2">
        <v>485</v>
      </c>
      <c r="D32" s="2">
        <v>0.31107954545454553</v>
      </c>
      <c r="E32" s="2">
        <v>1</v>
      </c>
      <c r="F32" s="2">
        <v>2.475632071390249E-24</v>
      </c>
      <c r="G32" s="2">
        <v>4.9512641427804987E-24</v>
      </c>
      <c r="H32" s="2">
        <v>1</v>
      </c>
      <c r="I32" s="2">
        <v>5.9028902764989423E-24</v>
      </c>
      <c r="J32" s="2">
        <v>0</v>
      </c>
      <c r="K32" s="2" t="s">
        <v>2</v>
      </c>
    </row>
    <row r="33" spans="1:11" x14ac:dyDescent="0.35">
      <c r="A33" s="2" t="s">
        <v>43</v>
      </c>
      <c r="B33" s="2">
        <v>189</v>
      </c>
      <c r="C33" s="2">
        <v>515</v>
      </c>
      <c r="D33" s="2">
        <v>0.26846590909090912</v>
      </c>
      <c r="E33" s="2">
        <v>1</v>
      </c>
      <c r="F33" s="2">
        <v>4.586218185315306E-36</v>
      </c>
      <c r="G33" s="2">
        <v>9.172436370630612E-36</v>
      </c>
      <c r="H33" s="2">
        <v>1</v>
      </c>
      <c r="I33" s="2">
        <v>5.3462741507641787E-35</v>
      </c>
      <c r="J33" s="2">
        <v>0</v>
      </c>
      <c r="K33" s="2" t="s">
        <v>2</v>
      </c>
    </row>
    <row r="34" spans="1:11" x14ac:dyDescent="0.35">
      <c r="A34" s="2" t="s">
        <v>44</v>
      </c>
      <c r="B34" s="2">
        <v>164</v>
      </c>
      <c r="C34" s="2">
        <v>540</v>
      </c>
      <c r="D34" s="2">
        <v>0.23295454545454539</v>
      </c>
      <c r="E34" s="2">
        <v>1</v>
      </c>
      <c r="F34" s="2">
        <v>5.5727158589487565E-48</v>
      </c>
      <c r="G34" s="2">
        <v>1.1145431717897511E-47</v>
      </c>
      <c r="H34" s="2">
        <v>1</v>
      </c>
      <c r="I34" s="2">
        <v>6.9224223716449627E-46</v>
      </c>
      <c r="J34" s="2">
        <v>0</v>
      </c>
      <c r="K34" s="2" t="s">
        <v>2</v>
      </c>
    </row>
    <row r="35" spans="1:11" x14ac:dyDescent="0.35">
      <c r="A35" s="2" t="s">
        <v>45</v>
      </c>
      <c r="B35" s="2">
        <v>163</v>
      </c>
      <c r="C35" s="2">
        <v>541</v>
      </c>
      <c r="D35" s="2">
        <v>0.23153409090909091</v>
      </c>
      <c r="E35" s="2">
        <v>1</v>
      </c>
      <c r="F35" s="2">
        <v>1.6835630691730059E-48</v>
      </c>
      <c r="G35" s="2">
        <v>3.3671261383460117E-48</v>
      </c>
      <c r="H35" s="2">
        <v>1</v>
      </c>
      <c r="I35" s="2">
        <v>2.3595933187347531E-46</v>
      </c>
      <c r="J35" s="2">
        <v>0</v>
      </c>
      <c r="K35" s="2" t="s">
        <v>2</v>
      </c>
    </row>
    <row r="36" spans="1:11" x14ac:dyDescent="0.35">
      <c r="A36" s="2" t="s">
        <v>46</v>
      </c>
      <c r="B36" s="2">
        <v>195</v>
      </c>
      <c r="C36" s="2">
        <v>509</v>
      </c>
      <c r="D36" s="2">
        <v>0.27698863636363641</v>
      </c>
      <c r="E36" s="2">
        <v>1</v>
      </c>
      <c r="F36" s="2">
        <v>1.6755297730258412E-33</v>
      </c>
      <c r="G36" s="2">
        <v>3.3510595460516823E-33</v>
      </c>
      <c r="H36" s="2">
        <v>1</v>
      </c>
      <c r="I36" s="2">
        <v>1.2971835151858049E-32</v>
      </c>
      <c r="J36" s="2">
        <v>0</v>
      </c>
      <c r="K36" s="2" t="s">
        <v>2</v>
      </c>
    </row>
    <row r="37" spans="1:11" x14ac:dyDescent="0.35">
      <c r="A37" s="2" t="s">
        <v>47</v>
      </c>
      <c r="B37" s="2">
        <v>337</v>
      </c>
      <c r="C37" s="2">
        <v>367</v>
      </c>
      <c r="D37" s="2">
        <v>0.47869318181818182</v>
      </c>
      <c r="E37" s="2">
        <v>0.87867863039430649</v>
      </c>
      <c r="F37" s="2">
        <v>0.1371961135641718</v>
      </c>
      <c r="G37" s="2">
        <v>0.27439222712834371</v>
      </c>
      <c r="H37" s="2">
        <v>0.8709024762080273</v>
      </c>
      <c r="I37" s="2">
        <v>0.12909752379197259</v>
      </c>
      <c r="J37" s="2">
        <v>0.2581950475839454</v>
      </c>
      <c r="K37" s="2" t="s">
        <v>12</v>
      </c>
    </row>
    <row r="38" spans="1:11" x14ac:dyDescent="0.35">
      <c r="A38" s="2" t="s">
        <v>48</v>
      </c>
      <c r="B38" s="2">
        <v>245</v>
      </c>
      <c r="C38" s="2">
        <v>459</v>
      </c>
      <c r="D38" s="2">
        <v>0.34801136363636359</v>
      </c>
      <c r="E38" s="2">
        <v>0.99999999999999989</v>
      </c>
      <c r="F38" s="2">
        <v>2.9804535640973499E-16</v>
      </c>
      <c r="G38" s="2">
        <v>5.9609071281946999E-16</v>
      </c>
      <c r="H38" s="2">
        <v>0.99999999999999967</v>
      </c>
      <c r="I38" s="2">
        <v>3.648972880327134E-16</v>
      </c>
      <c r="J38" s="2">
        <v>6.6613381477509392E-16</v>
      </c>
      <c r="K38" s="2" t="s">
        <v>2</v>
      </c>
    </row>
    <row r="39" spans="1:11" x14ac:dyDescent="0.35">
      <c r="A39" s="2" t="s">
        <v>49</v>
      </c>
      <c r="B39" s="2">
        <v>407</v>
      </c>
      <c r="C39" s="2">
        <v>297</v>
      </c>
      <c r="D39" s="2">
        <v>0.578125</v>
      </c>
      <c r="E39" s="2">
        <v>1.9285241824994172E-5</v>
      </c>
      <c r="F39" s="2">
        <v>0.99998615736150531</v>
      </c>
      <c r="G39" s="2">
        <v>3.8570483649988343E-5</v>
      </c>
      <c r="H39" s="2">
        <v>1.6932870656627411E-5</v>
      </c>
      <c r="I39" s="2">
        <v>0.99998306712934337</v>
      </c>
      <c r="J39" s="2">
        <v>3.3865741313254823E-5</v>
      </c>
      <c r="K39" s="2" t="s">
        <v>1</v>
      </c>
    </row>
    <row r="40" spans="1:11" x14ac:dyDescent="0.35">
      <c r="A40" s="2" t="s">
        <v>50</v>
      </c>
      <c r="B40" s="2">
        <v>311</v>
      </c>
      <c r="C40" s="2">
        <v>393</v>
      </c>
      <c r="D40" s="2">
        <v>0.44176136363636359</v>
      </c>
      <c r="E40" s="2">
        <v>0.99913027169606761</v>
      </c>
      <c r="F40" s="2">
        <v>1.122218591755879E-3</v>
      </c>
      <c r="G40" s="2">
        <v>2.244437183511758E-3</v>
      </c>
      <c r="H40" s="2">
        <v>0.99900087164584905</v>
      </c>
      <c r="I40" s="2">
        <v>9.9912835415090127E-4</v>
      </c>
      <c r="J40" s="2">
        <v>1.9982567083018932E-3</v>
      </c>
      <c r="K40" s="2" t="s">
        <v>2</v>
      </c>
    </row>
    <row r="41" spans="1:11" x14ac:dyDescent="0.35">
      <c r="A41" s="2" t="s">
        <v>51</v>
      </c>
      <c r="B41" s="2">
        <v>262</v>
      </c>
      <c r="C41" s="2">
        <v>442</v>
      </c>
      <c r="D41" s="2">
        <v>0.37215909090909088</v>
      </c>
      <c r="E41" s="2">
        <v>0.99999999999654177</v>
      </c>
      <c r="F41" s="2">
        <v>5.8967090318025666E-12</v>
      </c>
      <c r="G41" s="2">
        <v>1.179341806360513E-11</v>
      </c>
      <c r="H41" s="2">
        <v>0.99999999999415556</v>
      </c>
      <c r="I41" s="2">
        <v>5.8444537816941723E-12</v>
      </c>
      <c r="J41" s="2">
        <v>1.16888720924635E-11</v>
      </c>
      <c r="K41" s="2" t="s">
        <v>2</v>
      </c>
    </row>
    <row r="42" spans="1:11" x14ac:dyDescent="0.35">
      <c r="A42" s="2" t="s">
        <v>52</v>
      </c>
      <c r="B42" s="2">
        <v>98</v>
      </c>
      <c r="C42" s="2">
        <v>606</v>
      </c>
      <c r="D42" s="2">
        <v>0.13920454545454539</v>
      </c>
      <c r="E42" s="2">
        <v>1</v>
      </c>
      <c r="F42" s="2">
        <v>2.3349270348625991E-91</v>
      </c>
      <c r="G42" s="2">
        <v>4.6698540697251982E-91</v>
      </c>
      <c r="H42" s="2">
        <v>1</v>
      </c>
      <c r="I42" s="2">
        <v>5.2286141792269769E-82</v>
      </c>
      <c r="J42" s="2">
        <v>0</v>
      </c>
      <c r="K42" s="2" t="s">
        <v>2</v>
      </c>
    </row>
    <row r="43" spans="1:11" x14ac:dyDescent="0.35">
      <c r="A43" s="2" t="s">
        <v>53</v>
      </c>
      <c r="B43" s="2">
        <v>95</v>
      </c>
      <c r="C43" s="2">
        <v>609</v>
      </c>
      <c r="D43" s="2">
        <v>0.1349431818181818</v>
      </c>
      <c r="E43" s="2">
        <v>1</v>
      </c>
      <c r="F43" s="2">
        <v>5.8457810095231113E-93</v>
      </c>
      <c r="G43" s="2">
        <v>1.1691562019046219E-92</v>
      </c>
      <c r="H43" s="2">
        <v>1</v>
      </c>
      <c r="I43" s="2">
        <v>6.6360936160072326E-84</v>
      </c>
      <c r="J43" s="2">
        <v>0</v>
      </c>
      <c r="K43" s="2" t="s">
        <v>2</v>
      </c>
    </row>
    <row r="44" spans="1:11" x14ac:dyDescent="0.35">
      <c r="A44" s="2" t="s">
        <v>54</v>
      </c>
      <c r="B44" s="2">
        <v>46</v>
      </c>
      <c r="C44" s="2">
        <v>658</v>
      </c>
      <c r="D44" s="2">
        <v>6.5340909090909088E-2</v>
      </c>
      <c r="E44" s="2">
        <v>1</v>
      </c>
      <c r="F44" s="2">
        <v>5.0271216826926082E-140</v>
      </c>
      <c r="G44" s="2">
        <v>1.005424336538522E-139</v>
      </c>
      <c r="H44" s="2">
        <v>1</v>
      </c>
      <c r="I44" s="2">
        <v>5.1270212214368496E-118</v>
      </c>
      <c r="J44" s="2">
        <v>0</v>
      </c>
      <c r="K44" s="2" t="s">
        <v>2</v>
      </c>
    </row>
    <row r="45" spans="1:11" x14ac:dyDescent="0.35">
      <c r="A45" s="2" t="s">
        <v>55</v>
      </c>
      <c r="B45" s="2">
        <v>21</v>
      </c>
      <c r="C45" s="2">
        <v>683</v>
      </c>
      <c r="D45" s="2">
        <v>2.9829545454545459E-2</v>
      </c>
      <c r="E45" s="2">
        <v>1</v>
      </c>
      <c r="F45" s="2">
        <v>1.117537562774113E-172</v>
      </c>
      <c r="G45" s="2">
        <v>2.2350751255482261E-172</v>
      </c>
      <c r="H45" s="2">
        <v>1</v>
      </c>
      <c r="I45" s="2">
        <v>1.065987830709189E-137</v>
      </c>
      <c r="J45" s="2">
        <v>0</v>
      </c>
      <c r="K45" s="2" t="s">
        <v>2</v>
      </c>
    </row>
    <row r="46" spans="1:11" x14ac:dyDescent="0.35">
      <c r="A46" s="2" t="s">
        <v>56</v>
      </c>
      <c r="B46" s="2">
        <v>535</v>
      </c>
      <c r="C46" s="2">
        <v>169</v>
      </c>
      <c r="D46" s="2">
        <v>0.75994318181818177</v>
      </c>
      <c r="E46" s="2">
        <v>1.968098275663992E-45</v>
      </c>
      <c r="F46" s="2">
        <v>1</v>
      </c>
      <c r="G46" s="2">
        <v>3.9361965513279829E-45</v>
      </c>
      <c r="H46" s="2">
        <v>0</v>
      </c>
      <c r="I46" s="2">
        <v>1</v>
      </c>
      <c r="J46" s="2">
        <v>0</v>
      </c>
      <c r="K46" s="2" t="s">
        <v>1</v>
      </c>
    </row>
    <row r="47" spans="1:11" x14ac:dyDescent="0.35">
      <c r="A47" s="2" t="s">
        <v>57</v>
      </c>
      <c r="B47" s="2">
        <v>607</v>
      </c>
      <c r="C47" s="2">
        <v>97</v>
      </c>
      <c r="D47" s="2">
        <v>0.86221590909090906</v>
      </c>
      <c r="E47" s="2">
        <v>2.3349270348625991E-91</v>
      </c>
      <c r="F47" s="2">
        <v>1</v>
      </c>
      <c r="G47" s="2">
        <v>4.6698540697251982E-91</v>
      </c>
      <c r="H47" s="2">
        <v>0</v>
      </c>
      <c r="I47" s="2">
        <v>1</v>
      </c>
      <c r="J47" s="2">
        <v>0</v>
      </c>
      <c r="K47" s="2" t="s">
        <v>1</v>
      </c>
    </row>
    <row r="48" spans="1:11" x14ac:dyDescent="0.35">
      <c r="A48" s="2" t="s">
        <v>58</v>
      </c>
      <c r="B48" s="2">
        <v>591</v>
      </c>
      <c r="C48" s="2">
        <v>113</v>
      </c>
      <c r="D48" s="2">
        <v>0.83948863636363635</v>
      </c>
      <c r="E48" s="2">
        <v>2.9089537729386642E-79</v>
      </c>
      <c r="F48" s="2">
        <v>1</v>
      </c>
      <c r="G48" s="2">
        <v>5.8179075458773272E-79</v>
      </c>
      <c r="H48" s="2">
        <v>0</v>
      </c>
      <c r="I48" s="2">
        <v>1</v>
      </c>
      <c r="J48" s="2">
        <v>0</v>
      </c>
      <c r="K48" s="2" t="s">
        <v>1</v>
      </c>
    </row>
    <row r="49" spans="1:11" x14ac:dyDescent="0.35">
      <c r="A49" s="2" t="s">
        <v>59</v>
      </c>
      <c r="B49" s="2">
        <v>368</v>
      </c>
      <c r="C49" s="2">
        <v>336</v>
      </c>
      <c r="D49" s="2">
        <v>0.52272727272727271</v>
      </c>
      <c r="E49" s="2">
        <v>0.12132136960569349</v>
      </c>
      <c r="F49" s="2">
        <v>0.8932160997258477</v>
      </c>
      <c r="G49" s="2">
        <v>0.24264273921138699</v>
      </c>
      <c r="H49" s="2">
        <v>0.11389999699411479</v>
      </c>
      <c r="I49" s="2">
        <v>0.88610000300588521</v>
      </c>
      <c r="J49" s="2">
        <v>0.22779999398822959</v>
      </c>
      <c r="K49" s="2" t="s">
        <v>12</v>
      </c>
    </row>
    <row r="50" spans="1:11" x14ac:dyDescent="0.35">
      <c r="A50" s="2" t="s">
        <v>60</v>
      </c>
      <c r="B50" s="2">
        <v>562</v>
      </c>
      <c r="C50" s="2">
        <v>142</v>
      </c>
      <c r="D50" s="2">
        <v>0.79829545454545459</v>
      </c>
      <c r="E50" s="2">
        <v>3.0795873879392979E-60</v>
      </c>
      <c r="F50" s="2">
        <v>1</v>
      </c>
      <c r="G50" s="2">
        <v>6.1591747758785958E-60</v>
      </c>
      <c r="H50" s="2">
        <v>0</v>
      </c>
      <c r="I50" s="2">
        <v>1</v>
      </c>
      <c r="J50" s="2">
        <v>0</v>
      </c>
      <c r="K50" s="2" t="s">
        <v>1</v>
      </c>
    </row>
    <row r="51" spans="1:11" x14ac:dyDescent="0.35">
      <c r="A51" s="2" t="s">
        <v>61</v>
      </c>
      <c r="B51" s="2">
        <v>395</v>
      </c>
      <c r="C51" s="2">
        <v>309</v>
      </c>
      <c r="D51" s="2">
        <v>0.56107954545454541</v>
      </c>
      <c r="E51" s="2">
        <v>6.7042759450837246E-4</v>
      </c>
      <c r="F51" s="2">
        <v>0.99948598562048263</v>
      </c>
      <c r="G51" s="2">
        <v>1.3408551890167449E-3</v>
      </c>
      <c r="H51" s="2">
        <v>5.9504019172740286E-4</v>
      </c>
      <c r="I51" s="2">
        <v>0.9994049598082726</v>
      </c>
      <c r="J51" s="2">
        <v>1.1900803834548059E-3</v>
      </c>
      <c r="K51" s="2" t="s">
        <v>1</v>
      </c>
    </row>
    <row r="52" spans="1:11" x14ac:dyDescent="0.35">
      <c r="A52" s="2" t="s">
        <v>62</v>
      </c>
      <c r="B52" s="2">
        <v>500</v>
      </c>
      <c r="C52" s="2">
        <v>204</v>
      </c>
      <c r="D52" s="2">
        <v>0.71022727272727271</v>
      </c>
      <c r="E52" s="2">
        <v>7.2840856359823728E-30</v>
      </c>
      <c r="F52" s="2">
        <v>1</v>
      </c>
      <c r="G52" s="2">
        <v>1.4568171271964751E-29</v>
      </c>
      <c r="H52" s="2">
        <v>0</v>
      </c>
      <c r="I52" s="2">
        <v>1</v>
      </c>
      <c r="J52" s="2">
        <v>0</v>
      </c>
      <c r="K52" s="2" t="s">
        <v>1</v>
      </c>
    </row>
    <row r="53" spans="1:11" x14ac:dyDescent="0.35">
      <c r="A53" s="2" t="s">
        <v>63</v>
      </c>
      <c r="B53" s="2">
        <v>134</v>
      </c>
      <c r="C53" s="2">
        <v>570</v>
      </c>
      <c r="D53" s="2">
        <v>0.19034090909090909</v>
      </c>
      <c r="E53" s="2">
        <v>1</v>
      </c>
      <c r="F53" s="2">
        <v>3.837347498761025E-65</v>
      </c>
      <c r="G53" s="2">
        <v>7.6746949975220501E-65</v>
      </c>
      <c r="H53" s="2">
        <v>1</v>
      </c>
      <c r="I53" s="2">
        <v>5.609523190952714E-61</v>
      </c>
      <c r="J53" s="2">
        <v>0</v>
      </c>
      <c r="K53" s="2" t="s">
        <v>2</v>
      </c>
    </row>
    <row r="54" spans="1:11" x14ac:dyDescent="0.35">
      <c r="A54" s="2" t="s">
        <v>64</v>
      </c>
      <c r="B54" s="2">
        <v>607</v>
      </c>
      <c r="C54" s="2">
        <v>97</v>
      </c>
      <c r="D54" s="2">
        <v>0.86221590909090906</v>
      </c>
      <c r="E54" s="2">
        <v>2.3349270348625991E-91</v>
      </c>
      <c r="F54" s="2">
        <v>1</v>
      </c>
      <c r="G54" s="2">
        <v>4.6698540697251982E-91</v>
      </c>
      <c r="H54" s="2">
        <v>0</v>
      </c>
      <c r="I54" s="2">
        <v>1</v>
      </c>
      <c r="J54" s="2">
        <v>0</v>
      </c>
      <c r="K54" s="2" t="s">
        <v>1</v>
      </c>
    </row>
    <row r="55" spans="1:11" x14ac:dyDescent="0.35">
      <c r="A55" s="2" t="s">
        <v>65</v>
      </c>
      <c r="B55" s="2">
        <v>704</v>
      </c>
      <c r="C55" s="2">
        <v>0</v>
      </c>
      <c r="D55" s="2">
        <v>1</v>
      </c>
      <c r="E55" s="2">
        <v>1.1881822289344749E-212</v>
      </c>
      <c r="F55" s="2">
        <v>1</v>
      </c>
      <c r="G55" s="2">
        <v>2.3763644578689498E-212</v>
      </c>
      <c r="H55" s="2">
        <v>0</v>
      </c>
      <c r="I55" s="2">
        <v>1</v>
      </c>
      <c r="J55" s="2">
        <v>0</v>
      </c>
      <c r="K55" s="2" t="s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5"/>
  <sheetViews>
    <sheetView workbookViewId="0"/>
  </sheetViews>
  <sheetFormatPr defaultRowHeight="14.5" x14ac:dyDescent="0.35"/>
  <cols>
    <col min="1" max="1" width="23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353</v>
      </c>
      <c r="C2" s="2">
        <v>351</v>
      </c>
      <c r="D2" s="2">
        <v>0.50142045454545459</v>
      </c>
      <c r="E2" s="2">
        <v>0.4849696355118181</v>
      </c>
      <c r="F2" s="2">
        <v>0.54500593559208865</v>
      </c>
      <c r="G2" s="2">
        <v>0.9699392710236362</v>
      </c>
      <c r="H2" s="2">
        <v>0.46995704661337301</v>
      </c>
      <c r="I2" s="2">
        <v>0.53004295338662699</v>
      </c>
      <c r="J2" s="2">
        <v>0.93991409322674602</v>
      </c>
      <c r="K2" s="2" t="s">
        <v>12</v>
      </c>
    </row>
    <row r="3" spans="1:11" x14ac:dyDescent="0.35">
      <c r="A3" s="2" t="s">
        <v>13</v>
      </c>
      <c r="B3" s="2">
        <v>596</v>
      </c>
      <c r="C3" s="2">
        <v>108</v>
      </c>
      <c r="D3" s="2">
        <v>0.84659090909090906</v>
      </c>
      <c r="E3" s="2">
        <v>6.5456300674276173E-83</v>
      </c>
      <c r="F3" s="2">
        <v>1</v>
      </c>
      <c r="G3" s="2">
        <v>1.309126013485523E-82</v>
      </c>
      <c r="H3" s="2">
        <v>0</v>
      </c>
      <c r="I3" s="2">
        <v>1</v>
      </c>
      <c r="J3" s="2">
        <v>0</v>
      </c>
      <c r="K3" s="2" t="s">
        <v>1</v>
      </c>
    </row>
    <row r="4" spans="1:11" x14ac:dyDescent="0.35">
      <c r="A4" s="2" t="s">
        <v>14</v>
      </c>
      <c r="B4" s="2">
        <v>600</v>
      </c>
      <c r="C4" s="2">
        <v>104</v>
      </c>
      <c r="D4" s="2">
        <v>0.85227272727272729</v>
      </c>
      <c r="E4" s="2">
        <v>6.4993528801190209E-86</v>
      </c>
      <c r="F4" s="2">
        <v>1</v>
      </c>
      <c r="G4" s="2">
        <v>1.2998705760238039E-85</v>
      </c>
      <c r="H4" s="2">
        <v>0</v>
      </c>
      <c r="I4" s="2">
        <v>1</v>
      </c>
      <c r="J4" s="2">
        <v>0</v>
      </c>
      <c r="K4" s="2" t="s">
        <v>1</v>
      </c>
    </row>
    <row r="5" spans="1:11" x14ac:dyDescent="0.35">
      <c r="A5" s="2" t="s">
        <v>15</v>
      </c>
      <c r="B5" s="2">
        <v>509</v>
      </c>
      <c r="C5" s="2">
        <v>195</v>
      </c>
      <c r="D5" s="2">
        <v>0.72301136363636365</v>
      </c>
      <c r="E5" s="2">
        <v>1.6755297730258412E-33</v>
      </c>
      <c r="F5" s="2">
        <v>1</v>
      </c>
      <c r="G5" s="2">
        <v>3.3510595460516823E-33</v>
      </c>
      <c r="H5" s="2">
        <v>0</v>
      </c>
      <c r="I5" s="2">
        <v>1</v>
      </c>
      <c r="J5" s="2">
        <v>0</v>
      </c>
      <c r="K5" s="2" t="s">
        <v>1</v>
      </c>
    </row>
    <row r="6" spans="1:11" x14ac:dyDescent="0.35">
      <c r="A6" s="2" t="s">
        <v>16</v>
      </c>
      <c r="B6" s="2">
        <v>396</v>
      </c>
      <c r="C6" s="2">
        <v>308</v>
      </c>
      <c r="D6" s="2">
        <v>0.5625</v>
      </c>
      <c r="E6" s="2">
        <v>5.140143795173258E-4</v>
      </c>
      <c r="F6" s="2">
        <v>0.99960803532611964</v>
      </c>
      <c r="G6" s="2">
        <v>1.028028759034652E-3</v>
      </c>
      <c r="H6" s="2">
        <v>4.555594385768913E-4</v>
      </c>
      <c r="I6" s="2">
        <v>0.99954444056142311</v>
      </c>
      <c r="J6" s="2">
        <v>9.1111887715378259E-4</v>
      </c>
      <c r="K6" s="2" t="s">
        <v>1</v>
      </c>
    </row>
    <row r="7" spans="1:11" x14ac:dyDescent="0.35">
      <c r="A7" s="2" t="s">
        <v>17</v>
      </c>
      <c r="B7" s="2">
        <v>564</v>
      </c>
      <c r="C7" s="2">
        <v>140</v>
      </c>
      <c r="D7" s="2">
        <v>0.80113636363636365</v>
      </c>
      <c r="E7" s="2">
        <v>1.9304614207791681E-61</v>
      </c>
      <c r="F7" s="2">
        <v>1</v>
      </c>
      <c r="G7" s="2">
        <v>3.8609228415583348E-61</v>
      </c>
      <c r="H7" s="2">
        <v>0</v>
      </c>
      <c r="I7" s="2">
        <v>1</v>
      </c>
      <c r="J7" s="2">
        <v>0</v>
      </c>
      <c r="K7" s="2" t="s">
        <v>1</v>
      </c>
    </row>
    <row r="8" spans="1:11" x14ac:dyDescent="0.35">
      <c r="A8" s="2" t="s">
        <v>18</v>
      </c>
      <c r="B8" s="2">
        <v>423</v>
      </c>
      <c r="C8" s="2">
        <v>281</v>
      </c>
      <c r="D8" s="2">
        <v>0.60085227272727271</v>
      </c>
      <c r="E8" s="2">
        <v>4.8695444035950358E-8</v>
      </c>
      <c r="F8" s="2">
        <v>0.99999996807690539</v>
      </c>
      <c r="G8" s="2">
        <v>9.7390888071900728E-8</v>
      </c>
      <c r="H8" s="2">
        <v>4.3535463345456549E-8</v>
      </c>
      <c r="I8" s="2">
        <v>0.99999995646453665</v>
      </c>
      <c r="J8" s="2">
        <v>8.7070926690913097E-8</v>
      </c>
      <c r="K8" s="2" t="s">
        <v>1</v>
      </c>
    </row>
    <row r="9" spans="1:11" x14ac:dyDescent="0.35">
      <c r="A9" s="2" t="s">
        <v>19</v>
      </c>
      <c r="B9" s="2">
        <v>389</v>
      </c>
      <c r="C9" s="2">
        <v>315</v>
      </c>
      <c r="D9" s="2">
        <v>0.55255681818181823</v>
      </c>
      <c r="E9" s="2">
        <v>2.9486412910011898E-3</v>
      </c>
      <c r="F9" s="2">
        <v>0.99766543951883324</v>
      </c>
      <c r="G9" s="2">
        <v>5.8972825820023797E-3</v>
      </c>
      <c r="H9" s="2">
        <v>2.6437170183449821E-3</v>
      </c>
      <c r="I9" s="2">
        <v>0.99735628298165502</v>
      </c>
      <c r="J9" s="2">
        <v>5.2874340366899641E-3</v>
      </c>
      <c r="K9" s="2" t="s">
        <v>1</v>
      </c>
    </row>
    <row r="10" spans="1:11" x14ac:dyDescent="0.35">
      <c r="A10" s="2" t="s">
        <v>20</v>
      </c>
      <c r="B10" s="2">
        <v>350</v>
      </c>
      <c r="C10" s="2">
        <v>354</v>
      </c>
      <c r="D10" s="2">
        <v>0.49715909090909088</v>
      </c>
      <c r="E10" s="2">
        <v>0.57472747643240507</v>
      </c>
      <c r="F10" s="2">
        <v>0.45499406440791129</v>
      </c>
      <c r="G10" s="2">
        <v>0.90998812881582258</v>
      </c>
      <c r="H10" s="2">
        <v>0.55991577254663782</v>
      </c>
      <c r="I10" s="2">
        <v>0.44008422745336218</v>
      </c>
      <c r="J10" s="2">
        <v>0.88016845490672435</v>
      </c>
      <c r="K10" s="2" t="s">
        <v>12</v>
      </c>
    </row>
    <row r="11" spans="1:11" x14ac:dyDescent="0.35">
      <c r="A11" s="2" t="s">
        <v>21</v>
      </c>
      <c r="B11" s="2">
        <v>307</v>
      </c>
      <c r="C11" s="2">
        <v>397</v>
      </c>
      <c r="D11" s="2">
        <v>0.43607954545454553</v>
      </c>
      <c r="E11" s="2">
        <v>0.99970272376273472</v>
      </c>
      <c r="F11" s="2">
        <v>3.9196467388036299E-4</v>
      </c>
      <c r="G11" s="2">
        <v>7.8392934776072597E-4</v>
      </c>
      <c r="H11" s="2">
        <v>0.99965308112455031</v>
      </c>
      <c r="I11" s="2">
        <v>3.4691887544967281E-4</v>
      </c>
      <c r="J11" s="2">
        <v>6.9383775089937316E-4</v>
      </c>
      <c r="K11" s="2" t="s">
        <v>2</v>
      </c>
    </row>
    <row r="12" spans="1:11" x14ac:dyDescent="0.35">
      <c r="A12" s="2" t="s">
        <v>22</v>
      </c>
      <c r="B12" s="2">
        <v>378</v>
      </c>
      <c r="C12" s="2">
        <v>326</v>
      </c>
      <c r="D12" s="2">
        <v>0.53693181818181823</v>
      </c>
      <c r="E12" s="2">
        <v>2.7255805301668649E-2</v>
      </c>
      <c r="F12" s="2">
        <v>0.97715363504431529</v>
      </c>
      <c r="G12" s="2">
        <v>5.4511610603337292E-2</v>
      </c>
      <c r="H12" s="2">
        <v>2.5008197742822699E-2</v>
      </c>
      <c r="I12" s="2">
        <v>0.9749918022571773</v>
      </c>
      <c r="J12" s="2">
        <v>5.0016395485645397E-2</v>
      </c>
      <c r="K12" s="2" t="s">
        <v>1</v>
      </c>
    </row>
    <row r="13" spans="1:11" x14ac:dyDescent="0.35">
      <c r="A13" s="2" t="s">
        <v>23</v>
      </c>
      <c r="B13" s="2">
        <v>322</v>
      </c>
      <c r="C13" s="2">
        <v>382</v>
      </c>
      <c r="D13" s="2">
        <v>0.45738636363636359</v>
      </c>
      <c r="E13" s="2">
        <v>0.98928135886028723</v>
      </c>
      <c r="F13" s="2">
        <v>1.305113666870847E-2</v>
      </c>
      <c r="G13" s="2">
        <v>2.610227333741693E-2</v>
      </c>
      <c r="H13" s="2">
        <v>0.98813074237497267</v>
      </c>
      <c r="I13" s="2">
        <v>1.186925762502729E-2</v>
      </c>
      <c r="J13" s="2">
        <v>2.3738515250054659E-2</v>
      </c>
      <c r="K13" s="2" t="s">
        <v>2</v>
      </c>
    </row>
    <row r="14" spans="1:11" x14ac:dyDescent="0.35">
      <c r="A14" s="2" t="s">
        <v>24</v>
      </c>
      <c r="B14" s="2">
        <v>320</v>
      </c>
      <c r="C14" s="2">
        <v>384</v>
      </c>
      <c r="D14" s="2">
        <v>0.45454545454545447</v>
      </c>
      <c r="E14" s="2">
        <v>0.99288163498380022</v>
      </c>
      <c r="F14" s="2">
        <v>8.7576396766929094E-3</v>
      </c>
      <c r="G14" s="2">
        <v>1.7515279353385819E-2</v>
      </c>
      <c r="H14" s="2">
        <v>0.99206933363011351</v>
      </c>
      <c r="I14" s="2">
        <v>7.9306663698864906E-3</v>
      </c>
      <c r="J14" s="2">
        <v>1.5861332739772971E-2</v>
      </c>
      <c r="K14" s="2" t="s">
        <v>2</v>
      </c>
    </row>
    <row r="15" spans="1:11" x14ac:dyDescent="0.35">
      <c r="A15" s="2" t="s">
        <v>25</v>
      </c>
      <c r="B15" s="2">
        <v>535</v>
      </c>
      <c r="C15" s="2">
        <v>169</v>
      </c>
      <c r="D15" s="2">
        <v>0.75994318181818177</v>
      </c>
      <c r="E15" s="2">
        <v>1.968098275663992E-45</v>
      </c>
      <c r="F15" s="2">
        <v>1</v>
      </c>
      <c r="G15" s="2">
        <v>3.9361965513279829E-45</v>
      </c>
      <c r="H15" s="2">
        <v>0</v>
      </c>
      <c r="I15" s="2">
        <v>1</v>
      </c>
      <c r="J15" s="2">
        <v>0</v>
      </c>
      <c r="K15" s="2" t="s">
        <v>1</v>
      </c>
    </row>
    <row r="16" spans="1:11" x14ac:dyDescent="0.35">
      <c r="A16" s="2" t="s">
        <v>26</v>
      </c>
      <c r="B16" s="2">
        <v>303</v>
      </c>
      <c r="C16" s="2">
        <v>401</v>
      </c>
      <c r="D16" s="2">
        <v>0.43039772727272729</v>
      </c>
      <c r="E16" s="2">
        <v>0.99990686743660029</v>
      </c>
      <c r="F16" s="2">
        <v>1.2551204111500489E-4</v>
      </c>
      <c r="G16" s="2">
        <v>2.5102408223000972E-4</v>
      </c>
      <c r="H16" s="2">
        <v>0.99988941182370716</v>
      </c>
      <c r="I16" s="2">
        <v>1.1058817629283019E-4</v>
      </c>
      <c r="J16" s="2">
        <v>2.211763525856725E-4</v>
      </c>
      <c r="K16" s="2" t="s">
        <v>2</v>
      </c>
    </row>
    <row r="17" spans="1:11" x14ac:dyDescent="0.35">
      <c r="A17" s="2" t="s">
        <v>27</v>
      </c>
      <c r="B17" s="2">
        <v>584</v>
      </c>
      <c r="C17" s="2">
        <v>120</v>
      </c>
      <c r="D17" s="2">
        <v>0.82954545454545459</v>
      </c>
      <c r="E17" s="2">
        <v>2.3998560594315532E-74</v>
      </c>
      <c r="F17" s="2">
        <v>1</v>
      </c>
      <c r="G17" s="2">
        <v>4.7997121188631064E-74</v>
      </c>
      <c r="H17" s="2">
        <v>0</v>
      </c>
      <c r="I17" s="2">
        <v>1</v>
      </c>
      <c r="J17" s="2">
        <v>0</v>
      </c>
      <c r="K17" s="2" t="s">
        <v>1</v>
      </c>
    </row>
    <row r="18" spans="1:11" x14ac:dyDescent="0.35">
      <c r="A18" s="2" t="s">
        <v>28</v>
      </c>
      <c r="B18" s="2">
        <v>425</v>
      </c>
      <c r="C18" s="2">
        <v>279</v>
      </c>
      <c r="D18" s="2">
        <v>0.60369318181818177</v>
      </c>
      <c r="E18" s="2">
        <v>3.1923094571434119E-8</v>
      </c>
      <c r="F18" s="2">
        <v>0.99999997919254269</v>
      </c>
      <c r="G18" s="2">
        <v>6.3846189142868239E-8</v>
      </c>
      <c r="H18" s="2">
        <v>1.87134486795415E-8</v>
      </c>
      <c r="I18" s="2">
        <v>0.99999998128655132</v>
      </c>
      <c r="J18" s="2">
        <v>3.7426897359083E-8</v>
      </c>
      <c r="K18" s="2" t="s">
        <v>1</v>
      </c>
    </row>
    <row r="19" spans="1:11" x14ac:dyDescent="0.35">
      <c r="A19" s="2" t="s">
        <v>29</v>
      </c>
      <c r="B19" s="2">
        <v>473</v>
      </c>
      <c r="C19" s="2">
        <v>231</v>
      </c>
      <c r="D19" s="2">
        <v>0.671875</v>
      </c>
      <c r="E19" s="2">
        <v>2.2664703991124299E-20</v>
      </c>
      <c r="F19" s="2">
        <v>1</v>
      </c>
      <c r="G19" s="2">
        <v>4.5329407982248592E-20</v>
      </c>
      <c r="H19" s="2">
        <v>0</v>
      </c>
      <c r="I19" s="2">
        <v>1</v>
      </c>
      <c r="J19" s="2">
        <v>0</v>
      </c>
      <c r="K19" s="2" t="s">
        <v>1</v>
      </c>
    </row>
    <row r="20" spans="1:11" x14ac:dyDescent="0.35">
      <c r="A20" s="2" t="s">
        <v>30</v>
      </c>
      <c r="B20" s="2">
        <v>425</v>
      </c>
      <c r="C20" s="2">
        <v>279</v>
      </c>
      <c r="D20" s="2">
        <v>0.60369318181818177</v>
      </c>
      <c r="E20" s="2">
        <v>3.1923094571434119E-8</v>
      </c>
      <c r="F20" s="2">
        <v>0.99999997919254269</v>
      </c>
      <c r="G20" s="2">
        <v>6.3846189142868239E-8</v>
      </c>
      <c r="H20" s="2">
        <v>1.87134486795415E-8</v>
      </c>
      <c r="I20" s="2">
        <v>0.99999998128655132</v>
      </c>
      <c r="J20" s="2">
        <v>3.7426897359083E-8</v>
      </c>
      <c r="K20" s="2" t="s">
        <v>1</v>
      </c>
    </row>
    <row r="21" spans="1:11" x14ac:dyDescent="0.35">
      <c r="A21" s="2" t="s">
        <v>31</v>
      </c>
      <c r="B21" s="2">
        <v>464</v>
      </c>
      <c r="C21" s="2">
        <v>240</v>
      </c>
      <c r="D21" s="2">
        <v>0.65909090909090906</v>
      </c>
      <c r="E21" s="2">
        <v>1.1598697554267099E-17</v>
      </c>
      <c r="F21" s="2">
        <v>1</v>
      </c>
      <c r="G21" s="2">
        <v>2.3197395108534199E-17</v>
      </c>
      <c r="H21" s="2">
        <v>0</v>
      </c>
      <c r="I21" s="2">
        <v>1</v>
      </c>
      <c r="J21" s="2">
        <v>0</v>
      </c>
      <c r="K21" s="2" t="s">
        <v>1</v>
      </c>
    </row>
    <row r="22" spans="1:11" x14ac:dyDescent="0.35">
      <c r="A22" s="2" t="s">
        <v>32</v>
      </c>
      <c r="B22" s="2">
        <v>520</v>
      </c>
      <c r="C22" s="2">
        <v>184</v>
      </c>
      <c r="D22" s="2">
        <v>0.73863636363636365</v>
      </c>
      <c r="E22" s="2">
        <v>2.755242345259783E-38</v>
      </c>
      <c r="F22" s="2">
        <v>1</v>
      </c>
      <c r="G22" s="2">
        <v>5.510484690519566E-38</v>
      </c>
      <c r="H22" s="2">
        <v>0</v>
      </c>
      <c r="I22" s="2">
        <v>1</v>
      </c>
      <c r="J22" s="2">
        <v>0</v>
      </c>
      <c r="K22" s="2" t="s">
        <v>1</v>
      </c>
    </row>
    <row r="23" spans="1:11" x14ac:dyDescent="0.35">
      <c r="A23" s="2" t="s">
        <v>33</v>
      </c>
      <c r="B23" s="2">
        <v>374</v>
      </c>
      <c r="C23" s="2">
        <v>330</v>
      </c>
      <c r="D23" s="2">
        <v>0.53125</v>
      </c>
      <c r="E23" s="2">
        <v>5.2515725500884958E-2</v>
      </c>
      <c r="F23" s="2">
        <v>0.955092866564618</v>
      </c>
      <c r="G23" s="2">
        <v>0.1050314510017699</v>
      </c>
      <c r="H23" s="2">
        <v>4.8627214219501669E-2</v>
      </c>
      <c r="I23" s="2">
        <v>0.95137278578049833</v>
      </c>
      <c r="J23" s="2">
        <v>9.7254428439003338E-2</v>
      </c>
      <c r="K23" s="2" t="s">
        <v>12</v>
      </c>
    </row>
    <row r="24" spans="1:11" x14ac:dyDescent="0.35">
      <c r="A24" s="2" t="s">
        <v>34</v>
      </c>
      <c r="B24" s="2">
        <v>418</v>
      </c>
      <c r="C24" s="2">
        <v>286</v>
      </c>
      <c r="D24" s="2">
        <v>0.59375</v>
      </c>
      <c r="E24" s="2">
        <v>3.6900608683083041E-7</v>
      </c>
      <c r="F24" s="2">
        <v>0.99999975106193439</v>
      </c>
      <c r="G24" s="2">
        <v>7.3801217366166082E-7</v>
      </c>
      <c r="H24" s="2">
        <v>3.263440049305899E-7</v>
      </c>
      <c r="I24" s="2">
        <v>0.99999967365599507</v>
      </c>
      <c r="J24" s="2">
        <v>6.5268800986117981E-7</v>
      </c>
      <c r="K24" s="2" t="s">
        <v>1</v>
      </c>
    </row>
    <row r="25" spans="1:11" x14ac:dyDescent="0.35">
      <c r="A25" s="2" t="s">
        <v>35</v>
      </c>
      <c r="B25" s="2">
        <v>421</v>
      </c>
      <c r="C25" s="2">
        <v>283</v>
      </c>
      <c r="D25" s="2">
        <v>0.59801136363636365</v>
      </c>
      <c r="E25" s="2">
        <v>1.113695060809213E-7</v>
      </c>
      <c r="F25" s="2">
        <v>0.99999992614603173</v>
      </c>
      <c r="G25" s="2">
        <v>2.2273901216184249E-7</v>
      </c>
      <c r="H25" s="2">
        <v>9.9071855386156926E-8</v>
      </c>
      <c r="I25" s="2">
        <v>0.99999990092814461</v>
      </c>
      <c r="J25" s="2">
        <v>1.9814371077231391E-7</v>
      </c>
      <c r="K25" s="2" t="s">
        <v>1</v>
      </c>
    </row>
    <row r="26" spans="1:11" x14ac:dyDescent="0.35">
      <c r="A26" s="2" t="s">
        <v>36</v>
      </c>
      <c r="B26" s="2">
        <v>124</v>
      </c>
      <c r="C26" s="2">
        <v>580</v>
      </c>
      <c r="D26" s="2">
        <v>0.17613636363636359</v>
      </c>
      <c r="E26" s="2">
        <v>1</v>
      </c>
      <c r="F26" s="2">
        <v>1.2400197949969341E-71</v>
      </c>
      <c r="G26" s="2">
        <v>2.4800395899938681E-71</v>
      </c>
      <c r="H26" s="2">
        <v>1</v>
      </c>
      <c r="I26" s="2">
        <v>1.6860665371692589E-66</v>
      </c>
      <c r="J26" s="2">
        <v>0</v>
      </c>
      <c r="K26" s="2" t="s">
        <v>2</v>
      </c>
    </row>
    <row r="27" spans="1:11" x14ac:dyDescent="0.35">
      <c r="A27" s="2" t="s">
        <v>37</v>
      </c>
      <c r="B27" s="2">
        <v>269</v>
      </c>
      <c r="C27" s="2">
        <v>435</v>
      </c>
      <c r="D27" s="2">
        <v>0.38210227272727271</v>
      </c>
      <c r="E27" s="2">
        <v>0.99999999987208177</v>
      </c>
      <c r="F27" s="2">
        <v>2.0924884743097259E-10</v>
      </c>
      <c r="G27" s="2">
        <v>4.1849769486194508E-10</v>
      </c>
      <c r="H27" s="2">
        <v>0.99999999980296728</v>
      </c>
      <c r="I27" s="2">
        <v>1.9703275787215481E-10</v>
      </c>
      <c r="J27" s="2">
        <v>3.9406544694031709E-10</v>
      </c>
      <c r="K27" s="2" t="s">
        <v>2</v>
      </c>
    </row>
    <row r="28" spans="1:11" x14ac:dyDescent="0.35">
      <c r="A28" s="2" t="s">
        <v>38</v>
      </c>
      <c r="B28" s="2">
        <v>424</v>
      </c>
      <c r="C28" s="2">
        <v>280</v>
      </c>
      <c r="D28" s="2">
        <v>0.60227272727272729</v>
      </c>
      <c r="E28" s="2">
        <v>3.1923094571434119E-8</v>
      </c>
      <c r="F28" s="2">
        <v>0.99999997919254269</v>
      </c>
      <c r="G28" s="2">
        <v>6.3846189142868239E-8</v>
      </c>
      <c r="H28" s="2">
        <v>2.8621812142581859E-8</v>
      </c>
      <c r="I28" s="2">
        <v>0.99999997137818786</v>
      </c>
      <c r="J28" s="2">
        <v>5.7243624285163719E-8</v>
      </c>
      <c r="K28" s="2" t="s">
        <v>1</v>
      </c>
    </row>
    <row r="29" spans="1:11" x14ac:dyDescent="0.35">
      <c r="A29" s="2" t="s">
        <v>39</v>
      </c>
      <c r="B29" s="2">
        <v>236</v>
      </c>
      <c r="C29" s="2">
        <v>468</v>
      </c>
      <c r="D29" s="2">
        <v>0.33522727272727271</v>
      </c>
      <c r="E29" s="2">
        <v>1</v>
      </c>
      <c r="F29" s="2">
        <v>7.7224614927399764E-19</v>
      </c>
      <c r="G29" s="2">
        <v>1.5444922985479951E-18</v>
      </c>
      <c r="H29" s="2">
        <v>1</v>
      </c>
      <c r="I29" s="2">
        <v>1.126702200502399E-18</v>
      </c>
      <c r="J29" s="2">
        <v>0</v>
      </c>
      <c r="K29" s="2" t="s">
        <v>2</v>
      </c>
    </row>
    <row r="30" spans="1:11" x14ac:dyDescent="0.35">
      <c r="A30" s="2" t="s">
        <v>40</v>
      </c>
      <c r="B30" s="2">
        <v>536</v>
      </c>
      <c r="C30" s="2">
        <v>168</v>
      </c>
      <c r="D30" s="2">
        <v>0.76136363636363635</v>
      </c>
      <c r="E30" s="2">
        <v>6.1834499551240674E-46</v>
      </c>
      <c r="F30" s="2">
        <v>1</v>
      </c>
      <c r="G30" s="2">
        <v>1.236689991024813E-45</v>
      </c>
      <c r="H30" s="2">
        <v>0</v>
      </c>
      <c r="I30" s="2">
        <v>1</v>
      </c>
      <c r="J30" s="2">
        <v>0</v>
      </c>
      <c r="K30" s="2" t="s">
        <v>1</v>
      </c>
    </row>
    <row r="31" spans="1:11" x14ac:dyDescent="0.35">
      <c r="A31" s="2" t="s">
        <v>41</v>
      </c>
      <c r="B31" s="2">
        <v>368</v>
      </c>
      <c r="C31" s="2">
        <v>336</v>
      </c>
      <c r="D31" s="2">
        <v>0.52272727272727271</v>
      </c>
      <c r="E31" s="2">
        <v>0.12132136960569349</v>
      </c>
      <c r="F31" s="2">
        <v>0.8932160997258477</v>
      </c>
      <c r="G31" s="2">
        <v>0.24264273921138699</v>
      </c>
      <c r="H31" s="2">
        <v>0.11389999699411479</v>
      </c>
      <c r="I31" s="2">
        <v>0.88610000300588521</v>
      </c>
      <c r="J31" s="2">
        <v>0.22779999398822959</v>
      </c>
      <c r="K31" s="2" t="s">
        <v>12</v>
      </c>
    </row>
    <row r="32" spans="1:11" x14ac:dyDescent="0.35">
      <c r="A32" s="2" t="s">
        <v>42</v>
      </c>
      <c r="B32" s="2">
        <v>374</v>
      </c>
      <c r="C32" s="2">
        <v>330</v>
      </c>
      <c r="D32" s="2">
        <v>0.53125</v>
      </c>
      <c r="E32" s="2">
        <v>5.2515725500884958E-2</v>
      </c>
      <c r="F32" s="2">
        <v>0.955092866564618</v>
      </c>
      <c r="G32" s="2">
        <v>0.1050314510017699</v>
      </c>
      <c r="H32" s="2">
        <v>4.8627214219501669E-2</v>
      </c>
      <c r="I32" s="2">
        <v>0.95137278578049833</v>
      </c>
      <c r="J32" s="2">
        <v>9.7254428439003338E-2</v>
      </c>
      <c r="K32" s="2" t="s">
        <v>12</v>
      </c>
    </row>
    <row r="33" spans="1:11" x14ac:dyDescent="0.35">
      <c r="A33" s="2" t="s">
        <v>43</v>
      </c>
      <c r="B33" s="2">
        <v>296</v>
      </c>
      <c r="C33" s="2">
        <v>408</v>
      </c>
      <c r="D33" s="2">
        <v>0.42045454545454553</v>
      </c>
      <c r="E33" s="2">
        <v>0.99999011925657677</v>
      </c>
      <c r="F33" s="2">
        <v>1.3842638494642849E-5</v>
      </c>
      <c r="G33" s="2">
        <v>2.7685276989285692E-5</v>
      </c>
      <c r="H33" s="2">
        <v>0.99998784751965264</v>
      </c>
      <c r="I33" s="2">
        <v>1.2152480347389529E-5</v>
      </c>
      <c r="J33" s="2">
        <v>2.430496069472099E-5</v>
      </c>
      <c r="K33" s="2" t="s">
        <v>2</v>
      </c>
    </row>
    <row r="34" spans="1:11" x14ac:dyDescent="0.35">
      <c r="A34" s="2" t="s">
        <v>44</v>
      </c>
      <c r="B34" s="2">
        <v>156</v>
      </c>
      <c r="C34" s="2">
        <v>548</v>
      </c>
      <c r="D34" s="2">
        <v>0.22159090909090909</v>
      </c>
      <c r="E34" s="2">
        <v>1</v>
      </c>
      <c r="F34" s="2">
        <v>3.0901002623633379E-52</v>
      </c>
      <c r="G34" s="2">
        <v>6.1802005247266759E-52</v>
      </c>
      <c r="H34" s="2">
        <v>1</v>
      </c>
      <c r="I34" s="2">
        <v>1.076768715168475E-49</v>
      </c>
      <c r="J34" s="2">
        <v>0</v>
      </c>
      <c r="K34" s="2" t="s">
        <v>2</v>
      </c>
    </row>
    <row r="35" spans="1:11" x14ac:dyDescent="0.35">
      <c r="A35" s="2" t="s">
        <v>45</v>
      </c>
      <c r="B35" s="2">
        <v>149</v>
      </c>
      <c r="C35" s="2">
        <v>555</v>
      </c>
      <c r="D35" s="2">
        <v>0.21164772727272729</v>
      </c>
      <c r="E35" s="2">
        <v>1</v>
      </c>
      <c r="F35" s="2">
        <v>3.7963523261952142E-56</v>
      </c>
      <c r="G35" s="2">
        <v>7.5927046523904283E-56</v>
      </c>
      <c r="H35" s="2">
        <v>1</v>
      </c>
      <c r="I35" s="2">
        <v>3.7242237622475958E-53</v>
      </c>
      <c r="J35" s="2">
        <v>0</v>
      </c>
      <c r="K35" s="2" t="s">
        <v>2</v>
      </c>
    </row>
    <row r="36" spans="1:11" x14ac:dyDescent="0.35">
      <c r="A36" s="2" t="s">
        <v>46</v>
      </c>
      <c r="B36" s="2">
        <v>106</v>
      </c>
      <c r="C36" s="2">
        <v>598</v>
      </c>
      <c r="D36" s="2">
        <v>0.1505681818181818</v>
      </c>
      <c r="E36" s="2">
        <v>1</v>
      </c>
      <c r="F36" s="2">
        <v>2.1086597790866719E-84</v>
      </c>
      <c r="G36" s="2">
        <v>4.2173195581733448E-84</v>
      </c>
      <c r="H36" s="2">
        <v>1</v>
      </c>
      <c r="I36" s="2">
        <v>4.6491391354376567E-77</v>
      </c>
      <c r="J36" s="2">
        <v>0</v>
      </c>
      <c r="K36" s="2" t="s">
        <v>2</v>
      </c>
    </row>
    <row r="37" spans="1:11" x14ac:dyDescent="0.35">
      <c r="A37" s="2" t="s">
        <v>47</v>
      </c>
      <c r="B37" s="2">
        <v>334</v>
      </c>
      <c r="C37" s="2">
        <v>370</v>
      </c>
      <c r="D37" s="2">
        <v>0.47443181818181818</v>
      </c>
      <c r="E37" s="2">
        <v>0.91843865693126425</v>
      </c>
      <c r="F37" s="2">
        <v>9.3546529825919919E-2</v>
      </c>
      <c r="G37" s="2">
        <v>0.18709305965183981</v>
      </c>
      <c r="H37" s="2">
        <v>0.91257778319479266</v>
      </c>
      <c r="I37" s="2">
        <v>8.7422216805207342E-2</v>
      </c>
      <c r="J37" s="2">
        <v>0.17484443361041471</v>
      </c>
      <c r="K37" s="2" t="s">
        <v>12</v>
      </c>
    </row>
    <row r="38" spans="1:11" x14ac:dyDescent="0.35">
      <c r="A38" s="2" t="s">
        <v>48</v>
      </c>
      <c r="B38" s="2">
        <v>321</v>
      </c>
      <c r="C38" s="2">
        <v>383</v>
      </c>
      <c r="D38" s="2">
        <v>0.45596590909090912</v>
      </c>
      <c r="E38" s="2">
        <v>0.99124236032330704</v>
      </c>
      <c r="F38" s="2">
        <v>1.07186411397128E-2</v>
      </c>
      <c r="G38" s="2">
        <v>2.143728227942561E-2</v>
      </c>
      <c r="H38" s="2">
        <v>0.99027294186738102</v>
      </c>
      <c r="I38" s="2">
        <v>9.7270581326189907E-3</v>
      </c>
      <c r="J38" s="2">
        <v>1.9454116265237961E-2</v>
      </c>
      <c r="K38" s="2" t="s">
        <v>2</v>
      </c>
    </row>
    <row r="39" spans="1:11" x14ac:dyDescent="0.35">
      <c r="A39" s="2" t="s">
        <v>49</v>
      </c>
      <c r="B39" s="2">
        <v>350</v>
      </c>
      <c r="C39" s="2">
        <v>354</v>
      </c>
      <c r="D39" s="2">
        <v>0.49715909090909088</v>
      </c>
      <c r="E39" s="2">
        <v>0.57472747643240507</v>
      </c>
      <c r="F39" s="2">
        <v>0.45499406440791129</v>
      </c>
      <c r="G39" s="2">
        <v>0.90998812881582258</v>
      </c>
      <c r="H39" s="2">
        <v>0.55991577254663782</v>
      </c>
      <c r="I39" s="2">
        <v>0.44008422745336218</v>
      </c>
      <c r="J39" s="2">
        <v>0.88016845490672435</v>
      </c>
      <c r="K39" s="2" t="s">
        <v>12</v>
      </c>
    </row>
    <row r="40" spans="1:11" x14ac:dyDescent="0.35">
      <c r="A40" s="2" t="s">
        <v>50</v>
      </c>
      <c r="B40" s="2">
        <v>364</v>
      </c>
      <c r="C40" s="2">
        <v>340</v>
      </c>
      <c r="D40" s="2">
        <v>0.51704545454545459</v>
      </c>
      <c r="E40" s="2">
        <v>0.19302048399242741</v>
      </c>
      <c r="F40" s="2">
        <v>0.82695748928708979</v>
      </c>
      <c r="G40" s="2">
        <v>0.38604096798485482</v>
      </c>
      <c r="H40" s="2">
        <v>0.18285614814075599</v>
      </c>
      <c r="I40" s="2">
        <v>0.81714385185924399</v>
      </c>
      <c r="J40" s="2">
        <v>0.36571229628151197</v>
      </c>
      <c r="K40" s="2" t="s">
        <v>12</v>
      </c>
    </row>
    <row r="41" spans="1:11" x14ac:dyDescent="0.35">
      <c r="A41" s="2" t="s">
        <v>51</v>
      </c>
      <c r="B41" s="2">
        <v>408</v>
      </c>
      <c r="C41" s="2">
        <v>296</v>
      </c>
      <c r="D41" s="2">
        <v>0.57954545454545459</v>
      </c>
      <c r="E41" s="2">
        <v>1.3842638494642849E-5</v>
      </c>
      <c r="F41" s="2">
        <v>0.99999011925657677</v>
      </c>
      <c r="G41" s="2">
        <v>2.7685276989285692E-5</v>
      </c>
      <c r="H41" s="2">
        <v>1.215248034736049E-5</v>
      </c>
      <c r="I41" s="2">
        <v>0.99998784751965264</v>
      </c>
      <c r="J41" s="2">
        <v>2.430496069472099E-5</v>
      </c>
      <c r="K41" s="2" t="s">
        <v>1</v>
      </c>
    </row>
    <row r="42" spans="1:11" x14ac:dyDescent="0.35">
      <c r="A42" s="2" t="s">
        <v>52</v>
      </c>
      <c r="B42" s="2">
        <v>415</v>
      </c>
      <c r="C42" s="2">
        <v>289</v>
      </c>
      <c r="D42" s="2">
        <v>0.58948863636363635</v>
      </c>
      <c r="E42" s="2">
        <v>1.161548776651688E-6</v>
      </c>
      <c r="F42" s="2">
        <v>0.99999920292038957</v>
      </c>
      <c r="G42" s="2">
        <v>2.323097553303376E-6</v>
      </c>
      <c r="H42" s="2">
        <v>1.023117284004726E-6</v>
      </c>
      <c r="I42" s="2">
        <v>0.999998976882716</v>
      </c>
      <c r="J42" s="2">
        <v>2.0462345680094529E-6</v>
      </c>
      <c r="K42" s="2" t="s">
        <v>1</v>
      </c>
    </row>
    <row r="43" spans="1:11" x14ac:dyDescent="0.35">
      <c r="A43" s="2" t="s">
        <v>53</v>
      </c>
      <c r="B43" s="2">
        <v>328</v>
      </c>
      <c r="C43" s="2">
        <v>376</v>
      </c>
      <c r="D43" s="2">
        <v>0.46590909090909088</v>
      </c>
      <c r="E43" s="2">
        <v>0.9676470434726987</v>
      </c>
      <c r="F43" s="2">
        <v>3.8211572417738697E-2</v>
      </c>
      <c r="G43" s="2">
        <v>7.6423144835477408E-2</v>
      </c>
      <c r="H43" s="2">
        <v>0.96477978536395614</v>
      </c>
      <c r="I43" s="2">
        <v>3.5220214636043863E-2</v>
      </c>
      <c r="J43" s="2">
        <v>7.0440429272087712E-2</v>
      </c>
      <c r="K43" s="2" t="s">
        <v>2</v>
      </c>
    </row>
    <row r="44" spans="1:11" x14ac:dyDescent="0.35">
      <c r="A44" s="2" t="s">
        <v>54</v>
      </c>
      <c r="B44" s="2">
        <v>376</v>
      </c>
      <c r="C44" s="2">
        <v>328</v>
      </c>
      <c r="D44" s="2">
        <v>0.53409090909090906</v>
      </c>
      <c r="E44" s="2">
        <v>3.8211572417738697E-2</v>
      </c>
      <c r="F44" s="2">
        <v>0.9676470434726987</v>
      </c>
      <c r="G44" s="2">
        <v>7.6423144835477408E-2</v>
      </c>
      <c r="H44" s="2">
        <v>3.5220214636044078E-2</v>
      </c>
      <c r="I44" s="2">
        <v>0.96477978536395592</v>
      </c>
      <c r="J44" s="2">
        <v>7.0440429272088156E-2</v>
      </c>
      <c r="K44" s="2" t="s">
        <v>1</v>
      </c>
    </row>
    <row r="45" spans="1:11" x14ac:dyDescent="0.35">
      <c r="A45" s="2" t="s">
        <v>55</v>
      </c>
      <c r="B45" s="2">
        <v>394</v>
      </c>
      <c r="C45" s="2">
        <v>310</v>
      </c>
      <c r="D45" s="2">
        <v>0.55965909090909094</v>
      </c>
      <c r="E45" s="2">
        <v>8.6972830393244492E-4</v>
      </c>
      <c r="F45" s="2">
        <v>0.99932957240549158</v>
      </c>
      <c r="G45" s="2">
        <v>1.7394566078648901E-3</v>
      </c>
      <c r="H45" s="2">
        <v>7.7310173854039377E-4</v>
      </c>
      <c r="I45" s="2">
        <v>0.99922689826145961</v>
      </c>
      <c r="J45" s="2">
        <v>1.546203477080788E-3</v>
      </c>
      <c r="K45" s="2" t="s">
        <v>1</v>
      </c>
    </row>
    <row r="46" spans="1:11" x14ac:dyDescent="0.35">
      <c r="A46" s="2" t="s">
        <v>56</v>
      </c>
      <c r="B46" s="2">
        <v>568</v>
      </c>
      <c r="C46" s="2">
        <v>136</v>
      </c>
      <c r="D46" s="2">
        <v>0.80681818181818177</v>
      </c>
      <c r="E46" s="2">
        <v>6.8171275703417015E-64</v>
      </c>
      <c r="F46" s="2">
        <v>1</v>
      </c>
      <c r="G46" s="2">
        <v>1.36342551406834E-63</v>
      </c>
      <c r="H46" s="2">
        <v>0</v>
      </c>
      <c r="I46" s="2">
        <v>1</v>
      </c>
      <c r="J46" s="2">
        <v>0</v>
      </c>
      <c r="K46" s="2" t="s">
        <v>1</v>
      </c>
    </row>
    <row r="47" spans="1:11" x14ac:dyDescent="0.35">
      <c r="A47" s="2" t="s">
        <v>57</v>
      </c>
      <c r="B47" s="2">
        <v>518</v>
      </c>
      <c r="C47" s="2">
        <v>186</v>
      </c>
      <c r="D47" s="2">
        <v>0.73579545454545459</v>
      </c>
      <c r="E47" s="2">
        <v>2.178335365085946E-37</v>
      </c>
      <c r="F47" s="2">
        <v>1</v>
      </c>
      <c r="G47" s="2">
        <v>4.356670730171892E-37</v>
      </c>
      <c r="H47" s="2">
        <v>0</v>
      </c>
      <c r="I47" s="2">
        <v>1</v>
      </c>
      <c r="J47" s="2">
        <v>0</v>
      </c>
      <c r="K47" s="2" t="s">
        <v>1</v>
      </c>
    </row>
    <row r="48" spans="1:11" x14ac:dyDescent="0.35">
      <c r="A48" s="2" t="s">
        <v>58</v>
      </c>
      <c r="B48" s="2">
        <v>612</v>
      </c>
      <c r="C48" s="2">
        <v>92</v>
      </c>
      <c r="D48" s="2">
        <v>0.86931818181818177</v>
      </c>
      <c r="E48" s="2">
        <v>2.1142922395084159E-95</v>
      </c>
      <c r="F48" s="2">
        <v>1</v>
      </c>
      <c r="G48" s="2">
        <v>4.2285844790168312E-95</v>
      </c>
      <c r="H48" s="2">
        <v>0</v>
      </c>
      <c r="I48" s="2">
        <v>1</v>
      </c>
      <c r="J48" s="2">
        <v>0</v>
      </c>
      <c r="K48" s="2" t="s">
        <v>1</v>
      </c>
    </row>
    <row r="49" spans="1:11" x14ac:dyDescent="0.35">
      <c r="A49" s="2" t="s">
        <v>59</v>
      </c>
      <c r="B49" s="2">
        <v>639</v>
      </c>
      <c r="C49" s="2">
        <v>65</v>
      </c>
      <c r="D49" s="2">
        <v>0.90767045454545459</v>
      </c>
      <c r="E49" s="2">
        <v>9.3964645870206983E-120</v>
      </c>
      <c r="F49" s="2">
        <v>1</v>
      </c>
      <c r="G49" s="2">
        <v>1.8792929174041399E-119</v>
      </c>
      <c r="H49" s="2">
        <v>0</v>
      </c>
      <c r="I49" s="2">
        <v>1</v>
      </c>
      <c r="J49" s="2">
        <v>0</v>
      </c>
      <c r="K49" s="2" t="s">
        <v>1</v>
      </c>
    </row>
    <row r="50" spans="1:11" x14ac:dyDescent="0.35">
      <c r="A50" s="2" t="s">
        <v>60</v>
      </c>
      <c r="B50" s="2">
        <v>530</v>
      </c>
      <c r="C50" s="2">
        <v>174</v>
      </c>
      <c r="D50" s="2">
        <v>0.75284090909090906</v>
      </c>
      <c r="E50" s="2">
        <v>5.727499916965907E-43</v>
      </c>
      <c r="F50" s="2">
        <v>1</v>
      </c>
      <c r="G50" s="2">
        <v>1.1454999833931809E-42</v>
      </c>
      <c r="H50" s="2">
        <v>0</v>
      </c>
      <c r="I50" s="2">
        <v>1</v>
      </c>
      <c r="J50" s="2">
        <v>0</v>
      </c>
      <c r="K50" s="2" t="s">
        <v>1</v>
      </c>
    </row>
    <row r="51" spans="1:11" x14ac:dyDescent="0.35">
      <c r="A51" s="2" t="s">
        <v>61</v>
      </c>
      <c r="B51" s="2">
        <v>354</v>
      </c>
      <c r="C51" s="2">
        <v>350</v>
      </c>
      <c r="D51" s="2">
        <v>0.50284090909090906</v>
      </c>
      <c r="E51" s="2">
        <v>0.45499406440791129</v>
      </c>
      <c r="F51" s="2">
        <v>0.57472747643240507</v>
      </c>
      <c r="G51" s="2">
        <v>0.90998812881582258</v>
      </c>
      <c r="H51" s="2">
        <v>0.4400842274533634</v>
      </c>
      <c r="I51" s="2">
        <v>0.5599157725466366</v>
      </c>
      <c r="J51" s="2">
        <v>0.88016845490672679</v>
      </c>
      <c r="K51" s="2" t="s">
        <v>12</v>
      </c>
    </row>
    <row r="52" spans="1:11" x14ac:dyDescent="0.35">
      <c r="A52" s="2" t="s">
        <v>62</v>
      </c>
      <c r="B52" s="2">
        <v>687</v>
      </c>
      <c r="C52" s="2">
        <v>17</v>
      </c>
      <c r="D52" s="2">
        <v>0.97585227272727271</v>
      </c>
      <c r="E52" s="2">
        <v>7.2250008608970368E-179</v>
      </c>
      <c r="F52" s="2">
        <v>1</v>
      </c>
      <c r="G52" s="2">
        <v>1.4450001721794071E-178</v>
      </c>
      <c r="H52" s="2">
        <v>0</v>
      </c>
      <c r="I52" s="2">
        <v>1</v>
      </c>
      <c r="J52" s="2">
        <v>0</v>
      </c>
      <c r="K52" s="2" t="s">
        <v>1</v>
      </c>
    </row>
    <row r="53" spans="1:11" x14ac:dyDescent="0.35">
      <c r="A53" s="2" t="s">
        <v>63</v>
      </c>
      <c r="B53" s="2">
        <v>467</v>
      </c>
      <c r="C53" s="2">
        <v>237</v>
      </c>
      <c r="D53" s="2">
        <v>0.66335227272727271</v>
      </c>
      <c r="E53" s="2">
        <v>1.5346390564693779E-18</v>
      </c>
      <c r="F53" s="2">
        <v>1</v>
      </c>
      <c r="G53" s="2">
        <v>3.0692781129387559E-18</v>
      </c>
      <c r="H53" s="2">
        <v>0</v>
      </c>
      <c r="I53" s="2">
        <v>1</v>
      </c>
      <c r="J53" s="2">
        <v>0</v>
      </c>
      <c r="K53" s="2" t="s">
        <v>1</v>
      </c>
    </row>
    <row r="54" spans="1:11" x14ac:dyDescent="0.35">
      <c r="A54" s="2" t="s">
        <v>64</v>
      </c>
      <c r="B54" s="2">
        <v>692</v>
      </c>
      <c r="C54" s="2">
        <v>12</v>
      </c>
      <c r="D54" s="2">
        <v>0.98295454545454541</v>
      </c>
      <c r="E54" s="2">
        <v>3.4045060532262742E-187</v>
      </c>
      <c r="F54" s="2">
        <v>1</v>
      </c>
      <c r="G54" s="2">
        <v>6.8090121064525473E-187</v>
      </c>
      <c r="H54" s="2">
        <v>0</v>
      </c>
      <c r="I54" s="2">
        <v>1</v>
      </c>
      <c r="J54" s="2">
        <v>0</v>
      </c>
      <c r="K54" s="2" t="s">
        <v>1</v>
      </c>
    </row>
    <row r="55" spans="1:11" x14ac:dyDescent="0.35">
      <c r="A55" s="2" t="s">
        <v>65</v>
      </c>
      <c r="B55" s="2">
        <v>704</v>
      </c>
      <c r="C55" s="2">
        <v>0</v>
      </c>
      <c r="D55" s="2">
        <v>1</v>
      </c>
      <c r="E55" s="2">
        <v>1.1881822289344749E-212</v>
      </c>
      <c r="F55" s="2">
        <v>1</v>
      </c>
      <c r="G55" s="2">
        <v>2.3763644578689498E-212</v>
      </c>
      <c r="H55" s="2">
        <v>0</v>
      </c>
      <c r="I55" s="2">
        <v>1</v>
      </c>
      <c r="J55" s="2">
        <v>0</v>
      </c>
      <c r="K55" s="2" t="s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5"/>
  <sheetViews>
    <sheetView workbookViewId="0"/>
  </sheetViews>
  <sheetFormatPr defaultRowHeight="14.5" x14ac:dyDescent="0.35"/>
  <cols>
    <col min="1" max="1" width="23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351</v>
      </c>
      <c r="C2" s="2">
        <v>353</v>
      </c>
      <c r="D2" s="2">
        <v>0.49857954545454553</v>
      </c>
      <c r="E2" s="2">
        <v>0.54500593559208865</v>
      </c>
      <c r="F2" s="2">
        <v>0.4849696355118181</v>
      </c>
      <c r="G2" s="2">
        <v>0.9699392710236362</v>
      </c>
      <c r="H2" s="2">
        <v>0.53004295338662577</v>
      </c>
      <c r="I2" s="2">
        <v>0.46995704661337417</v>
      </c>
      <c r="J2" s="2">
        <v>0.93991409322674846</v>
      </c>
      <c r="K2" s="2" t="s">
        <v>12</v>
      </c>
    </row>
    <row r="3" spans="1:11" x14ac:dyDescent="0.35">
      <c r="A3" s="2" t="s">
        <v>13</v>
      </c>
      <c r="B3" s="2">
        <v>348</v>
      </c>
      <c r="C3" s="2">
        <v>356</v>
      </c>
      <c r="D3" s="2">
        <v>0.49431818181818182</v>
      </c>
      <c r="E3" s="2">
        <v>0.63275715045003333</v>
      </c>
      <c r="F3" s="2">
        <v>0.39596959597855169</v>
      </c>
      <c r="G3" s="2">
        <v>0.79193919195710338</v>
      </c>
      <c r="H3" s="2">
        <v>0.61848769972350237</v>
      </c>
      <c r="I3" s="2">
        <v>0.38151230027649757</v>
      </c>
      <c r="J3" s="2">
        <v>0.76302460055299526</v>
      </c>
      <c r="K3" s="2" t="s">
        <v>12</v>
      </c>
    </row>
    <row r="4" spans="1:11" x14ac:dyDescent="0.35">
      <c r="A4" s="2" t="s">
        <v>14</v>
      </c>
      <c r="B4" s="2">
        <v>131</v>
      </c>
      <c r="C4" s="2">
        <v>573</v>
      </c>
      <c r="D4" s="2">
        <v>0.18607954545454539</v>
      </c>
      <c r="E4" s="2">
        <v>1</v>
      </c>
      <c r="F4" s="2">
        <v>4.7835258005936953E-67</v>
      </c>
      <c r="G4" s="2">
        <v>9.5670516011873893E-67</v>
      </c>
      <c r="H4" s="2">
        <v>1</v>
      </c>
      <c r="I4" s="2">
        <v>1.312592239028078E-62</v>
      </c>
      <c r="J4" s="2">
        <v>0</v>
      </c>
      <c r="K4" s="2" t="s">
        <v>2</v>
      </c>
    </row>
    <row r="5" spans="1:11" x14ac:dyDescent="0.35">
      <c r="A5" s="2" t="s">
        <v>15</v>
      </c>
      <c r="B5" s="2">
        <v>298</v>
      </c>
      <c r="C5" s="2">
        <v>406</v>
      </c>
      <c r="D5" s="2">
        <v>0.42329545454545447</v>
      </c>
      <c r="E5" s="2">
        <v>0.99998071475817496</v>
      </c>
      <c r="F5" s="2">
        <v>2.6718596037924099E-5</v>
      </c>
      <c r="G5" s="2">
        <v>5.3437192075848198E-5</v>
      </c>
      <c r="H5" s="2">
        <v>0.99997653407547116</v>
      </c>
      <c r="I5" s="2">
        <v>2.3465924528857771E-5</v>
      </c>
      <c r="J5" s="2">
        <v>4.6931849057685333E-5</v>
      </c>
      <c r="K5" s="2" t="s">
        <v>2</v>
      </c>
    </row>
    <row r="6" spans="1:11" x14ac:dyDescent="0.35">
      <c r="A6" s="2" t="s">
        <v>16</v>
      </c>
      <c r="B6" s="2">
        <v>350</v>
      </c>
      <c r="C6" s="2">
        <v>354</v>
      </c>
      <c r="D6" s="2">
        <v>0.49715909090909088</v>
      </c>
      <c r="E6" s="2">
        <v>0.57472747643240507</v>
      </c>
      <c r="F6" s="2">
        <v>0.45499406440791129</v>
      </c>
      <c r="G6" s="2">
        <v>0.90998812881582258</v>
      </c>
      <c r="H6" s="2">
        <v>0.55991577254663782</v>
      </c>
      <c r="I6" s="2">
        <v>0.44008422745336218</v>
      </c>
      <c r="J6" s="2">
        <v>0.88016845490672435</v>
      </c>
      <c r="K6" s="2" t="s">
        <v>12</v>
      </c>
    </row>
    <row r="7" spans="1:11" x14ac:dyDescent="0.35">
      <c r="A7" s="2" t="s">
        <v>17</v>
      </c>
      <c r="B7" s="2">
        <v>509</v>
      </c>
      <c r="C7" s="2">
        <v>195</v>
      </c>
      <c r="D7" s="2">
        <v>0.72301136363636365</v>
      </c>
      <c r="E7" s="2">
        <v>1.6755297730258412E-33</v>
      </c>
      <c r="F7" s="2">
        <v>1</v>
      </c>
      <c r="G7" s="2">
        <v>3.3510595460516823E-33</v>
      </c>
      <c r="H7" s="2">
        <v>0</v>
      </c>
      <c r="I7" s="2">
        <v>1</v>
      </c>
      <c r="J7" s="2">
        <v>0</v>
      </c>
      <c r="K7" s="2" t="s">
        <v>1</v>
      </c>
    </row>
    <row r="8" spans="1:11" x14ac:dyDescent="0.35">
      <c r="A8" s="2" t="s">
        <v>18</v>
      </c>
      <c r="B8" s="2">
        <v>392</v>
      </c>
      <c r="C8" s="2">
        <v>312</v>
      </c>
      <c r="D8" s="2">
        <v>0.55681818181818177</v>
      </c>
      <c r="E8" s="2">
        <v>1.838572134761929E-3</v>
      </c>
      <c r="F8" s="2">
        <v>0.99855974075723575</v>
      </c>
      <c r="G8" s="2">
        <v>3.6771442695238579E-3</v>
      </c>
      <c r="H8" s="2">
        <v>1.284415763511348E-3</v>
      </c>
      <c r="I8" s="2">
        <v>0.99871558423648865</v>
      </c>
      <c r="J8" s="2">
        <v>2.5688315270226969E-3</v>
      </c>
      <c r="K8" s="2" t="s">
        <v>1</v>
      </c>
    </row>
    <row r="9" spans="1:11" x14ac:dyDescent="0.35">
      <c r="A9" s="2" t="s">
        <v>19</v>
      </c>
      <c r="B9" s="2">
        <v>366</v>
      </c>
      <c r="C9" s="2">
        <v>338</v>
      </c>
      <c r="D9" s="2">
        <v>0.51988636363636365</v>
      </c>
      <c r="E9" s="2">
        <v>0.15443289176760841</v>
      </c>
      <c r="F9" s="2">
        <v>0.86280388643582817</v>
      </c>
      <c r="G9" s="2">
        <v>0.30886578353521688</v>
      </c>
      <c r="H9" s="2">
        <v>0.14564642380890641</v>
      </c>
      <c r="I9" s="2">
        <v>0.85435357619109364</v>
      </c>
      <c r="J9" s="2">
        <v>0.29129284761781271</v>
      </c>
      <c r="K9" s="2" t="s">
        <v>12</v>
      </c>
    </row>
    <row r="10" spans="1:11" x14ac:dyDescent="0.35">
      <c r="A10" s="2" t="s">
        <v>20</v>
      </c>
      <c r="B10" s="2">
        <v>215</v>
      </c>
      <c r="C10" s="2">
        <v>489</v>
      </c>
      <c r="D10" s="2">
        <v>0.30539772727272729</v>
      </c>
      <c r="E10" s="2">
        <v>1</v>
      </c>
      <c r="F10" s="2">
        <v>9.6049905137288658E-26</v>
      </c>
      <c r="G10" s="2">
        <v>1.9209981027457729E-25</v>
      </c>
      <c r="H10" s="2">
        <v>1</v>
      </c>
      <c r="I10" s="2">
        <v>2.6664826888956972E-25</v>
      </c>
      <c r="J10" s="2">
        <v>0</v>
      </c>
      <c r="K10" s="2" t="s">
        <v>2</v>
      </c>
    </row>
    <row r="11" spans="1:11" x14ac:dyDescent="0.35">
      <c r="A11" s="2" t="s">
        <v>21</v>
      </c>
      <c r="B11" s="2">
        <v>346</v>
      </c>
      <c r="C11" s="2">
        <v>358</v>
      </c>
      <c r="D11" s="2">
        <v>0.49147727272727271</v>
      </c>
      <c r="E11" s="2">
        <v>0.68790182259992472</v>
      </c>
      <c r="F11" s="2">
        <v>0.33924030681285811</v>
      </c>
      <c r="G11" s="2">
        <v>0.6784806136257161</v>
      </c>
      <c r="H11" s="2">
        <v>0.67446168296108322</v>
      </c>
      <c r="I11" s="2">
        <v>0.32553831703891678</v>
      </c>
      <c r="J11" s="2">
        <v>0.65107663407783356</v>
      </c>
      <c r="K11" s="2" t="s">
        <v>12</v>
      </c>
    </row>
    <row r="12" spans="1:11" x14ac:dyDescent="0.35">
      <c r="A12" s="2" t="s">
        <v>22</v>
      </c>
      <c r="B12" s="2">
        <v>360</v>
      </c>
      <c r="C12" s="2">
        <v>344</v>
      </c>
      <c r="D12" s="2">
        <v>0.51136363636363635</v>
      </c>
      <c r="E12" s="2">
        <v>0.28593891061226778</v>
      </c>
      <c r="F12" s="2">
        <v>0.73913038672604903</v>
      </c>
      <c r="G12" s="2">
        <v>0.57187782122453568</v>
      </c>
      <c r="H12" s="2">
        <v>0.27324679770329119</v>
      </c>
      <c r="I12" s="2">
        <v>0.72675320229670881</v>
      </c>
      <c r="J12" s="2">
        <v>0.54649359540658238</v>
      </c>
      <c r="K12" s="2" t="s">
        <v>12</v>
      </c>
    </row>
    <row r="13" spans="1:11" x14ac:dyDescent="0.35">
      <c r="A13" s="2" t="s">
        <v>23</v>
      </c>
      <c r="B13" s="2">
        <v>373</v>
      </c>
      <c r="C13" s="2">
        <v>331</v>
      </c>
      <c r="D13" s="2">
        <v>0.52982954545454541</v>
      </c>
      <c r="E13" s="2">
        <v>6.1112744934414411E-2</v>
      </c>
      <c r="F13" s="2">
        <v>0.94748427449911499</v>
      </c>
      <c r="G13" s="2">
        <v>0.12222548986882879</v>
      </c>
      <c r="H13" s="2">
        <v>5.6718190418091563E-2</v>
      </c>
      <c r="I13" s="2">
        <v>0.94328180958190844</v>
      </c>
      <c r="J13" s="2">
        <v>0.1134363808361831</v>
      </c>
      <c r="K13" s="2" t="s">
        <v>12</v>
      </c>
    </row>
    <row r="14" spans="1:11" x14ac:dyDescent="0.35">
      <c r="A14" s="2" t="s">
        <v>24</v>
      </c>
      <c r="B14" s="2">
        <v>359</v>
      </c>
      <c r="C14" s="2">
        <v>345</v>
      </c>
      <c r="D14" s="2">
        <v>0.50994318181818177</v>
      </c>
      <c r="E14" s="2">
        <v>0.33924030681285811</v>
      </c>
      <c r="F14" s="2">
        <v>0.68790182259992472</v>
      </c>
      <c r="G14" s="2">
        <v>0.6784806136257161</v>
      </c>
      <c r="H14" s="2">
        <v>0.29887292785152092</v>
      </c>
      <c r="I14" s="2">
        <v>0.70112707214847914</v>
      </c>
      <c r="J14" s="2">
        <v>0.59774585570304173</v>
      </c>
      <c r="K14" s="2" t="s">
        <v>12</v>
      </c>
    </row>
    <row r="15" spans="1:11" x14ac:dyDescent="0.35">
      <c r="A15" s="2" t="s">
        <v>25</v>
      </c>
      <c r="B15" s="2">
        <v>315</v>
      </c>
      <c r="C15" s="2">
        <v>389</v>
      </c>
      <c r="D15" s="2">
        <v>0.44744318181818182</v>
      </c>
      <c r="E15" s="2">
        <v>0.99766543951883324</v>
      </c>
      <c r="F15" s="2">
        <v>2.9486412910011898E-3</v>
      </c>
      <c r="G15" s="2">
        <v>5.8972825820023797E-3</v>
      </c>
      <c r="H15" s="2">
        <v>0.99735628298165491</v>
      </c>
      <c r="I15" s="2">
        <v>2.6437170183450541E-3</v>
      </c>
      <c r="J15" s="2">
        <v>5.2874340366901862E-3</v>
      </c>
      <c r="K15" s="2" t="s">
        <v>2</v>
      </c>
    </row>
    <row r="16" spans="1:11" x14ac:dyDescent="0.35">
      <c r="A16" s="2" t="s">
        <v>26</v>
      </c>
      <c r="B16" s="2">
        <v>442</v>
      </c>
      <c r="C16" s="2">
        <v>262</v>
      </c>
      <c r="D16" s="2">
        <v>0.62784090909090906</v>
      </c>
      <c r="E16" s="2">
        <v>5.8967090318025666E-12</v>
      </c>
      <c r="F16" s="2">
        <v>0.99999999999654177</v>
      </c>
      <c r="G16" s="2">
        <v>1.179341806360513E-11</v>
      </c>
      <c r="H16" s="2">
        <v>5.8444360462317491E-12</v>
      </c>
      <c r="I16" s="2">
        <v>0.99999999999415556</v>
      </c>
      <c r="J16" s="2">
        <v>1.16888720924635E-11</v>
      </c>
      <c r="K16" s="2" t="s">
        <v>1</v>
      </c>
    </row>
    <row r="17" spans="1:11" x14ac:dyDescent="0.35">
      <c r="A17" s="2" t="s">
        <v>27</v>
      </c>
      <c r="B17" s="2">
        <v>297</v>
      </c>
      <c r="C17" s="2">
        <v>407</v>
      </c>
      <c r="D17" s="2">
        <v>0.421875</v>
      </c>
      <c r="E17" s="2">
        <v>0.99998615736150531</v>
      </c>
      <c r="F17" s="2">
        <v>1.9285241824994172E-5</v>
      </c>
      <c r="G17" s="2">
        <v>3.8570483649988343E-5</v>
      </c>
      <c r="H17" s="2">
        <v>0.99998306712934337</v>
      </c>
      <c r="I17" s="2">
        <v>1.6932870656650061E-5</v>
      </c>
      <c r="J17" s="2">
        <v>3.3865741313254823E-5</v>
      </c>
      <c r="K17" s="2" t="s">
        <v>2</v>
      </c>
    </row>
    <row r="18" spans="1:11" x14ac:dyDescent="0.35">
      <c r="A18" s="2" t="s">
        <v>28</v>
      </c>
      <c r="B18" s="2">
        <v>308</v>
      </c>
      <c r="C18" s="2">
        <v>396</v>
      </c>
      <c r="D18" s="2">
        <v>0.4375</v>
      </c>
      <c r="E18" s="2">
        <v>0.99960803532611964</v>
      </c>
      <c r="F18" s="2">
        <v>5.140143795173258E-4</v>
      </c>
      <c r="G18" s="2">
        <v>1.028028759034652E-3</v>
      </c>
      <c r="H18" s="2">
        <v>0.99954444056142311</v>
      </c>
      <c r="I18" s="2">
        <v>4.5555943857685638E-4</v>
      </c>
      <c r="J18" s="2">
        <v>9.1111887715378259E-4</v>
      </c>
      <c r="K18" s="2" t="s">
        <v>2</v>
      </c>
    </row>
    <row r="19" spans="1:11" x14ac:dyDescent="0.35">
      <c r="A19" s="2" t="s">
        <v>29</v>
      </c>
      <c r="B19" s="2">
        <v>133</v>
      </c>
      <c r="C19" s="2">
        <v>571</v>
      </c>
      <c r="D19" s="2">
        <v>0.18892045454545461</v>
      </c>
      <c r="E19" s="2">
        <v>1</v>
      </c>
      <c r="F19" s="2">
        <v>8.9801460878349132E-66</v>
      </c>
      <c r="G19" s="2">
        <v>1.7960292175669831E-65</v>
      </c>
      <c r="H19" s="2">
        <v>1</v>
      </c>
      <c r="I19" s="2">
        <v>1.61356323282522E-61</v>
      </c>
      <c r="J19" s="2">
        <v>0</v>
      </c>
      <c r="K19" s="2" t="s">
        <v>2</v>
      </c>
    </row>
    <row r="20" spans="1:11" x14ac:dyDescent="0.35">
      <c r="A20" s="2" t="s">
        <v>30</v>
      </c>
      <c r="B20" s="2">
        <v>55</v>
      </c>
      <c r="C20" s="2">
        <v>649</v>
      </c>
      <c r="D20" s="2">
        <v>7.8125E-2</v>
      </c>
      <c r="E20" s="2">
        <v>1</v>
      </c>
      <c r="F20" s="2">
        <v>4.8454365689446407E-130</v>
      </c>
      <c r="G20" s="2">
        <v>9.6908731378892814E-130</v>
      </c>
      <c r="H20" s="2">
        <v>1</v>
      </c>
      <c r="I20" s="2">
        <v>2.62159062588003E-111</v>
      </c>
      <c r="J20" s="2">
        <v>0</v>
      </c>
      <c r="K20" s="2" t="s">
        <v>2</v>
      </c>
    </row>
    <row r="21" spans="1:11" x14ac:dyDescent="0.35">
      <c r="A21" s="2" t="s">
        <v>31</v>
      </c>
      <c r="B21" s="2">
        <v>341</v>
      </c>
      <c r="C21" s="2">
        <v>363</v>
      </c>
      <c r="D21" s="2">
        <v>0.484375</v>
      </c>
      <c r="E21" s="2">
        <v>0.80697951600757256</v>
      </c>
      <c r="F21" s="2">
        <v>0.21434594520575251</v>
      </c>
      <c r="G21" s="2">
        <v>0.42869189041150513</v>
      </c>
      <c r="H21" s="2">
        <v>0.79649198636431284</v>
      </c>
      <c r="I21" s="2">
        <v>0.20350801363568721</v>
      </c>
      <c r="J21" s="2">
        <v>0.40701602727137431</v>
      </c>
      <c r="K21" s="2" t="s">
        <v>12</v>
      </c>
    </row>
    <row r="22" spans="1:11" x14ac:dyDescent="0.35">
      <c r="A22" s="2" t="s">
        <v>32</v>
      </c>
      <c r="B22" s="2">
        <v>302</v>
      </c>
      <c r="C22" s="2">
        <v>402</v>
      </c>
      <c r="D22" s="2">
        <v>0.42897727272727271</v>
      </c>
      <c r="E22" s="2">
        <v>0.99993127286383343</v>
      </c>
      <c r="F22" s="2">
        <v>9.3132563399741616E-5</v>
      </c>
      <c r="G22" s="2">
        <v>1.8626512679948321E-4</v>
      </c>
      <c r="H22" s="2">
        <v>0.99991801303050887</v>
      </c>
      <c r="I22" s="2">
        <v>8.1986969491158737E-5</v>
      </c>
      <c r="J22" s="2">
        <v>1.6397393898226481E-4</v>
      </c>
      <c r="K22" s="2" t="s">
        <v>2</v>
      </c>
    </row>
    <row r="23" spans="1:11" x14ac:dyDescent="0.35">
      <c r="A23" s="2" t="s">
        <v>33</v>
      </c>
      <c r="B23" s="2">
        <v>262</v>
      </c>
      <c r="C23" s="2">
        <v>442</v>
      </c>
      <c r="D23" s="2">
        <v>0.37215909090909088</v>
      </c>
      <c r="E23" s="2">
        <v>0.99999999999654177</v>
      </c>
      <c r="F23" s="2">
        <v>5.8967090318025666E-12</v>
      </c>
      <c r="G23" s="2">
        <v>1.179341806360513E-11</v>
      </c>
      <c r="H23" s="2">
        <v>0.99999999999415556</v>
      </c>
      <c r="I23" s="2">
        <v>5.8444537816941723E-12</v>
      </c>
      <c r="J23" s="2">
        <v>1.16888720924635E-11</v>
      </c>
      <c r="K23" s="2" t="s">
        <v>2</v>
      </c>
    </row>
    <row r="24" spans="1:11" x14ac:dyDescent="0.35">
      <c r="A24" s="2" t="s">
        <v>34</v>
      </c>
      <c r="B24" s="2">
        <v>89</v>
      </c>
      <c r="C24" s="2">
        <v>615</v>
      </c>
      <c r="D24" s="2">
        <v>0.12642045454545461</v>
      </c>
      <c r="E24" s="2">
        <v>1</v>
      </c>
      <c r="F24" s="2">
        <v>6.8373850169727422E-98</v>
      </c>
      <c r="G24" s="2">
        <v>1.3674770033945479E-97</v>
      </c>
      <c r="H24" s="2">
        <v>1</v>
      </c>
      <c r="I24" s="2">
        <v>9.1730349864156186E-88</v>
      </c>
      <c r="J24" s="2">
        <v>0</v>
      </c>
      <c r="K24" s="2" t="s">
        <v>2</v>
      </c>
    </row>
    <row r="25" spans="1:11" x14ac:dyDescent="0.35">
      <c r="A25" s="2" t="s">
        <v>35</v>
      </c>
      <c r="B25" s="2">
        <v>60</v>
      </c>
      <c r="C25" s="2">
        <v>644</v>
      </c>
      <c r="D25" s="2">
        <v>8.5227272727272721E-2</v>
      </c>
      <c r="E25" s="2">
        <v>1</v>
      </c>
      <c r="F25" s="2">
        <v>7.854827192634082E-126</v>
      </c>
      <c r="G25" s="2">
        <v>1.5709654385268159E-125</v>
      </c>
      <c r="H25" s="2">
        <v>1</v>
      </c>
      <c r="I25" s="2">
        <v>1.146631201322754E-107</v>
      </c>
      <c r="J25" s="2">
        <v>0</v>
      </c>
      <c r="K25" s="2" t="s">
        <v>2</v>
      </c>
    </row>
    <row r="26" spans="1:11" x14ac:dyDescent="0.35">
      <c r="A26" s="2" t="s">
        <v>36</v>
      </c>
      <c r="B26" s="2">
        <v>240</v>
      </c>
      <c r="C26" s="2">
        <v>464</v>
      </c>
      <c r="D26" s="2">
        <v>0.34090909090909088</v>
      </c>
      <c r="E26" s="2">
        <v>1</v>
      </c>
      <c r="F26" s="2">
        <v>5.947395794988822E-18</v>
      </c>
      <c r="G26" s="2">
        <v>1.1894791589977639E-17</v>
      </c>
      <c r="H26" s="2">
        <v>1</v>
      </c>
      <c r="I26" s="2">
        <v>1.5555326713803769E-17</v>
      </c>
      <c r="J26" s="2">
        <v>0</v>
      </c>
      <c r="K26" s="2" t="s">
        <v>2</v>
      </c>
    </row>
    <row r="27" spans="1:11" x14ac:dyDescent="0.35">
      <c r="A27" s="2" t="s">
        <v>37</v>
      </c>
      <c r="B27" s="2">
        <v>437</v>
      </c>
      <c r="C27" s="2">
        <v>267</v>
      </c>
      <c r="D27" s="2">
        <v>0.62073863636363635</v>
      </c>
      <c r="E27" s="2">
        <v>7.773941077768152E-11</v>
      </c>
      <c r="F27" s="2">
        <v>0.99999999995303379</v>
      </c>
      <c r="G27" s="2">
        <v>1.5547882155536299E-10</v>
      </c>
      <c r="H27" s="2">
        <v>7.414890923485018E-11</v>
      </c>
      <c r="I27" s="2">
        <v>0.99999999992585109</v>
      </c>
      <c r="J27" s="2">
        <v>1.4829781846970041E-10</v>
      </c>
      <c r="K27" s="2" t="s">
        <v>1</v>
      </c>
    </row>
    <row r="28" spans="1:11" x14ac:dyDescent="0.35">
      <c r="A28" s="2" t="s">
        <v>38</v>
      </c>
      <c r="B28" s="2">
        <v>470</v>
      </c>
      <c r="C28" s="2">
        <v>234</v>
      </c>
      <c r="D28" s="2">
        <v>0.66761363636363635</v>
      </c>
      <c r="E28" s="2">
        <v>1.918859589311014E-19</v>
      </c>
      <c r="F28" s="2">
        <v>1</v>
      </c>
      <c r="G28" s="2">
        <v>3.837719178622028E-19</v>
      </c>
      <c r="H28" s="2">
        <v>0</v>
      </c>
      <c r="I28" s="2">
        <v>1</v>
      </c>
      <c r="J28" s="2">
        <v>0</v>
      </c>
      <c r="K28" s="2" t="s">
        <v>1</v>
      </c>
    </row>
    <row r="29" spans="1:11" x14ac:dyDescent="0.35">
      <c r="A29" s="2" t="s">
        <v>39</v>
      </c>
      <c r="B29" s="2">
        <v>427</v>
      </c>
      <c r="C29" s="2">
        <v>277</v>
      </c>
      <c r="D29" s="2">
        <v>0.60653409090909094</v>
      </c>
      <c r="E29" s="2">
        <v>8.6880052469512098E-9</v>
      </c>
      <c r="F29" s="2">
        <v>0.99999999443458498</v>
      </c>
      <c r="G29" s="2">
        <v>1.737601049390242E-8</v>
      </c>
      <c r="H29" s="2">
        <v>7.8680845172485192E-9</v>
      </c>
      <c r="I29" s="2">
        <v>0.99999999213191548</v>
      </c>
      <c r="J29" s="2">
        <v>1.5736169034497038E-8</v>
      </c>
      <c r="K29" s="2" t="s">
        <v>1</v>
      </c>
    </row>
    <row r="30" spans="1:11" x14ac:dyDescent="0.35">
      <c r="A30" s="2" t="s">
        <v>40</v>
      </c>
      <c r="B30" s="2">
        <v>146</v>
      </c>
      <c r="C30" s="2">
        <v>558</v>
      </c>
      <c r="D30" s="2">
        <v>0.20738636363636359</v>
      </c>
      <c r="E30" s="2">
        <v>1</v>
      </c>
      <c r="F30" s="2">
        <v>7.0562677454433879E-58</v>
      </c>
      <c r="G30" s="2">
        <v>1.4112535490886779E-57</v>
      </c>
      <c r="H30" s="2">
        <v>1</v>
      </c>
      <c r="I30" s="2">
        <v>1.124230567259635E-54</v>
      </c>
      <c r="J30" s="2">
        <v>0</v>
      </c>
      <c r="K30" s="2" t="s">
        <v>2</v>
      </c>
    </row>
    <row r="31" spans="1:11" x14ac:dyDescent="0.35">
      <c r="A31" s="2" t="s">
        <v>41</v>
      </c>
      <c r="B31" s="2">
        <v>247</v>
      </c>
      <c r="C31" s="2">
        <v>457</v>
      </c>
      <c r="D31" s="2">
        <v>0.35085227272727271</v>
      </c>
      <c r="E31" s="2">
        <v>0.99999999999999944</v>
      </c>
      <c r="F31" s="2">
        <v>1.045738419167208E-15</v>
      </c>
      <c r="G31" s="2">
        <v>2.0914768383344149E-15</v>
      </c>
      <c r="H31" s="2">
        <v>0.99999999999999878</v>
      </c>
      <c r="I31" s="2">
        <v>1.239520982587429E-15</v>
      </c>
      <c r="J31" s="2">
        <v>2.442490654175344E-15</v>
      </c>
      <c r="K31" s="2" t="s">
        <v>2</v>
      </c>
    </row>
    <row r="32" spans="1:11" x14ac:dyDescent="0.35">
      <c r="A32" s="2" t="s">
        <v>42</v>
      </c>
      <c r="B32" s="2">
        <v>136</v>
      </c>
      <c r="C32" s="2">
        <v>568</v>
      </c>
      <c r="D32" s="2">
        <v>0.1931818181818182</v>
      </c>
      <c r="E32" s="2">
        <v>1</v>
      </c>
      <c r="F32" s="2">
        <v>6.8171275703417015E-64</v>
      </c>
      <c r="G32" s="2">
        <v>1.36342551406834E-63</v>
      </c>
      <c r="H32" s="2">
        <v>1</v>
      </c>
      <c r="I32" s="2">
        <v>6.6654584147196171E-60</v>
      </c>
      <c r="J32" s="2">
        <v>0</v>
      </c>
      <c r="K32" s="2" t="s">
        <v>2</v>
      </c>
    </row>
    <row r="33" spans="1:11" x14ac:dyDescent="0.35">
      <c r="A33" s="2" t="s">
        <v>43</v>
      </c>
      <c r="B33" s="2">
        <v>177</v>
      </c>
      <c r="C33" s="2">
        <v>527</v>
      </c>
      <c r="D33" s="2">
        <v>0.25142045454545447</v>
      </c>
      <c r="E33" s="2">
        <v>1</v>
      </c>
      <c r="F33" s="2">
        <v>1.572759419129225E-41</v>
      </c>
      <c r="G33" s="2">
        <v>3.145518838258449E-41</v>
      </c>
      <c r="H33" s="2">
        <v>1</v>
      </c>
      <c r="I33" s="2">
        <v>4.9353010845506149E-40</v>
      </c>
      <c r="J33" s="2">
        <v>0</v>
      </c>
      <c r="K33" s="2" t="s">
        <v>2</v>
      </c>
    </row>
    <row r="34" spans="1:11" x14ac:dyDescent="0.35">
      <c r="A34" s="2" t="s">
        <v>44</v>
      </c>
      <c r="B34" s="2">
        <v>208</v>
      </c>
      <c r="C34" s="2">
        <v>496</v>
      </c>
      <c r="D34" s="2">
        <v>0.29545454545454553</v>
      </c>
      <c r="E34" s="2">
        <v>1</v>
      </c>
      <c r="F34" s="2">
        <v>2.521374157347619E-28</v>
      </c>
      <c r="G34" s="2">
        <v>5.0427483146952389E-28</v>
      </c>
      <c r="H34" s="2">
        <v>1</v>
      </c>
      <c r="I34" s="2">
        <v>9.5016663618946908E-28</v>
      </c>
      <c r="J34" s="2">
        <v>0</v>
      </c>
      <c r="K34" s="2" t="s">
        <v>2</v>
      </c>
    </row>
    <row r="35" spans="1:11" x14ac:dyDescent="0.35">
      <c r="A35" s="2" t="s">
        <v>45</v>
      </c>
      <c r="B35" s="2">
        <v>245</v>
      </c>
      <c r="C35" s="2">
        <v>459</v>
      </c>
      <c r="D35" s="2">
        <v>0.34801136363636359</v>
      </c>
      <c r="E35" s="2">
        <v>0.99999999999999989</v>
      </c>
      <c r="F35" s="2">
        <v>2.9804535640973499E-16</v>
      </c>
      <c r="G35" s="2">
        <v>5.9609071281946999E-16</v>
      </c>
      <c r="H35" s="2">
        <v>0.99999999999999967</v>
      </c>
      <c r="I35" s="2">
        <v>3.648972880327134E-16</v>
      </c>
      <c r="J35" s="2">
        <v>6.6613381477509392E-16</v>
      </c>
      <c r="K35" s="2" t="s">
        <v>2</v>
      </c>
    </row>
    <row r="36" spans="1:11" x14ac:dyDescent="0.35">
      <c r="A36" s="2" t="s">
        <v>46</v>
      </c>
      <c r="B36" s="2">
        <v>336</v>
      </c>
      <c r="C36" s="2">
        <v>368</v>
      </c>
      <c r="D36" s="2">
        <v>0.47727272727272729</v>
      </c>
      <c r="E36" s="2">
        <v>0.8932160997258477</v>
      </c>
      <c r="F36" s="2">
        <v>0.12132136960569349</v>
      </c>
      <c r="G36" s="2">
        <v>0.24264273921138699</v>
      </c>
      <c r="H36" s="2">
        <v>0.88610000300588521</v>
      </c>
      <c r="I36" s="2">
        <v>0.1138999969941147</v>
      </c>
      <c r="J36" s="2">
        <v>0.22779999398822959</v>
      </c>
      <c r="K36" s="2" t="s">
        <v>12</v>
      </c>
    </row>
    <row r="37" spans="1:11" x14ac:dyDescent="0.35">
      <c r="A37" s="2" t="s">
        <v>47</v>
      </c>
      <c r="B37" s="2">
        <v>208</v>
      </c>
      <c r="C37" s="2">
        <v>496</v>
      </c>
      <c r="D37" s="2">
        <v>0.29545454545454553</v>
      </c>
      <c r="E37" s="2">
        <v>1</v>
      </c>
      <c r="F37" s="2">
        <v>2.521374157347619E-28</v>
      </c>
      <c r="G37" s="2">
        <v>5.0427483146952389E-28</v>
      </c>
      <c r="H37" s="2">
        <v>1</v>
      </c>
      <c r="I37" s="2">
        <v>9.5016663618946908E-28</v>
      </c>
      <c r="J37" s="2">
        <v>0</v>
      </c>
      <c r="K37" s="2" t="s">
        <v>2</v>
      </c>
    </row>
    <row r="38" spans="1:11" x14ac:dyDescent="0.35">
      <c r="A38" s="2" t="s">
        <v>48</v>
      </c>
      <c r="B38" s="2">
        <v>195</v>
      </c>
      <c r="C38" s="2">
        <v>509</v>
      </c>
      <c r="D38" s="2">
        <v>0.27698863636363641</v>
      </c>
      <c r="E38" s="2">
        <v>1</v>
      </c>
      <c r="F38" s="2">
        <v>1.6755297730258412E-33</v>
      </c>
      <c r="G38" s="2">
        <v>3.3510595460516823E-33</v>
      </c>
      <c r="H38" s="2">
        <v>1</v>
      </c>
      <c r="I38" s="2">
        <v>1.2971835151858049E-32</v>
      </c>
      <c r="J38" s="2">
        <v>0</v>
      </c>
      <c r="K38" s="2" t="s">
        <v>2</v>
      </c>
    </row>
    <row r="39" spans="1:11" x14ac:dyDescent="0.35">
      <c r="A39" s="2" t="s">
        <v>49</v>
      </c>
      <c r="B39" s="2">
        <v>286</v>
      </c>
      <c r="C39" s="2">
        <v>418</v>
      </c>
      <c r="D39" s="2">
        <v>0.40625</v>
      </c>
      <c r="E39" s="2">
        <v>0.99999975106193439</v>
      </c>
      <c r="F39" s="2">
        <v>3.6900608683083041E-7</v>
      </c>
      <c r="G39" s="2">
        <v>7.3801217366166082E-7</v>
      </c>
      <c r="H39" s="2">
        <v>0.99999967365599507</v>
      </c>
      <c r="I39" s="2">
        <v>3.2634400491955672E-7</v>
      </c>
      <c r="J39" s="2">
        <v>6.5268800986117981E-7</v>
      </c>
      <c r="K39" s="2" t="s">
        <v>2</v>
      </c>
    </row>
    <row r="40" spans="1:11" x14ac:dyDescent="0.35">
      <c r="A40" s="2" t="s">
        <v>50</v>
      </c>
      <c r="B40" s="2">
        <v>164</v>
      </c>
      <c r="C40" s="2">
        <v>540</v>
      </c>
      <c r="D40" s="2">
        <v>0.23295454545454539</v>
      </c>
      <c r="E40" s="2">
        <v>1</v>
      </c>
      <c r="F40" s="2">
        <v>5.5727158589487565E-48</v>
      </c>
      <c r="G40" s="2">
        <v>1.1145431717897511E-47</v>
      </c>
      <c r="H40" s="2">
        <v>1</v>
      </c>
      <c r="I40" s="2">
        <v>6.9224223716449627E-46</v>
      </c>
      <c r="J40" s="2">
        <v>0</v>
      </c>
      <c r="K40" s="2" t="s">
        <v>2</v>
      </c>
    </row>
    <row r="41" spans="1:11" x14ac:dyDescent="0.35">
      <c r="A41" s="2" t="s">
        <v>51</v>
      </c>
      <c r="B41" s="2">
        <v>165</v>
      </c>
      <c r="C41" s="2">
        <v>539</v>
      </c>
      <c r="D41" s="2">
        <v>0.234375</v>
      </c>
      <c r="E41" s="2">
        <v>1</v>
      </c>
      <c r="F41" s="2">
        <v>1.83008522618505E-47</v>
      </c>
      <c r="G41" s="2">
        <v>3.6601704523700991E-47</v>
      </c>
      <c r="H41" s="2">
        <v>1</v>
      </c>
      <c r="I41" s="2">
        <v>2.0194047971297279E-45</v>
      </c>
      <c r="J41" s="2">
        <v>0</v>
      </c>
      <c r="K41" s="2" t="s">
        <v>2</v>
      </c>
    </row>
    <row r="42" spans="1:11" x14ac:dyDescent="0.35">
      <c r="A42" s="2" t="s">
        <v>52</v>
      </c>
      <c r="B42" s="2">
        <v>247</v>
      </c>
      <c r="C42" s="2">
        <v>457</v>
      </c>
      <c r="D42" s="2">
        <v>0.35085227272727271</v>
      </c>
      <c r="E42" s="2">
        <v>0.99999999999999944</v>
      </c>
      <c r="F42" s="2">
        <v>1.045738419167208E-15</v>
      </c>
      <c r="G42" s="2">
        <v>2.0914768383344149E-15</v>
      </c>
      <c r="H42" s="2">
        <v>0.99999999999999878</v>
      </c>
      <c r="I42" s="2">
        <v>1.239520982587429E-15</v>
      </c>
      <c r="J42" s="2">
        <v>2.442490654175344E-15</v>
      </c>
      <c r="K42" s="2" t="s">
        <v>2</v>
      </c>
    </row>
    <row r="43" spans="1:11" x14ac:dyDescent="0.35">
      <c r="A43" s="2" t="s">
        <v>53</v>
      </c>
      <c r="B43" s="2">
        <v>376</v>
      </c>
      <c r="C43" s="2">
        <v>328</v>
      </c>
      <c r="D43" s="2">
        <v>0.53409090909090906</v>
      </c>
      <c r="E43" s="2">
        <v>3.8211572417738697E-2</v>
      </c>
      <c r="F43" s="2">
        <v>0.9676470434726987</v>
      </c>
      <c r="G43" s="2">
        <v>7.6423144835477408E-2</v>
      </c>
      <c r="H43" s="2">
        <v>3.5220214636044078E-2</v>
      </c>
      <c r="I43" s="2">
        <v>0.96477978536395592</v>
      </c>
      <c r="J43" s="2">
        <v>7.0440429272088156E-2</v>
      </c>
      <c r="K43" s="2" t="s">
        <v>1</v>
      </c>
    </row>
    <row r="44" spans="1:11" x14ac:dyDescent="0.35">
      <c r="A44" s="2" t="s">
        <v>54</v>
      </c>
      <c r="B44" s="2">
        <v>493</v>
      </c>
      <c r="C44" s="2">
        <v>211</v>
      </c>
      <c r="D44" s="2">
        <v>0.70028409090909094</v>
      </c>
      <c r="E44" s="2">
        <v>3.3511207137447161E-27</v>
      </c>
      <c r="F44" s="2">
        <v>1</v>
      </c>
      <c r="G44" s="2">
        <v>6.7022414274894322E-27</v>
      </c>
      <c r="H44" s="2">
        <v>0</v>
      </c>
      <c r="I44" s="2">
        <v>1</v>
      </c>
      <c r="J44" s="2">
        <v>0</v>
      </c>
      <c r="K44" s="2" t="s">
        <v>1</v>
      </c>
    </row>
    <row r="45" spans="1:11" x14ac:dyDescent="0.35">
      <c r="A45" s="2" t="s">
        <v>55</v>
      </c>
      <c r="B45" s="2">
        <v>589</v>
      </c>
      <c r="C45" s="2">
        <v>115</v>
      </c>
      <c r="D45" s="2">
        <v>0.83664772727272729</v>
      </c>
      <c r="E45" s="2">
        <v>7.7756403794340515E-78</v>
      </c>
      <c r="F45" s="2">
        <v>1</v>
      </c>
      <c r="G45" s="2">
        <v>1.5551280758868099E-77</v>
      </c>
      <c r="H45" s="2">
        <v>0</v>
      </c>
      <c r="I45" s="2">
        <v>1</v>
      </c>
      <c r="J45" s="2">
        <v>0</v>
      </c>
      <c r="K45" s="2" t="s">
        <v>1</v>
      </c>
    </row>
    <row r="46" spans="1:11" x14ac:dyDescent="0.35">
      <c r="A46" s="2" t="s">
        <v>56</v>
      </c>
      <c r="B46" s="2">
        <v>620</v>
      </c>
      <c r="C46" s="2">
        <v>84</v>
      </c>
      <c r="D46" s="2">
        <v>0.88068181818181823</v>
      </c>
      <c r="E46" s="2">
        <v>3.7378802256302499E-102</v>
      </c>
      <c r="F46" s="2">
        <v>1</v>
      </c>
      <c r="G46" s="2">
        <v>7.4757604512604998E-102</v>
      </c>
      <c r="H46" s="2">
        <v>0</v>
      </c>
      <c r="I46" s="2">
        <v>1</v>
      </c>
      <c r="J46" s="2">
        <v>0</v>
      </c>
      <c r="K46" s="2" t="s">
        <v>1</v>
      </c>
    </row>
    <row r="47" spans="1:11" x14ac:dyDescent="0.35">
      <c r="A47" s="2" t="s">
        <v>57</v>
      </c>
      <c r="B47" s="2">
        <v>702</v>
      </c>
      <c r="C47" s="2">
        <v>2</v>
      </c>
      <c r="D47" s="2">
        <v>0.99715909090909094</v>
      </c>
      <c r="E47" s="2">
        <v>2.9486049011460819E-207</v>
      </c>
      <c r="F47" s="2">
        <v>1</v>
      </c>
      <c r="G47" s="2">
        <v>5.8972098022921638E-207</v>
      </c>
      <c r="H47" s="2">
        <v>0</v>
      </c>
      <c r="I47" s="2">
        <v>1</v>
      </c>
      <c r="J47" s="2">
        <v>0</v>
      </c>
      <c r="K47" s="2" t="s">
        <v>1</v>
      </c>
    </row>
    <row r="48" spans="1:11" x14ac:dyDescent="0.35">
      <c r="A48" s="2" t="s">
        <v>58</v>
      </c>
      <c r="B48" s="2">
        <v>703</v>
      </c>
      <c r="C48" s="2">
        <v>1</v>
      </c>
      <c r="D48" s="2">
        <v>0.99857954545454541</v>
      </c>
      <c r="E48" s="2">
        <v>8.376684713988048E-210</v>
      </c>
      <c r="F48" s="2">
        <v>1</v>
      </c>
      <c r="G48" s="2">
        <v>1.6753369427976101E-209</v>
      </c>
      <c r="H48" s="2">
        <v>0</v>
      </c>
      <c r="I48" s="2">
        <v>1</v>
      </c>
      <c r="J48" s="2">
        <v>0</v>
      </c>
      <c r="K48" s="2" t="s">
        <v>1</v>
      </c>
    </row>
    <row r="49" spans="1:11" x14ac:dyDescent="0.35">
      <c r="A49" s="2" t="s">
        <v>59</v>
      </c>
      <c r="B49" s="2">
        <v>685</v>
      </c>
      <c r="C49" s="2">
        <v>19</v>
      </c>
      <c r="D49" s="2">
        <v>0.97301136363636365</v>
      </c>
      <c r="E49" s="2">
        <v>9.9867175468411924E-176</v>
      </c>
      <c r="F49" s="2">
        <v>1</v>
      </c>
      <c r="G49" s="2">
        <v>1.9973435093682379E-175</v>
      </c>
      <c r="H49" s="2">
        <v>0</v>
      </c>
      <c r="I49" s="2">
        <v>1</v>
      </c>
      <c r="J49" s="2">
        <v>0</v>
      </c>
      <c r="K49" s="2" t="s">
        <v>1</v>
      </c>
    </row>
    <row r="50" spans="1:11" x14ac:dyDescent="0.35">
      <c r="A50" s="2" t="s">
        <v>60</v>
      </c>
      <c r="B50" s="2">
        <v>701</v>
      </c>
      <c r="C50" s="2">
        <v>3</v>
      </c>
      <c r="D50" s="2">
        <v>0.99573863636363635</v>
      </c>
      <c r="E50" s="2">
        <v>6.9096200754625612E-205</v>
      </c>
      <c r="F50" s="2">
        <v>1</v>
      </c>
      <c r="G50" s="2">
        <v>1.3819240150925121E-204</v>
      </c>
      <c r="H50" s="2">
        <v>0</v>
      </c>
      <c r="I50" s="2">
        <v>1</v>
      </c>
      <c r="J50" s="2">
        <v>0</v>
      </c>
      <c r="K50" s="2" t="s">
        <v>1</v>
      </c>
    </row>
    <row r="51" spans="1:11" x14ac:dyDescent="0.35">
      <c r="A51" s="2" t="s">
        <v>61</v>
      </c>
      <c r="B51" s="2">
        <v>674</v>
      </c>
      <c r="C51" s="2">
        <v>30</v>
      </c>
      <c r="D51" s="2">
        <v>0.95738636363636365</v>
      </c>
      <c r="E51" s="2">
        <v>6.6978574091944809E-160</v>
      </c>
      <c r="F51" s="2">
        <v>1</v>
      </c>
      <c r="G51" s="2">
        <v>1.3395714818388959E-159</v>
      </c>
      <c r="H51" s="2">
        <v>0</v>
      </c>
      <c r="I51" s="2">
        <v>1</v>
      </c>
      <c r="J51" s="2">
        <v>0</v>
      </c>
      <c r="K51" s="2" t="s">
        <v>1</v>
      </c>
    </row>
    <row r="52" spans="1:11" x14ac:dyDescent="0.35">
      <c r="A52" s="2" t="s">
        <v>62</v>
      </c>
      <c r="B52" s="2">
        <v>704</v>
      </c>
      <c r="C52" s="2">
        <v>0</v>
      </c>
      <c r="D52" s="2">
        <v>1</v>
      </c>
      <c r="E52" s="2">
        <v>1.1881822289344749E-212</v>
      </c>
      <c r="F52" s="2">
        <v>1</v>
      </c>
      <c r="G52" s="2">
        <v>2.3763644578689498E-212</v>
      </c>
      <c r="H52" s="2">
        <v>0</v>
      </c>
      <c r="I52" s="2">
        <v>1</v>
      </c>
      <c r="J52" s="2">
        <v>0</v>
      </c>
      <c r="K52" s="2" t="s">
        <v>1</v>
      </c>
    </row>
    <row r="53" spans="1:11" x14ac:dyDescent="0.35">
      <c r="A53" s="2" t="s">
        <v>63</v>
      </c>
      <c r="B53" s="2">
        <v>595</v>
      </c>
      <c r="C53" s="2">
        <v>109</v>
      </c>
      <c r="D53" s="2">
        <v>0.84517045454545459</v>
      </c>
      <c r="E53" s="2">
        <v>3.5877207661542398E-82</v>
      </c>
      <c r="F53" s="2">
        <v>1</v>
      </c>
      <c r="G53" s="2">
        <v>7.1754415323084808E-82</v>
      </c>
      <c r="H53" s="2">
        <v>0</v>
      </c>
      <c r="I53" s="2">
        <v>1</v>
      </c>
      <c r="J53" s="2">
        <v>0</v>
      </c>
      <c r="K53" s="2" t="s">
        <v>1</v>
      </c>
    </row>
    <row r="54" spans="1:11" x14ac:dyDescent="0.35">
      <c r="A54" s="2" t="s">
        <v>64</v>
      </c>
      <c r="B54" s="2">
        <v>704</v>
      </c>
      <c r="C54" s="2">
        <v>0</v>
      </c>
      <c r="D54" s="2">
        <v>1</v>
      </c>
      <c r="E54" s="2">
        <v>1.1881822289344749E-212</v>
      </c>
      <c r="F54" s="2">
        <v>1</v>
      </c>
      <c r="G54" s="2">
        <v>2.3763644578689498E-212</v>
      </c>
      <c r="H54" s="2">
        <v>0</v>
      </c>
      <c r="I54" s="2">
        <v>1</v>
      </c>
      <c r="J54" s="2">
        <v>0</v>
      </c>
      <c r="K54" s="2" t="s">
        <v>1</v>
      </c>
    </row>
    <row r="55" spans="1:11" x14ac:dyDescent="0.35">
      <c r="A55" s="2" t="s">
        <v>65</v>
      </c>
      <c r="B55" s="2">
        <v>704</v>
      </c>
      <c r="C55" s="2">
        <v>0</v>
      </c>
      <c r="D55" s="2">
        <v>1</v>
      </c>
      <c r="E55" s="2">
        <v>1.1881822289344749E-212</v>
      </c>
      <c r="F55" s="2">
        <v>1</v>
      </c>
      <c r="G55" s="2">
        <v>2.3763644578689498E-212</v>
      </c>
      <c r="H55" s="2">
        <v>0</v>
      </c>
      <c r="I55" s="2">
        <v>1</v>
      </c>
      <c r="J55" s="2">
        <v>0</v>
      </c>
      <c r="K55" s="2" t="s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5"/>
  <sheetViews>
    <sheetView workbookViewId="0"/>
  </sheetViews>
  <sheetFormatPr defaultRowHeight="14.5" x14ac:dyDescent="0.35"/>
  <cols>
    <col min="1" max="1" width="23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349</v>
      </c>
      <c r="C2" s="2">
        <v>355</v>
      </c>
      <c r="D2" s="2">
        <v>0.49573863636363641</v>
      </c>
      <c r="E2" s="2">
        <v>0.60403040402144836</v>
      </c>
      <c r="F2" s="2">
        <v>0.42527252356759487</v>
      </c>
      <c r="G2" s="2">
        <v>0.85054504713518975</v>
      </c>
      <c r="H2" s="2">
        <v>0.58945120822402042</v>
      </c>
      <c r="I2" s="2">
        <v>0.41054879177597953</v>
      </c>
      <c r="J2" s="2">
        <v>0.82109758355195916</v>
      </c>
      <c r="K2" s="2" t="s">
        <v>12</v>
      </c>
    </row>
    <row r="3" spans="1:11" x14ac:dyDescent="0.35">
      <c r="A3" s="2" t="s">
        <v>13</v>
      </c>
      <c r="B3" s="2">
        <v>383</v>
      </c>
      <c r="C3" s="2">
        <v>321</v>
      </c>
      <c r="D3" s="2">
        <v>0.54403409090909094</v>
      </c>
      <c r="E3" s="2">
        <v>1.07186411397128E-2</v>
      </c>
      <c r="F3" s="2">
        <v>0.99124236032330704</v>
      </c>
      <c r="G3" s="2">
        <v>2.143728227942561E-2</v>
      </c>
      <c r="H3" s="2">
        <v>9.727058132618871E-3</v>
      </c>
      <c r="I3" s="2">
        <v>0.99027294186738113</v>
      </c>
      <c r="J3" s="2">
        <v>1.9454116265237738E-2</v>
      </c>
      <c r="K3" s="2" t="s">
        <v>1</v>
      </c>
    </row>
    <row r="4" spans="1:11" x14ac:dyDescent="0.35">
      <c r="A4" s="2" t="s">
        <v>14</v>
      </c>
      <c r="B4" s="2">
        <v>338</v>
      </c>
      <c r="C4" s="2">
        <v>366</v>
      </c>
      <c r="D4" s="2">
        <v>0.48011363636363641</v>
      </c>
      <c r="E4" s="2">
        <v>0.86280388643582817</v>
      </c>
      <c r="F4" s="2">
        <v>0.15443289176760841</v>
      </c>
      <c r="G4" s="2">
        <v>0.30886578353521688</v>
      </c>
      <c r="H4" s="2">
        <v>0.85435357619109364</v>
      </c>
      <c r="I4" s="2">
        <v>0.1456464238089063</v>
      </c>
      <c r="J4" s="2">
        <v>0.29129284761781271</v>
      </c>
      <c r="K4" s="2" t="s">
        <v>12</v>
      </c>
    </row>
    <row r="5" spans="1:11" x14ac:dyDescent="0.35">
      <c r="A5" s="2" t="s">
        <v>15</v>
      </c>
      <c r="B5" s="2">
        <v>401</v>
      </c>
      <c r="C5" s="2">
        <v>303</v>
      </c>
      <c r="D5" s="2">
        <v>0.56960227272727271</v>
      </c>
      <c r="E5" s="2">
        <v>1.2551204111500489E-4</v>
      </c>
      <c r="F5" s="2">
        <v>0.99990686743660029</v>
      </c>
      <c r="G5" s="2">
        <v>2.5102408223000972E-4</v>
      </c>
      <c r="H5" s="2">
        <v>1.105881762928362E-4</v>
      </c>
      <c r="I5" s="2">
        <v>0.99988941182370716</v>
      </c>
      <c r="J5" s="2">
        <v>2.211763525856725E-4</v>
      </c>
      <c r="K5" s="2" t="s">
        <v>1</v>
      </c>
    </row>
    <row r="6" spans="1:11" x14ac:dyDescent="0.35">
      <c r="A6" s="2" t="s">
        <v>16</v>
      </c>
      <c r="B6" s="2">
        <v>432</v>
      </c>
      <c r="C6" s="2">
        <v>272</v>
      </c>
      <c r="D6" s="2">
        <v>0.61363636363636365</v>
      </c>
      <c r="E6" s="2">
        <v>8.8418329764702732E-10</v>
      </c>
      <c r="F6" s="2">
        <v>0.99999999944987261</v>
      </c>
      <c r="G6" s="2">
        <v>1.7683665952940551E-9</v>
      </c>
      <c r="H6" s="2">
        <v>8.1864826029232063E-10</v>
      </c>
      <c r="I6" s="2">
        <v>0.99999999918135174</v>
      </c>
      <c r="J6" s="2">
        <v>1.6372965205846411E-9</v>
      </c>
      <c r="K6" s="2" t="s">
        <v>1</v>
      </c>
    </row>
    <row r="7" spans="1:11" x14ac:dyDescent="0.35">
      <c r="A7" s="2" t="s">
        <v>17</v>
      </c>
      <c r="B7" s="2">
        <v>378</v>
      </c>
      <c r="C7" s="2">
        <v>326</v>
      </c>
      <c r="D7" s="2">
        <v>0.53693181818181823</v>
      </c>
      <c r="E7" s="2">
        <v>2.7255805301668649E-2</v>
      </c>
      <c r="F7" s="2">
        <v>0.97715363504431529</v>
      </c>
      <c r="G7" s="2">
        <v>5.4511610603337292E-2</v>
      </c>
      <c r="H7" s="2">
        <v>2.5008197742822699E-2</v>
      </c>
      <c r="I7" s="2">
        <v>0.9749918022571773</v>
      </c>
      <c r="J7" s="2">
        <v>5.0016395485645397E-2</v>
      </c>
      <c r="K7" s="2" t="s">
        <v>1</v>
      </c>
    </row>
    <row r="8" spans="1:11" x14ac:dyDescent="0.35">
      <c r="A8" s="2" t="s">
        <v>18</v>
      </c>
      <c r="B8" s="2">
        <v>326</v>
      </c>
      <c r="C8" s="2">
        <v>378</v>
      </c>
      <c r="D8" s="2">
        <v>0.46306818181818182</v>
      </c>
      <c r="E8" s="2">
        <v>0.97715363504431529</v>
      </c>
      <c r="F8" s="2">
        <v>2.7255805301668649E-2</v>
      </c>
      <c r="G8" s="2">
        <v>5.4511610603337292E-2</v>
      </c>
      <c r="H8" s="2">
        <v>0.97499180225717708</v>
      </c>
      <c r="I8" s="2">
        <v>2.5008197742822879E-2</v>
      </c>
      <c r="J8" s="2">
        <v>5.0016395485645848E-2</v>
      </c>
      <c r="K8" s="2" t="s">
        <v>2</v>
      </c>
    </row>
    <row r="9" spans="1:11" x14ac:dyDescent="0.35">
      <c r="A9" s="2" t="s">
        <v>19</v>
      </c>
      <c r="B9" s="2">
        <v>342</v>
      </c>
      <c r="C9" s="2">
        <v>362</v>
      </c>
      <c r="D9" s="2">
        <v>0.48579545454545447</v>
      </c>
      <c r="E9" s="2">
        <v>0.78565405479424744</v>
      </c>
      <c r="F9" s="2">
        <v>0.23698086456375611</v>
      </c>
      <c r="G9" s="2">
        <v>0.47396172912751222</v>
      </c>
      <c r="H9" s="2">
        <v>0.77450884036555889</v>
      </c>
      <c r="I9" s="2">
        <v>0.22549115963444111</v>
      </c>
      <c r="J9" s="2">
        <v>0.45098231926888221</v>
      </c>
      <c r="K9" s="2" t="s">
        <v>12</v>
      </c>
    </row>
    <row r="10" spans="1:11" x14ac:dyDescent="0.35">
      <c r="A10" s="2" t="s">
        <v>20</v>
      </c>
      <c r="B10" s="2">
        <v>343</v>
      </c>
      <c r="C10" s="2">
        <v>361</v>
      </c>
      <c r="D10" s="2">
        <v>0.48721590909090912</v>
      </c>
      <c r="E10" s="2">
        <v>0.76301913543624389</v>
      </c>
      <c r="F10" s="2">
        <v>0.26086961327395092</v>
      </c>
      <c r="G10" s="2">
        <v>0.52173922654790184</v>
      </c>
      <c r="H10" s="2">
        <v>0.7512411119350052</v>
      </c>
      <c r="I10" s="2">
        <v>0.2487588880649948</v>
      </c>
      <c r="J10" s="2">
        <v>0.4975177761299896</v>
      </c>
      <c r="K10" s="2" t="s">
        <v>12</v>
      </c>
    </row>
    <row r="11" spans="1:11" x14ac:dyDescent="0.35">
      <c r="A11" s="2" t="s">
        <v>21</v>
      </c>
      <c r="B11" s="2">
        <v>280</v>
      </c>
      <c r="C11" s="2">
        <v>424</v>
      </c>
      <c r="D11" s="2">
        <v>0.39772727272727271</v>
      </c>
      <c r="E11" s="2">
        <v>0.99999997919254269</v>
      </c>
      <c r="F11" s="2">
        <v>3.1923094571434119E-8</v>
      </c>
      <c r="G11" s="2">
        <v>6.3846189142868239E-8</v>
      </c>
      <c r="H11" s="2">
        <v>0.99999997137818786</v>
      </c>
      <c r="I11" s="2">
        <v>2.8621812133695279E-8</v>
      </c>
      <c r="J11" s="2">
        <v>5.7243624285163719E-8</v>
      </c>
      <c r="K11" s="2" t="s">
        <v>2</v>
      </c>
    </row>
    <row r="12" spans="1:11" x14ac:dyDescent="0.35">
      <c r="A12" s="2" t="s">
        <v>22</v>
      </c>
      <c r="B12" s="2">
        <v>415</v>
      </c>
      <c r="C12" s="2">
        <v>289</v>
      </c>
      <c r="D12" s="2">
        <v>0.58948863636363635</v>
      </c>
      <c r="E12" s="2">
        <v>1.161548776651688E-6</v>
      </c>
      <c r="F12" s="2">
        <v>0.99999920292038957</v>
      </c>
      <c r="G12" s="2">
        <v>2.323097553303376E-6</v>
      </c>
      <c r="H12" s="2">
        <v>1.023117284004726E-6</v>
      </c>
      <c r="I12" s="2">
        <v>0.999998976882716</v>
      </c>
      <c r="J12" s="2">
        <v>2.0462345680094529E-6</v>
      </c>
      <c r="K12" s="2" t="s">
        <v>1</v>
      </c>
    </row>
    <row r="13" spans="1:11" x14ac:dyDescent="0.35">
      <c r="A13" s="2" t="s">
        <v>23</v>
      </c>
      <c r="B13" s="2">
        <v>553</v>
      </c>
      <c r="C13" s="2">
        <v>151</v>
      </c>
      <c r="D13" s="2">
        <v>0.78551136363636365</v>
      </c>
      <c r="E13" s="2">
        <v>5.1856979116479421E-55</v>
      </c>
      <c r="F13" s="2">
        <v>1</v>
      </c>
      <c r="G13" s="2">
        <v>1.037139582329588E-54</v>
      </c>
      <c r="H13" s="2">
        <v>0</v>
      </c>
      <c r="I13" s="2">
        <v>1</v>
      </c>
      <c r="J13" s="2">
        <v>0</v>
      </c>
      <c r="K13" s="2" t="s">
        <v>1</v>
      </c>
    </row>
    <row r="14" spans="1:11" x14ac:dyDescent="0.35">
      <c r="A14" s="2" t="s">
        <v>24</v>
      </c>
      <c r="B14" s="2">
        <v>389</v>
      </c>
      <c r="C14" s="2">
        <v>315</v>
      </c>
      <c r="D14" s="2">
        <v>0.55255681818181823</v>
      </c>
      <c r="E14" s="2">
        <v>2.9486412910011898E-3</v>
      </c>
      <c r="F14" s="2">
        <v>0.99766543951883324</v>
      </c>
      <c r="G14" s="2">
        <v>5.8972825820023797E-3</v>
      </c>
      <c r="H14" s="2">
        <v>2.6437170183449821E-3</v>
      </c>
      <c r="I14" s="2">
        <v>0.99735628298165502</v>
      </c>
      <c r="J14" s="2">
        <v>5.2874340366899641E-3</v>
      </c>
      <c r="K14" s="2" t="s">
        <v>1</v>
      </c>
    </row>
    <row r="15" spans="1:11" x14ac:dyDescent="0.35">
      <c r="A15" s="2" t="s">
        <v>25</v>
      </c>
      <c r="B15" s="2">
        <v>521</v>
      </c>
      <c r="C15" s="2">
        <v>183</v>
      </c>
      <c r="D15" s="2">
        <v>0.74005681818181823</v>
      </c>
      <c r="E15" s="2">
        <v>9.692158585558598E-39</v>
      </c>
      <c r="F15" s="2">
        <v>1</v>
      </c>
      <c r="G15" s="2">
        <v>1.9384317171117201E-38</v>
      </c>
      <c r="H15" s="2">
        <v>0</v>
      </c>
      <c r="I15" s="2">
        <v>1</v>
      </c>
      <c r="J15" s="2">
        <v>0</v>
      </c>
      <c r="K15" s="2" t="s">
        <v>1</v>
      </c>
    </row>
    <row r="16" spans="1:11" x14ac:dyDescent="0.35">
      <c r="A16" s="2" t="s">
        <v>26</v>
      </c>
      <c r="B16" s="2">
        <v>516</v>
      </c>
      <c r="C16" s="2">
        <v>188</v>
      </c>
      <c r="D16" s="2">
        <v>0.73295454545454541</v>
      </c>
      <c r="E16" s="2">
        <v>1.672935226012477E-36</v>
      </c>
      <c r="F16" s="2">
        <v>1</v>
      </c>
      <c r="G16" s="2">
        <v>3.3458704520249527E-36</v>
      </c>
      <c r="H16" s="2">
        <v>0</v>
      </c>
      <c r="I16" s="2">
        <v>1</v>
      </c>
      <c r="J16" s="2">
        <v>0</v>
      </c>
      <c r="K16" s="2" t="s">
        <v>1</v>
      </c>
    </row>
    <row r="17" spans="1:11" x14ac:dyDescent="0.35">
      <c r="A17" s="2" t="s">
        <v>27</v>
      </c>
      <c r="B17" s="2">
        <v>466</v>
      </c>
      <c r="C17" s="2">
        <v>238</v>
      </c>
      <c r="D17" s="2">
        <v>0.66193181818181823</v>
      </c>
      <c r="E17" s="2">
        <v>3.0305948869746912E-18</v>
      </c>
      <c r="F17" s="2">
        <v>1</v>
      </c>
      <c r="G17" s="2">
        <v>6.0611897739493824E-18</v>
      </c>
      <c r="H17" s="2">
        <v>0</v>
      </c>
      <c r="I17" s="2">
        <v>1</v>
      </c>
      <c r="J17" s="2">
        <v>0</v>
      </c>
      <c r="K17" s="2" t="s">
        <v>1</v>
      </c>
    </row>
    <row r="18" spans="1:11" x14ac:dyDescent="0.35">
      <c r="A18" s="2" t="s">
        <v>28</v>
      </c>
      <c r="B18" s="2">
        <v>419</v>
      </c>
      <c r="C18" s="2">
        <v>285</v>
      </c>
      <c r="D18" s="2">
        <v>0.59517045454545459</v>
      </c>
      <c r="E18" s="2">
        <v>2.4893806564397472E-7</v>
      </c>
      <c r="F18" s="2">
        <v>0.99999983301767192</v>
      </c>
      <c r="G18" s="2">
        <v>4.9787613128794933E-7</v>
      </c>
      <c r="H18" s="2">
        <v>2.205410271072239E-7</v>
      </c>
      <c r="I18" s="2">
        <v>0.99999977945897289</v>
      </c>
      <c r="J18" s="2">
        <v>4.4108205421444779E-7</v>
      </c>
      <c r="K18" s="2" t="s">
        <v>1</v>
      </c>
    </row>
    <row r="19" spans="1:11" x14ac:dyDescent="0.35">
      <c r="A19" s="2" t="s">
        <v>29</v>
      </c>
      <c r="B19" s="2">
        <v>378</v>
      </c>
      <c r="C19" s="2">
        <v>326</v>
      </c>
      <c r="D19" s="2">
        <v>0.53693181818181823</v>
      </c>
      <c r="E19" s="2">
        <v>2.7255805301668649E-2</v>
      </c>
      <c r="F19" s="2">
        <v>0.97715363504431529</v>
      </c>
      <c r="G19" s="2">
        <v>5.4511610603337292E-2</v>
      </c>
      <c r="H19" s="2">
        <v>2.5008197742822699E-2</v>
      </c>
      <c r="I19" s="2">
        <v>0.9749918022571773</v>
      </c>
      <c r="J19" s="2">
        <v>5.0016395485645397E-2</v>
      </c>
      <c r="K19" s="2" t="s">
        <v>1</v>
      </c>
    </row>
    <row r="20" spans="1:11" x14ac:dyDescent="0.35">
      <c r="A20" s="2" t="s">
        <v>30</v>
      </c>
      <c r="B20" s="2">
        <v>348</v>
      </c>
      <c r="C20" s="2">
        <v>356</v>
      </c>
      <c r="D20" s="2">
        <v>0.49431818181818182</v>
      </c>
      <c r="E20" s="2">
        <v>0.63275715045003333</v>
      </c>
      <c r="F20" s="2">
        <v>0.39596959597855169</v>
      </c>
      <c r="G20" s="2">
        <v>0.79193919195710338</v>
      </c>
      <c r="H20" s="2">
        <v>0.61848769972350237</v>
      </c>
      <c r="I20" s="2">
        <v>0.38151230027649757</v>
      </c>
      <c r="J20" s="2">
        <v>0.76302460055299526</v>
      </c>
      <c r="K20" s="2" t="s">
        <v>12</v>
      </c>
    </row>
    <row r="21" spans="1:11" x14ac:dyDescent="0.35">
      <c r="A21" s="2" t="s">
        <v>31</v>
      </c>
      <c r="B21" s="2">
        <v>355</v>
      </c>
      <c r="C21" s="2">
        <v>349</v>
      </c>
      <c r="D21" s="2">
        <v>0.50426136363636365</v>
      </c>
      <c r="E21" s="2">
        <v>0.42527252356759487</v>
      </c>
      <c r="F21" s="2">
        <v>0.60403040402144836</v>
      </c>
      <c r="G21" s="2">
        <v>0.85054504713518975</v>
      </c>
      <c r="H21" s="2">
        <v>0.41054879177597958</v>
      </c>
      <c r="I21" s="2">
        <v>0.58945120822402042</v>
      </c>
      <c r="J21" s="2">
        <v>0.82109758355195916</v>
      </c>
      <c r="K21" s="2" t="s">
        <v>12</v>
      </c>
    </row>
    <row r="22" spans="1:11" x14ac:dyDescent="0.35">
      <c r="A22" s="2" t="s">
        <v>32</v>
      </c>
      <c r="B22" s="2">
        <v>387</v>
      </c>
      <c r="C22" s="2">
        <v>317</v>
      </c>
      <c r="D22" s="2">
        <v>0.54971590909090906</v>
      </c>
      <c r="E22" s="2">
        <v>4.6298355537997774E-3</v>
      </c>
      <c r="F22" s="2">
        <v>0.99629541745891781</v>
      </c>
      <c r="G22" s="2">
        <v>9.2596711075995548E-3</v>
      </c>
      <c r="H22" s="2">
        <v>4.1670722889086687E-3</v>
      </c>
      <c r="I22" s="2">
        <v>0.99583292771109133</v>
      </c>
      <c r="J22" s="2">
        <v>8.3341445778173373E-3</v>
      </c>
      <c r="K22" s="2" t="s">
        <v>1</v>
      </c>
    </row>
    <row r="23" spans="1:11" x14ac:dyDescent="0.35">
      <c r="A23" s="2" t="s">
        <v>33</v>
      </c>
      <c r="B23" s="2">
        <v>448</v>
      </c>
      <c r="C23" s="2">
        <v>256</v>
      </c>
      <c r="D23" s="2">
        <v>0.63636363636363635</v>
      </c>
      <c r="E23" s="2">
        <v>2.1930268365218381E-13</v>
      </c>
      <c r="F23" s="2">
        <v>0.99999999999987599</v>
      </c>
      <c r="G23" s="2">
        <v>4.3860536730436762E-13</v>
      </c>
      <c r="H23" s="2">
        <v>2.3059332221464501E-13</v>
      </c>
      <c r="I23" s="2">
        <v>0.99999999999976941</v>
      </c>
      <c r="J23" s="2">
        <v>4.6118664442929003E-13</v>
      </c>
      <c r="K23" s="2" t="s">
        <v>1</v>
      </c>
    </row>
    <row r="24" spans="1:11" x14ac:dyDescent="0.35">
      <c r="A24" s="2" t="s">
        <v>34</v>
      </c>
      <c r="B24" s="2">
        <v>414</v>
      </c>
      <c r="C24" s="2">
        <v>290</v>
      </c>
      <c r="D24" s="2">
        <v>0.58806818181818177</v>
      </c>
      <c r="E24" s="2">
        <v>2.425141220284132E-6</v>
      </c>
      <c r="F24" s="2">
        <v>0.99999831688327856</v>
      </c>
      <c r="G24" s="2">
        <v>4.8502824405682632E-6</v>
      </c>
      <c r="H24" s="2">
        <v>1.4810834696454829E-6</v>
      </c>
      <c r="I24" s="2">
        <v>0.99999851891653035</v>
      </c>
      <c r="J24" s="2">
        <v>2.9621669392909671E-6</v>
      </c>
      <c r="K24" s="2" t="s">
        <v>1</v>
      </c>
    </row>
    <row r="25" spans="1:11" x14ac:dyDescent="0.35">
      <c r="A25" s="2" t="s">
        <v>35</v>
      </c>
      <c r="B25" s="2">
        <v>425</v>
      </c>
      <c r="C25" s="2">
        <v>279</v>
      </c>
      <c r="D25" s="2">
        <v>0.60369318181818177</v>
      </c>
      <c r="E25" s="2">
        <v>3.1923094571434119E-8</v>
      </c>
      <c r="F25" s="2">
        <v>0.99999997919254269</v>
      </c>
      <c r="G25" s="2">
        <v>6.3846189142868239E-8</v>
      </c>
      <c r="H25" s="2">
        <v>1.87134486795415E-8</v>
      </c>
      <c r="I25" s="2">
        <v>0.99999998128655132</v>
      </c>
      <c r="J25" s="2">
        <v>3.7426897359083E-8</v>
      </c>
      <c r="K25" s="2" t="s">
        <v>1</v>
      </c>
    </row>
    <row r="26" spans="1:11" x14ac:dyDescent="0.35">
      <c r="A26" s="2" t="s">
        <v>36</v>
      </c>
      <c r="B26" s="2">
        <v>469</v>
      </c>
      <c r="C26" s="2">
        <v>235</v>
      </c>
      <c r="D26" s="2">
        <v>0.66619318181818177</v>
      </c>
      <c r="E26" s="2">
        <v>7.7224614927399764E-19</v>
      </c>
      <c r="F26" s="2">
        <v>1</v>
      </c>
      <c r="G26" s="2">
        <v>1.5444922985479951E-18</v>
      </c>
      <c r="H26" s="2">
        <v>0</v>
      </c>
      <c r="I26" s="2">
        <v>1</v>
      </c>
      <c r="J26" s="2">
        <v>0</v>
      </c>
      <c r="K26" s="2" t="s">
        <v>1</v>
      </c>
    </row>
    <row r="27" spans="1:11" x14ac:dyDescent="0.35">
      <c r="A27" s="2" t="s">
        <v>37</v>
      </c>
      <c r="B27" s="2">
        <v>530</v>
      </c>
      <c r="C27" s="2">
        <v>174</v>
      </c>
      <c r="D27" s="2">
        <v>0.75284090909090906</v>
      </c>
      <c r="E27" s="2">
        <v>5.727499916965907E-43</v>
      </c>
      <c r="F27" s="2">
        <v>1</v>
      </c>
      <c r="G27" s="2">
        <v>1.1454999833931809E-42</v>
      </c>
      <c r="H27" s="2">
        <v>0</v>
      </c>
      <c r="I27" s="2">
        <v>1</v>
      </c>
      <c r="J27" s="2">
        <v>0</v>
      </c>
      <c r="K27" s="2" t="s">
        <v>1</v>
      </c>
    </row>
    <row r="28" spans="1:11" x14ac:dyDescent="0.35">
      <c r="A28" s="2" t="s">
        <v>38</v>
      </c>
      <c r="B28" s="2">
        <v>548</v>
      </c>
      <c r="C28" s="2">
        <v>156</v>
      </c>
      <c r="D28" s="2">
        <v>0.77840909090909094</v>
      </c>
      <c r="E28" s="2">
        <v>3.0901002623633379E-52</v>
      </c>
      <c r="F28" s="2">
        <v>1</v>
      </c>
      <c r="G28" s="2">
        <v>6.1802005247266759E-52</v>
      </c>
      <c r="H28" s="2">
        <v>0</v>
      </c>
      <c r="I28" s="2">
        <v>1</v>
      </c>
      <c r="J28" s="2">
        <v>0</v>
      </c>
      <c r="K28" s="2" t="s">
        <v>1</v>
      </c>
    </row>
    <row r="29" spans="1:11" x14ac:dyDescent="0.35">
      <c r="A29" s="2" t="s">
        <v>39</v>
      </c>
      <c r="B29" s="2">
        <v>495</v>
      </c>
      <c r="C29" s="2">
        <v>209</v>
      </c>
      <c r="D29" s="2">
        <v>0.703125</v>
      </c>
      <c r="E29" s="2">
        <v>6.0128866720584896E-28</v>
      </c>
      <c r="F29" s="2">
        <v>1</v>
      </c>
      <c r="G29" s="2">
        <v>1.2025773344116979E-27</v>
      </c>
      <c r="H29" s="2">
        <v>0</v>
      </c>
      <c r="I29" s="2">
        <v>1</v>
      </c>
      <c r="J29" s="2">
        <v>0</v>
      </c>
      <c r="K29" s="2" t="s">
        <v>1</v>
      </c>
    </row>
    <row r="30" spans="1:11" x14ac:dyDescent="0.35">
      <c r="A30" s="2" t="s">
        <v>40</v>
      </c>
      <c r="B30" s="2">
        <v>532</v>
      </c>
      <c r="C30" s="2">
        <v>172</v>
      </c>
      <c r="D30" s="2">
        <v>0.75568181818181823</v>
      </c>
      <c r="E30" s="2">
        <v>6.0586569339323469E-44</v>
      </c>
      <c r="F30" s="2">
        <v>1</v>
      </c>
      <c r="G30" s="2">
        <v>1.211731386786469E-43</v>
      </c>
      <c r="H30" s="2">
        <v>0</v>
      </c>
      <c r="I30" s="2">
        <v>1</v>
      </c>
      <c r="J30" s="2">
        <v>0</v>
      </c>
      <c r="K30" s="2" t="s">
        <v>1</v>
      </c>
    </row>
    <row r="31" spans="1:11" x14ac:dyDescent="0.35">
      <c r="A31" s="2" t="s">
        <v>41</v>
      </c>
      <c r="B31" s="2">
        <v>144</v>
      </c>
      <c r="C31" s="2">
        <v>560</v>
      </c>
      <c r="D31" s="2">
        <v>0.20454545454545461</v>
      </c>
      <c r="E31" s="2">
        <v>1</v>
      </c>
      <c r="F31" s="2">
        <v>4.7432684194368774E-59</v>
      </c>
      <c r="G31" s="2">
        <v>9.4865368388737547E-59</v>
      </c>
      <c r="H31" s="2">
        <v>1</v>
      </c>
      <c r="I31" s="2">
        <v>1.0595317956978339E-55</v>
      </c>
      <c r="J31" s="2">
        <v>0</v>
      </c>
      <c r="K31" s="2" t="s">
        <v>2</v>
      </c>
    </row>
    <row r="32" spans="1:11" x14ac:dyDescent="0.35">
      <c r="A32" s="2" t="s">
        <v>42</v>
      </c>
      <c r="B32" s="2">
        <v>162</v>
      </c>
      <c r="C32" s="2">
        <v>542</v>
      </c>
      <c r="D32" s="2">
        <v>0.23011363636363641</v>
      </c>
      <c r="E32" s="2">
        <v>1</v>
      </c>
      <c r="F32" s="2">
        <v>5.0459623456448502E-49</v>
      </c>
      <c r="G32" s="2">
        <v>1.00919246912897E-48</v>
      </c>
      <c r="H32" s="2">
        <v>1</v>
      </c>
      <c r="I32" s="2">
        <v>7.9976142288709913E-47</v>
      </c>
      <c r="J32" s="2">
        <v>0</v>
      </c>
      <c r="K32" s="2" t="s">
        <v>2</v>
      </c>
    </row>
    <row r="33" spans="1:11" x14ac:dyDescent="0.35">
      <c r="A33" s="2" t="s">
        <v>43</v>
      </c>
      <c r="B33" s="2">
        <v>201</v>
      </c>
      <c r="C33" s="2">
        <v>503</v>
      </c>
      <c r="D33" s="2">
        <v>0.28551136363636359</v>
      </c>
      <c r="E33" s="2">
        <v>1</v>
      </c>
      <c r="F33" s="2">
        <v>4.7504017313034421E-31</v>
      </c>
      <c r="G33" s="2">
        <v>9.5008034626068843E-31</v>
      </c>
      <c r="H33" s="2">
        <v>1</v>
      </c>
      <c r="I33" s="2">
        <v>2.5687845571579409E-30</v>
      </c>
      <c r="J33" s="2">
        <v>0</v>
      </c>
      <c r="K33" s="2" t="s">
        <v>2</v>
      </c>
    </row>
    <row r="34" spans="1:11" x14ac:dyDescent="0.35">
      <c r="A34" s="2" t="s">
        <v>44</v>
      </c>
      <c r="B34" s="2">
        <v>259</v>
      </c>
      <c r="C34" s="2">
        <v>445</v>
      </c>
      <c r="D34" s="2">
        <v>0.36789772727272729</v>
      </c>
      <c r="E34" s="2">
        <v>0.99999999999932698</v>
      </c>
      <c r="F34" s="2">
        <v>1.168289654423001E-12</v>
      </c>
      <c r="G34" s="2">
        <v>2.3365793088460009E-12</v>
      </c>
      <c r="H34" s="2">
        <v>0.99999999999880962</v>
      </c>
      <c r="I34" s="2">
        <v>1.1904094046586059E-12</v>
      </c>
      <c r="J34" s="2">
        <v>2.3807622540061861E-12</v>
      </c>
      <c r="K34" s="2" t="s">
        <v>2</v>
      </c>
    </row>
    <row r="35" spans="1:11" x14ac:dyDescent="0.35">
      <c r="A35" s="2" t="s">
        <v>45</v>
      </c>
      <c r="B35" s="2">
        <v>272</v>
      </c>
      <c r="C35" s="2">
        <v>432</v>
      </c>
      <c r="D35" s="2">
        <v>0.38636363636363641</v>
      </c>
      <c r="E35" s="2">
        <v>0.99999999944987261</v>
      </c>
      <c r="F35" s="2">
        <v>8.8418329764702732E-10</v>
      </c>
      <c r="G35" s="2">
        <v>1.7683665952940551E-9</v>
      </c>
      <c r="H35" s="2">
        <v>0.99999999918135174</v>
      </c>
      <c r="I35" s="2">
        <v>8.1864822514841845E-10</v>
      </c>
      <c r="J35" s="2">
        <v>1.6372965205846411E-9</v>
      </c>
      <c r="K35" s="2" t="s">
        <v>2</v>
      </c>
    </row>
    <row r="36" spans="1:11" x14ac:dyDescent="0.35">
      <c r="A36" s="2" t="s">
        <v>46</v>
      </c>
      <c r="B36" s="2">
        <v>236</v>
      </c>
      <c r="C36" s="2">
        <v>468</v>
      </c>
      <c r="D36" s="2">
        <v>0.33522727272727271</v>
      </c>
      <c r="E36" s="2">
        <v>1</v>
      </c>
      <c r="F36" s="2">
        <v>7.7224614927399764E-19</v>
      </c>
      <c r="G36" s="2">
        <v>1.5444922985479951E-18</v>
      </c>
      <c r="H36" s="2">
        <v>1</v>
      </c>
      <c r="I36" s="2">
        <v>1.126702200502399E-18</v>
      </c>
      <c r="J36" s="2">
        <v>0</v>
      </c>
      <c r="K36" s="2" t="s">
        <v>2</v>
      </c>
    </row>
    <row r="37" spans="1:11" x14ac:dyDescent="0.35">
      <c r="A37" s="2" t="s">
        <v>47</v>
      </c>
      <c r="B37" s="2">
        <v>339</v>
      </c>
      <c r="C37" s="2">
        <v>365</v>
      </c>
      <c r="D37" s="2">
        <v>0.48153409090909088</v>
      </c>
      <c r="E37" s="2">
        <v>0.84556710823239156</v>
      </c>
      <c r="F37" s="2">
        <v>0.17304251071291021</v>
      </c>
      <c r="G37" s="2">
        <v>0.34608502142582048</v>
      </c>
      <c r="H37" s="2">
        <v>0.83643518838242337</v>
      </c>
      <c r="I37" s="2">
        <v>0.16356481161757661</v>
      </c>
      <c r="J37" s="2">
        <v>0.32712962323515332</v>
      </c>
      <c r="K37" s="2" t="s">
        <v>12</v>
      </c>
    </row>
    <row r="38" spans="1:11" x14ac:dyDescent="0.35">
      <c r="A38" s="2" t="s">
        <v>48</v>
      </c>
      <c r="B38" s="2">
        <v>233</v>
      </c>
      <c r="C38" s="2">
        <v>471</v>
      </c>
      <c r="D38" s="2">
        <v>0.33096590909090912</v>
      </c>
      <c r="E38" s="2">
        <v>1</v>
      </c>
      <c r="F38" s="2">
        <v>9.4747657568744627E-20</v>
      </c>
      <c r="G38" s="2">
        <v>1.894953151374893E-19</v>
      </c>
      <c r="H38" s="2">
        <v>1</v>
      </c>
      <c r="I38" s="2">
        <v>1.4830770024941601E-19</v>
      </c>
      <c r="J38" s="2">
        <v>0</v>
      </c>
      <c r="K38" s="2" t="s">
        <v>2</v>
      </c>
    </row>
    <row r="39" spans="1:11" x14ac:dyDescent="0.35">
      <c r="A39" s="2" t="s">
        <v>49</v>
      </c>
      <c r="B39" s="2">
        <v>280</v>
      </c>
      <c r="C39" s="2">
        <v>424</v>
      </c>
      <c r="D39" s="2">
        <v>0.39772727272727271</v>
      </c>
      <c r="E39" s="2">
        <v>0.99999997919254269</v>
      </c>
      <c r="F39" s="2">
        <v>3.1923094571434119E-8</v>
      </c>
      <c r="G39" s="2">
        <v>6.3846189142868239E-8</v>
      </c>
      <c r="H39" s="2">
        <v>0.99999997137818786</v>
      </c>
      <c r="I39" s="2">
        <v>2.8621812133695279E-8</v>
      </c>
      <c r="J39" s="2">
        <v>5.7243624285163719E-8</v>
      </c>
      <c r="K39" s="2" t="s">
        <v>2</v>
      </c>
    </row>
    <row r="40" spans="1:11" x14ac:dyDescent="0.35">
      <c r="A40" s="2" t="s">
        <v>50</v>
      </c>
      <c r="B40" s="2">
        <v>192</v>
      </c>
      <c r="C40" s="2">
        <v>512</v>
      </c>
      <c r="D40" s="2">
        <v>0.27272727272727271</v>
      </c>
      <c r="E40" s="2">
        <v>1</v>
      </c>
      <c r="F40" s="2">
        <v>9.0511370201880743E-35</v>
      </c>
      <c r="G40" s="2">
        <v>1.8102274040376151E-34</v>
      </c>
      <c r="H40" s="2">
        <v>1</v>
      </c>
      <c r="I40" s="2">
        <v>8.5419509094949382E-34</v>
      </c>
      <c r="J40" s="2">
        <v>0</v>
      </c>
      <c r="K40" s="2" t="s">
        <v>2</v>
      </c>
    </row>
    <row r="41" spans="1:11" x14ac:dyDescent="0.35">
      <c r="A41" s="2" t="s">
        <v>51</v>
      </c>
      <c r="B41" s="2">
        <v>214</v>
      </c>
      <c r="C41" s="2">
        <v>490</v>
      </c>
      <c r="D41" s="2">
        <v>0.30397727272727271</v>
      </c>
      <c r="E41" s="2">
        <v>1</v>
      </c>
      <c r="F41" s="2">
        <v>4.1928894555716279E-26</v>
      </c>
      <c r="G41" s="2">
        <v>8.3857789111432569E-26</v>
      </c>
      <c r="H41" s="2">
        <v>1</v>
      </c>
      <c r="I41" s="2">
        <v>1.21211528725007E-25</v>
      </c>
      <c r="J41" s="2">
        <v>0</v>
      </c>
      <c r="K41" s="2" t="s">
        <v>2</v>
      </c>
    </row>
    <row r="42" spans="1:11" x14ac:dyDescent="0.35">
      <c r="A42" s="2" t="s">
        <v>52</v>
      </c>
      <c r="B42" s="2">
        <v>165</v>
      </c>
      <c r="C42" s="2">
        <v>539</v>
      </c>
      <c r="D42" s="2">
        <v>0.234375</v>
      </c>
      <c r="E42" s="2">
        <v>1</v>
      </c>
      <c r="F42" s="2">
        <v>1.83008522618505E-47</v>
      </c>
      <c r="G42" s="2">
        <v>3.6601704523700991E-47</v>
      </c>
      <c r="H42" s="2">
        <v>1</v>
      </c>
      <c r="I42" s="2">
        <v>2.0194047971297279E-45</v>
      </c>
      <c r="J42" s="2">
        <v>0</v>
      </c>
      <c r="K42" s="2" t="s">
        <v>2</v>
      </c>
    </row>
    <row r="43" spans="1:11" x14ac:dyDescent="0.35">
      <c r="A43" s="2" t="s">
        <v>53</v>
      </c>
      <c r="B43" s="2">
        <v>71</v>
      </c>
      <c r="C43" s="2">
        <v>633</v>
      </c>
      <c r="D43" s="2">
        <v>0.10085227272727269</v>
      </c>
      <c r="E43" s="2">
        <v>1</v>
      </c>
      <c r="F43" s="2">
        <v>6.1300941690726921E-114</v>
      </c>
      <c r="G43" s="2">
        <v>1.226018833814538E-113</v>
      </c>
      <c r="H43" s="2">
        <v>1</v>
      </c>
      <c r="I43" s="2">
        <v>7.1222145169684312E-100</v>
      </c>
      <c r="J43" s="2">
        <v>0</v>
      </c>
      <c r="K43" s="2" t="s">
        <v>2</v>
      </c>
    </row>
    <row r="44" spans="1:11" x14ac:dyDescent="0.35">
      <c r="A44" s="2" t="s">
        <v>54</v>
      </c>
      <c r="B44" s="2">
        <v>59</v>
      </c>
      <c r="C44" s="2">
        <v>645</v>
      </c>
      <c r="D44" s="2">
        <v>8.3806818181818177E-2</v>
      </c>
      <c r="E44" s="2">
        <v>1</v>
      </c>
      <c r="F44" s="2">
        <v>7.854827192634082E-126</v>
      </c>
      <c r="G44" s="2">
        <v>1.5709654385268159E-125</v>
      </c>
      <c r="H44" s="2">
        <v>1</v>
      </c>
      <c r="I44" s="2">
        <v>2.1685888242609069E-108</v>
      </c>
      <c r="J44" s="2">
        <v>0</v>
      </c>
      <c r="K44" s="2" t="s">
        <v>2</v>
      </c>
    </row>
    <row r="45" spans="1:11" x14ac:dyDescent="0.35">
      <c r="A45" s="2" t="s">
        <v>55</v>
      </c>
      <c r="B45" s="2">
        <v>11</v>
      </c>
      <c r="C45" s="2">
        <v>693</v>
      </c>
      <c r="D45" s="2">
        <v>1.5625E-2</v>
      </c>
      <c r="E45" s="2">
        <v>1</v>
      </c>
      <c r="F45" s="2">
        <v>5.8864815922639292E-189</v>
      </c>
      <c r="G45" s="2">
        <v>1.177296318452786E-188</v>
      </c>
      <c r="H45" s="2">
        <v>1</v>
      </c>
      <c r="I45" s="2">
        <v>5.2940665483572932E-146</v>
      </c>
      <c r="J45" s="2">
        <v>0</v>
      </c>
      <c r="K45" s="2" t="s">
        <v>2</v>
      </c>
    </row>
    <row r="46" spans="1:11" x14ac:dyDescent="0.35">
      <c r="A46" s="2" t="s">
        <v>56</v>
      </c>
      <c r="B46" s="2">
        <v>584</v>
      </c>
      <c r="C46" s="2">
        <v>120</v>
      </c>
      <c r="D46" s="2">
        <v>0.82954545454545459</v>
      </c>
      <c r="E46" s="2">
        <v>2.3998560594315532E-74</v>
      </c>
      <c r="F46" s="2">
        <v>1</v>
      </c>
      <c r="G46" s="2">
        <v>4.7997121188631064E-74</v>
      </c>
      <c r="H46" s="2">
        <v>0</v>
      </c>
      <c r="I46" s="2">
        <v>1</v>
      </c>
      <c r="J46" s="2">
        <v>0</v>
      </c>
      <c r="K46" s="2" t="s">
        <v>1</v>
      </c>
    </row>
    <row r="47" spans="1:11" x14ac:dyDescent="0.35">
      <c r="A47" s="2" t="s">
        <v>57</v>
      </c>
      <c r="B47" s="2">
        <v>399</v>
      </c>
      <c r="C47" s="2">
        <v>305</v>
      </c>
      <c r="D47" s="2">
        <v>0.56676136363636365</v>
      </c>
      <c r="E47" s="2">
        <v>2.2423766932352069E-4</v>
      </c>
      <c r="F47" s="2">
        <v>0.99983177687150404</v>
      </c>
      <c r="G47" s="2">
        <v>4.4847533864704139E-4</v>
      </c>
      <c r="H47" s="2">
        <v>1.9798271821658281E-4</v>
      </c>
      <c r="I47" s="2">
        <v>0.99980201728178342</v>
      </c>
      <c r="J47" s="2">
        <v>3.9596543643316551E-4</v>
      </c>
      <c r="K47" s="2" t="s">
        <v>1</v>
      </c>
    </row>
    <row r="48" spans="1:11" x14ac:dyDescent="0.35">
      <c r="A48" s="2" t="s">
        <v>58</v>
      </c>
      <c r="B48" s="2">
        <v>560</v>
      </c>
      <c r="C48" s="2">
        <v>144</v>
      </c>
      <c r="D48" s="2">
        <v>0.79545454545454541</v>
      </c>
      <c r="E48" s="2">
        <v>4.7432684194368774E-59</v>
      </c>
      <c r="F48" s="2">
        <v>1</v>
      </c>
      <c r="G48" s="2">
        <v>9.4865368388737547E-59</v>
      </c>
      <c r="H48" s="2">
        <v>0</v>
      </c>
      <c r="I48" s="2">
        <v>1</v>
      </c>
      <c r="J48" s="2">
        <v>0</v>
      </c>
      <c r="K48" s="2" t="s">
        <v>1</v>
      </c>
    </row>
    <row r="49" spans="1:11" x14ac:dyDescent="0.35">
      <c r="A49" s="2" t="s">
        <v>59</v>
      </c>
      <c r="B49" s="2">
        <v>394</v>
      </c>
      <c r="C49" s="2">
        <v>310</v>
      </c>
      <c r="D49" s="2">
        <v>0.55965909090909094</v>
      </c>
      <c r="E49" s="2">
        <v>8.6972830393244492E-4</v>
      </c>
      <c r="F49" s="2">
        <v>0.99932957240549158</v>
      </c>
      <c r="G49" s="2">
        <v>1.7394566078648901E-3</v>
      </c>
      <c r="H49" s="2">
        <v>7.7310173854039377E-4</v>
      </c>
      <c r="I49" s="2">
        <v>0.99922689826145961</v>
      </c>
      <c r="J49" s="2">
        <v>1.546203477080788E-3</v>
      </c>
      <c r="K49" s="2" t="s">
        <v>1</v>
      </c>
    </row>
    <row r="50" spans="1:11" x14ac:dyDescent="0.35">
      <c r="A50" s="2" t="s">
        <v>60</v>
      </c>
      <c r="B50" s="2">
        <v>329</v>
      </c>
      <c r="C50" s="2">
        <v>375</v>
      </c>
      <c r="D50" s="2">
        <v>0.46732954545454553</v>
      </c>
      <c r="E50" s="2">
        <v>0.96178842758226124</v>
      </c>
      <c r="F50" s="2">
        <v>4.4907133435382003E-2</v>
      </c>
      <c r="G50" s="2">
        <v>8.9814266870763992E-2</v>
      </c>
      <c r="H50" s="2">
        <v>0.9585134696377936</v>
      </c>
      <c r="I50" s="2">
        <v>4.1486530362206432E-2</v>
      </c>
      <c r="J50" s="2">
        <v>8.2973060724412795E-2</v>
      </c>
      <c r="K50" s="2" t="s">
        <v>2</v>
      </c>
    </row>
    <row r="51" spans="1:11" x14ac:dyDescent="0.35">
      <c r="A51" s="2" t="s">
        <v>61</v>
      </c>
      <c r="B51" s="2">
        <v>269</v>
      </c>
      <c r="C51" s="2">
        <v>435</v>
      </c>
      <c r="D51" s="2">
        <v>0.38210227272727271</v>
      </c>
      <c r="E51" s="2">
        <v>0.99999999987208177</v>
      </c>
      <c r="F51" s="2">
        <v>2.0924884743097259E-10</v>
      </c>
      <c r="G51" s="2">
        <v>4.1849769486194508E-10</v>
      </c>
      <c r="H51" s="2">
        <v>0.99999999980296728</v>
      </c>
      <c r="I51" s="2">
        <v>1.9703275787215481E-10</v>
      </c>
      <c r="J51" s="2">
        <v>3.9406544694031709E-10</v>
      </c>
      <c r="K51" s="2" t="s">
        <v>2</v>
      </c>
    </row>
    <row r="52" spans="1:11" x14ac:dyDescent="0.35">
      <c r="A52" s="2" t="s">
        <v>62</v>
      </c>
      <c r="B52" s="2">
        <v>696</v>
      </c>
      <c r="C52" s="2">
        <v>8</v>
      </c>
      <c r="D52" s="2">
        <v>0.98863636363636365</v>
      </c>
      <c r="E52" s="2">
        <v>1.728284543766001E-194</v>
      </c>
      <c r="F52" s="2">
        <v>1</v>
      </c>
      <c r="G52" s="2">
        <v>3.4565690875320013E-194</v>
      </c>
      <c r="H52" s="2">
        <v>0</v>
      </c>
      <c r="I52" s="2">
        <v>1</v>
      </c>
      <c r="J52" s="2">
        <v>0</v>
      </c>
      <c r="K52" s="2" t="s">
        <v>1</v>
      </c>
    </row>
    <row r="53" spans="1:11" x14ac:dyDescent="0.35">
      <c r="A53" s="2" t="s">
        <v>63</v>
      </c>
      <c r="B53" s="2">
        <v>565</v>
      </c>
      <c r="C53" s="2">
        <v>139</v>
      </c>
      <c r="D53" s="2">
        <v>0.80255681818181823</v>
      </c>
      <c r="E53" s="2">
        <v>4.7695483598372971E-62</v>
      </c>
      <c r="F53" s="2">
        <v>1</v>
      </c>
      <c r="G53" s="2">
        <v>9.5390967196745942E-62</v>
      </c>
      <c r="H53" s="2">
        <v>0</v>
      </c>
      <c r="I53" s="2">
        <v>1</v>
      </c>
      <c r="J53" s="2">
        <v>0</v>
      </c>
      <c r="K53" s="2" t="s">
        <v>1</v>
      </c>
    </row>
    <row r="54" spans="1:11" x14ac:dyDescent="0.35">
      <c r="A54" s="2" t="s">
        <v>64</v>
      </c>
      <c r="B54" s="2">
        <v>691</v>
      </c>
      <c r="C54" s="2">
        <v>13</v>
      </c>
      <c r="D54" s="2">
        <v>0.98153409090909094</v>
      </c>
      <c r="E54" s="2">
        <v>1.814955626850813E-185</v>
      </c>
      <c r="F54" s="2">
        <v>1</v>
      </c>
      <c r="G54" s="2">
        <v>3.6299112537016248E-185</v>
      </c>
      <c r="H54" s="2">
        <v>0</v>
      </c>
      <c r="I54" s="2">
        <v>1</v>
      </c>
      <c r="J54" s="2">
        <v>0</v>
      </c>
      <c r="K54" s="2" t="s">
        <v>1</v>
      </c>
    </row>
    <row r="55" spans="1:11" x14ac:dyDescent="0.35">
      <c r="A55" s="2" t="s">
        <v>65</v>
      </c>
      <c r="B55" s="2">
        <v>704</v>
      </c>
      <c r="C55" s="2">
        <v>0</v>
      </c>
      <c r="D55" s="2">
        <v>1</v>
      </c>
      <c r="E55" s="2">
        <v>1.1881822289344749E-212</v>
      </c>
      <c r="F55" s="2">
        <v>1</v>
      </c>
      <c r="G55" s="2">
        <v>2.3763644578689498E-212</v>
      </c>
      <c r="H55" s="2">
        <v>0</v>
      </c>
      <c r="I55" s="2">
        <v>1</v>
      </c>
      <c r="J55" s="2">
        <v>0</v>
      </c>
      <c r="K55" s="2" t="s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5"/>
  <sheetViews>
    <sheetView topLeftCell="A21" workbookViewId="0">
      <selection activeCell="D2" sqref="D2:D55"/>
    </sheetView>
  </sheetViews>
  <sheetFormatPr defaultRowHeight="14.5" x14ac:dyDescent="0.35"/>
  <cols>
    <col min="1" max="1" width="23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493</v>
      </c>
      <c r="C2" s="2">
        <v>491</v>
      </c>
      <c r="D2" s="2">
        <v>0.50101626016260159</v>
      </c>
      <c r="E2" s="2">
        <v>0.51271458465071473</v>
      </c>
      <c r="F2" s="2">
        <v>0.51271458465071473</v>
      </c>
      <c r="G2" s="2">
        <v>1</v>
      </c>
      <c r="H2" s="2">
        <v>0.47458159152542212</v>
      </c>
      <c r="I2" s="2">
        <v>0.52541840847457788</v>
      </c>
      <c r="J2" s="2">
        <v>0.94916318305084424</v>
      </c>
      <c r="K2" s="2" t="s">
        <v>12</v>
      </c>
    </row>
    <row r="3" spans="1:11" x14ac:dyDescent="0.35">
      <c r="A3" s="2" t="s">
        <v>13</v>
      </c>
      <c r="B3" s="2">
        <v>877</v>
      </c>
      <c r="C3" s="2">
        <v>107</v>
      </c>
      <c r="D3" s="2">
        <v>0.89126016260162599</v>
      </c>
      <c r="E3" s="2">
        <v>2.547883684376974E-151</v>
      </c>
      <c r="F3" s="2">
        <v>1</v>
      </c>
      <c r="G3" s="2">
        <v>5.0957673687539488E-151</v>
      </c>
      <c r="H3" s="2">
        <v>0</v>
      </c>
      <c r="I3" s="2">
        <v>1</v>
      </c>
      <c r="J3" s="2">
        <v>0</v>
      </c>
      <c r="K3" s="2" t="s">
        <v>1</v>
      </c>
    </row>
    <row r="4" spans="1:11" x14ac:dyDescent="0.35">
      <c r="A4" s="2" t="s">
        <v>14</v>
      </c>
      <c r="B4" s="2">
        <v>881</v>
      </c>
      <c r="C4" s="2">
        <v>103</v>
      </c>
      <c r="D4" s="2">
        <v>0.89532520325203258</v>
      </c>
      <c r="E4" s="2">
        <v>5.2438014827760843E-155</v>
      </c>
      <c r="F4" s="2">
        <v>1</v>
      </c>
      <c r="G4" s="2">
        <v>1.048760296555217E-154</v>
      </c>
      <c r="H4" s="2">
        <v>0</v>
      </c>
      <c r="I4" s="2">
        <v>1</v>
      </c>
      <c r="J4" s="2">
        <v>0</v>
      </c>
      <c r="K4" s="2" t="s">
        <v>1</v>
      </c>
    </row>
    <row r="5" spans="1:11" x14ac:dyDescent="0.35">
      <c r="A5" s="2" t="s">
        <v>15</v>
      </c>
      <c r="B5" s="2">
        <v>833</v>
      </c>
      <c r="C5" s="2">
        <v>151</v>
      </c>
      <c r="D5" s="2">
        <v>0.84654471544715448</v>
      </c>
      <c r="E5" s="2">
        <v>4.025191368698072E-115</v>
      </c>
      <c r="F5" s="2">
        <v>1</v>
      </c>
      <c r="G5" s="2">
        <v>8.0503827373961432E-115</v>
      </c>
      <c r="H5" s="2">
        <v>0</v>
      </c>
      <c r="I5" s="2">
        <v>1</v>
      </c>
      <c r="J5" s="2">
        <v>0</v>
      </c>
      <c r="K5" s="2" t="s">
        <v>1</v>
      </c>
    </row>
    <row r="6" spans="1:11" x14ac:dyDescent="0.35">
      <c r="A6" s="2" t="s">
        <v>16</v>
      </c>
      <c r="B6" s="2">
        <v>726</v>
      </c>
      <c r="C6" s="2">
        <v>258</v>
      </c>
      <c r="D6" s="2">
        <v>0.73780487804878048</v>
      </c>
      <c r="E6" s="2">
        <v>2.025099633895601E-52</v>
      </c>
      <c r="F6" s="2">
        <v>1</v>
      </c>
      <c r="G6" s="2">
        <v>4.0501992677912021E-52</v>
      </c>
      <c r="H6" s="2">
        <v>0</v>
      </c>
      <c r="I6" s="2">
        <v>1</v>
      </c>
      <c r="J6" s="2">
        <v>0</v>
      </c>
      <c r="K6" s="2" t="s">
        <v>1</v>
      </c>
    </row>
    <row r="7" spans="1:11" x14ac:dyDescent="0.35">
      <c r="A7" s="2" t="s">
        <v>17</v>
      </c>
      <c r="B7" s="2">
        <v>840</v>
      </c>
      <c r="C7" s="2">
        <v>144</v>
      </c>
      <c r="D7" s="2">
        <v>0.85365853658536583</v>
      </c>
      <c r="E7" s="2">
        <v>2.1483468080309269E-120</v>
      </c>
      <c r="F7" s="2">
        <v>1</v>
      </c>
      <c r="G7" s="2">
        <v>4.2966936160618539E-120</v>
      </c>
      <c r="H7" s="2">
        <v>0</v>
      </c>
      <c r="I7" s="2">
        <v>1</v>
      </c>
      <c r="J7" s="2">
        <v>0</v>
      </c>
      <c r="K7" s="2" t="s">
        <v>1</v>
      </c>
    </row>
    <row r="8" spans="1:11" x14ac:dyDescent="0.35">
      <c r="A8" s="2" t="s">
        <v>18</v>
      </c>
      <c r="B8" s="2">
        <v>675</v>
      </c>
      <c r="C8" s="2">
        <v>309</v>
      </c>
      <c r="D8" s="2">
        <v>0.68597560975609762</v>
      </c>
      <c r="E8" s="2">
        <v>2.6178462369069562E-32</v>
      </c>
      <c r="F8" s="2">
        <v>1</v>
      </c>
      <c r="G8" s="2">
        <v>5.2356924738139123E-32</v>
      </c>
      <c r="H8" s="2">
        <v>0</v>
      </c>
      <c r="I8" s="2">
        <v>1</v>
      </c>
      <c r="J8" s="2">
        <v>0</v>
      </c>
      <c r="K8" s="2" t="s">
        <v>1</v>
      </c>
    </row>
    <row r="9" spans="1:11" x14ac:dyDescent="0.35">
      <c r="A9" s="2" t="s">
        <v>19</v>
      </c>
      <c r="B9" s="2">
        <v>715</v>
      </c>
      <c r="C9" s="2">
        <v>269</v>
      </c>
      <c r="D9" s="2">
        <v>0.72662601626016265</v>
      </c>
      <c r="E9" s="2">
        <v>1.3198362023714001E-47</v>
      </c>
      <c r="F9" s="2">
        <v>1</v>
      </c>
      <c r="G9" s="2">
        <v>2.6396724047428002E-47</v>
      </c>
      <c r="H9" s="2">
        <v>0</v>
      </c>
      <c r="I9" s="2">
        <v>1</v>
      </c>
      <c r="J9" s="2">
        <v>0</v>
      </c>
      <c r="K9" s="2" t="s">
        <v>1</v>
      </c>
    </row>
    <row r="10" spans="1:11" x14ac:dyDescent="0.35">
      <c r="A10" s="2" t="s">
        <v>20</v>
      </c>
      <c r="B10" s="2">
        <v>769</v>
      </c>
      <c r="C10" s="2">
        <v>215</v>
      </c>
      <c r="D10" s="2">
        <v>0.7815040650406504</v>
      </c>
      <c r="E10" s="2">
        <v>5.9142134443046064E-74</v>
      </c>
      <c r="F10" s="2">
        <v>1</v>
      </c>
      <c r="G10" s="2">
        <v>1.182842688860921E-73</v>
      </c>
      <c r="H10" s="2">
        <v>0</v>
      </c>
      <c r="I10" s="2">
        <v>1</v>
      </c>
      <c r="J10" s="2">
        <v>0</v>
      </c>
      <c r="K10" s="2" t="s">
        <v>1</v>
      </c>
    </row>
    <row r="11" spans="1:11" x14ac:dyDescent="0.35">
      <c r="A11" s="2" t="s">
        <v>21</v>
      </c>
      <c r="B11" s="2">
        <v>421</v>
      </c>
      <c r="C11" s="2">
        <v>563</v>
      </c>
      <c r="D11" s="2">
        <v>0.42784552845528462</v>
      </c>
      <c r="E11" s="2">
        <v>0.99999751877976972</v>
      </c>
      <c r="F11" s="2">
        <v>3.361399988478439E-6</v>
      </c>
      <c r="G11" s="2">
        <v>6.7227999769568789E-6</v>
      </c>
      <c r="H11" s="2">
        <v>0.99999700574614336</v>
      </c>
      <c r="I11" s="2">
        <v>2.9942538566125659E-6</v>
      </c>
      <c r="J11" s="2">
        <v>5.9885077132726394E-6</v>
      </c>
      <c r="K11" s="2" t="s">
        <v>2</v>
      </c>
    </row>
    <row r="12" spans="1:11" x14ac:dyDescent="0.35">
      <c r="A12" s="2" t="s">
        <v>22</v>
      </c>
      <c r="B12" s="2">
        <v>482</v>
      </c>
      <c r="C12" s="2">
        <v>502</v>
      </c>
      <c r="D12" s="2">
        <v>0.48983739837398371</v>
      </c>
      <c r="E12" s="2">
        <v>0.7483875338808782</v>
      </c>
      <c r="F12" s="2">
        <v>0.27236850725179079</v>
      </c>
      <c r="G12" s="2">
        <v>0.5447370145035817</v>
      </c>
      <c r="H12" s="2">
        <v>0.73812537078669005</v>
      </c>
      <c r="I12" s="2">
        <v>0.26187462921331001</v>
      </c>
      <c r="J12" s="2">
        <v>0.5237492584266199</v>
      </c>
      <c r="K12" s="2" t="s">
        <v>12</v>
      </c>
    </row>
    <row r="13" spans="1:11" x14ac:dyDescent="0.35">
      <c r="A13" s="2" t="s">
        <v>23</v>
      </c>
      <c r="B13" s="2">
        <v>671</v>
      </c>
      <c r="C13" s="2">
        <v>313</v>
      </c>
      <c r="D13" s="2">
        <v>0.68191056910569103</v>
      </c>
      <c r="E13" s="2">
        <v>5.8126506089259974E-31</v>
      </c>
      <c r="F13" s="2">
        <v>1</v>
      </c>
      <c r="G13" s="2">
        <v>1.162530121785199E-30</v>
      </c>
      <c r="H13" s="2">
        <v>0</v>
      </c>
      <c r="I13" s="2">
        <v>1</v>
      </c>
      <c r="J13" s="2">
        <v>0</v>
      </c>
      <c r="K13" s="2" t="s">
        <v>1</v>
      </c>
    </row>
    <row r="14" spans="1:11" x14ac:dyDescent="0.35">
      <c r="A14" s="2" t="s">
        <v>24</v>
      </c>
      <c r="B14" s="2">
        <v>556</v>
      </c>
      <c r="C14" s="2">
        <v>428</v>
      </c>
      <c r="D14" s="2">
        <v>0.56504065040650409</v>
      </c>
      <c r="E14" s="2">
        <v>2.5183081063873241E-5</v>
      </c>
      <c r="F14" s="2">
        <v>0.9999808867880905</v>
      </c>
      <c r="G14" s="2">
        <v>5.0366162127746489E-5</v>
      </c>
      <c r="H14" s="2">
        <v>2.247033824609446E-5</v>
      </c>
      <c r="I14" s="2">
        <v>0.99997752966175391</v>
      </c>
      <c r="J14" s="2">
        <v>4.4940676492188907E-5</v>
      </c>
      <c r="K14" s="2" t="s">
        <v>1</v>
      </c>
    </row>
    <row r="15" spans="1:11" x14ac:dyDescent="0.35">
      <c r="A15" s="2" t="s">
        <v>25</v>
      </c>
      <c r="B15" s="2">
        <v>803</v>
      </c>
      <c r="C15" s="2">
        <v>181</v>
      </c>
      <c r="D15" s="2">
        <v>0.81605691056910568</v>
      </c>
      <c r="E15" s="2">
        <v>2.4761685451323939E-94</v>
      </c>
      <c r="F15" s="2">
        <v>1</v>
      </c>
      <c r="G15" s="2">
        <v>4.9523370902647889E-94</v>
      </c>
      <c r="H15" s="2">
        <v>0</v>
      </c>
      <c r="I15" s="2">
        <v>1</v>
      </c>
      <c r="J15" s="2">
        <v>0</v>
      </c>
      <c r="K15" s="2" t="s">
        <v>1</v>
      </c>
    </row>
    <row r="16" spans="1:11" x14ac:dyDescent="0.35">
      <c r="A16" s="2" t="s">
        <v>26</v>
      </c>
      <c r="B16" s="2">
        <v>518</v>
      </c>
      <c r="C16" s="2">
        <v>466</v>
      </c>
      <c r="D16" s="2">
        <v>0.52642276422764223</v>
      </c>
      <c r="E16" s="2">
        <v>5.1969834598291027E-2</v>
      </c>
      <c r="F16" s="2">
        <v>0.95447107825781818</v>
      </c>
      <c r="G16" s="2">
        <v>0.1039396691965821</v>
      </c>
      <c r="H16" s="2">
        <v>4.8689072050409288E-2</v>
      </c>
      <c r="I16" s="2">
        <v>0.95131092794959071</v>
      </c>
      <c r="J16" s="2">
        <v>9.7378144100818576E-2</v>
      </c>
      <c r="K16" s="2" t="s">
        <v>12</v>
      </c>
    </row>
    <row r="17" spans="1:11" x14ac:dyDescent="0.35">
      <c r="A17" s="2" t="s">
        <v>27</v>
      </c>
      <c r="B17" s="2">
        <v>908</v>
      </c>
      <c r="C17" s="2">
        <v>76</v>
      </c>
      <c r="D17" s="2">
        <v>0.92276422764227639</v>
      </c>
      <c r="E17" s="2">
        <v>5.3115811875040262E-182</v>
      </c>
      <c r="F17" s="2">
        <v>1</v>
      </c>
      <c r="G17" s="2">
        <v>1.062316237500805E-181</v>
      </c>
      <c r="H17" s="2">
        <v>0</v>
      </c>
      <c r="I17" s="2">
        <v>1</v>
      </c>
      <c r="J17" s="2">
        <v>0</v>
      </c>
      <c r="K17" s="2" t="s">
        <v>1</v>
      </c>
    </row>
    <row r="18" spans="1:11" x14ac:dyDescent="0.35">
      <c r="A18" s="2" t="s">
        <v>28</v>
      </c>
      <c r="B18" s="2">
        <v>513</v>
      </c>
      <c r="C18" s="2">
        <v>471</v>
      </c>
      <c r="D18" s="2">
        <v>0.52134146341463417</v>
      </c>
      <c r="E18" s="2">
        <v>9.5587579314308072E-2</v>
      </c>
      <c r="F18" s="2">
        <v>0.91479567364157521</v>
      </c>
      <c r="G18" s="2">
        <v>0.19117515862861609</v>
      </c>
      <c r="H18" s="2">
        <v>9.0299808246961932E-2</v>
      </c>
      <c r="I18" s="2">
        <v>0.90970019175303807</v>
      </c>
      <c r="J18" s="2">
        <v>0.18059961649392389</v>
      </c>
      <c r="K18" s="2" t="s">
        <v>12</v>
      </c>
    </row>
    <row r="19" spans="1:11" x14ac:dyDescent="0.35">
      <c r="A19" s="2" t="s">
        <v>29</v>
      </c>
      <c r="B19" s="2">
        <v>672</v>
      </c>
      <c r="C19" s="2">
        <v>312</v>
      </c>
      <c r="D19" s="2">
        <v>0.68292682926829273</v>
      </c>
      <c r="E19" s="2">
        <v>2.6965330002910321E-31</v>
      </c>
      <c r="F19" s="2">
        <v>1</v>
      </c>
      <c r="G19" s="2">
        <v>5.3930660005820633E-31</v>
      </c>
      <c r="H19" s="2">
        <v>0</v>
      </c>
      <c r="I19" s="2">
        <v>1</v>
      </c>
      <c r="J19" s="2">
        <v>0</v>
      </c>
      <c r="K19" s="2" t="s">
        <v>1</v>
      </c>
    </row>
    <row r="20" spans="1:11" x14ac:dyDescent="0.35">
      <c r="A20" s="2" t="s">
        <v>30</v>
      </c>
      <c r="B20" s="2">
        <v>699</v>
      </c>
      <c r="C20" s="2">
        <v>285</v>
      </c>
      <c r="D20" s="2">
        <v>0.71036585365853655</v>
      </c>
      <c r="E20" s="2">
        <v>4.4359760990076852E-41</v>
      </c>
      <c r="F20" s="2">
        <v>1</v>
      </c>
      <c r="G20" s="2">
        <v>8.8719521980153704E-41</v>
      </c>
      <c r="H20" s="2">
        <v>0</v>
      </c>
      <c r="I20" s="2">
        <v>1</v>
      </c>
      <c r="J20" s="2">
        <v>0</v>
      </c>
      <c r="K20" s="2" t="s">
        <v>1</v>
      </c>
    </row>
    <row r="21" spans="1:11" x14ac:dyDescent="0.35">
      <c r="A21" s="2" t="s">
        <v>31</v>
      </c>
      <c r="B21" s="2">
        <v>717</v>
      </c>
      <c r="C21" s="2">
        <v>267</v>
      </c>
      <c r="D21" s="2">
        <v>0.72865853658536583</v>
      </c>
      <c r="E21" s="2">
        <v>1.8422099449169651E-48</v>
      </c>
      <c r="F21" s="2">
        <v>1</v>
      </c>
      <c r="G21" s="2">
        <v>3.6844198898339302E-48</v>
      </c>
      <c r="H21" s="2">
        <v>0</v>
      </c>
      <c r="I21" s="2">
        <v>1</v>
      </c>
      <c r="J21" s="2">
        <v>0</v>
      </c>
      <c r="K21" s="2" t="s">
        <v>1</v>
      </c>
    </row>
    <row r="22" spans="1:11" x14ac:dyDescent="0.35">
      <c r="A22" s="2" t="s">
        <v>32</v>
      </c>
      <c r="B22" s="2">
        <v>761</v>
      </c>
      <c r="C22" s="2">
        <v>223</v>
      </c>
      <c r="D22" s="2">
        <v>0.77337398373983735</v>
      </c>
      <c r="E22" s="2">
        <v>1.3191131187384769E-69</v>
      </c>
      <c r="F22" s="2">
        <v>1</v>
      </c>
      <c r="G22" s="2">
        <v>2.6382262374769538E-69</v>
      </c>
      <c r="H22" s="2">
        <v>0</v>
      </c>
      <c r="I22" s="2">
        <v>1</v>
      </c>
      <c r="J22" s="2">
        <v>0</v>
      </c>
      <c r="K22" s="2" t="s">
        <v>1</v>
      </c>
    </row>
    <row r="23" spans="1:11" x14ac:dyDescent="0.35">
      <c r="A23" s="2" t="s">
        <v>33</v>
      </c>
      <c r="B23" s="2">
        <v>617</v>
      </c>
      <c r="C23" s="2">
        <v>367</v>
      </c>
      <c r="D23" s="2">
        <v>0.62703252032520329</v>
      </c>
      <c r="E23" s="2">
        <v>7.286550271003536E-16</v>
      </c>
      <c r="F23" s="2">
        <v>0.99999999999999956</v>
      </c>
      <c r="G23" s="2">
        <v>1.457310054200707E-15</v>
      </c>
      <c r="H23" s="2">
        <v>7.7715611723760958E-16</v>
      </c>
      <c r="I23" s="2">
        <v>0.99999999999999922</v>
      </c>
      <c r="J23" s="2">
        <v>1.554312234475219E-15</v>
      </c>
      <c r="K23" s="2" t="s">
        <v>1</v>
      </c>
    </row>
    <row r="24" spans="1:11" x14ac:dyDescent="0.35">
      <c r="A24" s="2" t="s">
        <v>34</v>
      </c>
      <c r="B24" s="2">
        <v>585</v>
      </c>
      <c r="C24" s="2">
        <v>399</v>
      </c>
      <c r="D24" s="2">
        <v>0.59451219512195119</v>
      </c>
      <c r="E24" s="2">
        <v>1.6626457071959121E-9</v>
      </c>
      <c r="F24" s="2">
        <v>0.99999999887751323</v>
      </c>
      <c r="G24" s="2">
        <v>3.325291414391825E-9</v>
      </c>
      <c r="H24" s="2">
        <v>1.5196309766096761E-9</v>
      </c>
      <c r="I24" s="2">
        <v>0.99999999848036902</v>
      </c>
      <c r="J24" s="2">
        <v>3.0392619532193521E-9</v>
      </c>
      <c r="K24" s="2" t="s">
        <v>1</v>
      </c>
    </row>
    <row r="25" spans="1:11" x14ac:dyDescent="0.35">
      <c r="A25" s="2" t="s">
        <v>35</v>
      </c>
      <c r="B25" s="2">
        <v>652</v>
      </c>
      <c r="C25" s="2">
        <v>332</v>
      </c>
      <c r="D25" s="2">
        <v>0.66260162601626016</v>
      </c>
      <c r="E25" s="2">
        <v>5.2762133051328716E-25</v>
      </c>
      <c r="F25" s="2">
        <v>1</v>
      </c>
      <c r="G25" s="2">
        <v>1.0552426610265739E-24</v>
      </c>
      <c r="H25" s="2">
        <v>0</v>
      </c>
      <c r="I25" s="2">
        <v>1</v>
      </c>
      <c r="J25" s="2">
        <v>0</v>
      </c>
      <c r="K25" s="2" t="s">
        <v>1</v>
      </c>
    </row>
    <row r="26" spans="1:11" x14ac:dyDescent="0.35">
      <c r="A26" s="2" t="s">
        <v>36</v>
      </c>
      <c r="B26" s="2">
        <v>535</v>
      </c>
      <c r="C26" s="2">
        <v>449</v>
      </c>
      <c r="D26" s="2">
        <v>0.54369918699186992</v>
      </c>
      <c r="E26" s="2">
        <v>3.3524102704564208E-3</v>
      </c>
      <c r="F26" s="2">
        <v>0.99724021028787635</v>
      </c>
      <c r="G26" s="2">
        <v>6.7048205409128434E-3</v>
      </c>
      <c r="H26" s="2">
        <v>3.0572247016473759E-3</v>
      </c>
      <c r="I26" s="2">
        <v>0.99694277529835262</v>
      </c>
      <c r="J26" s="2">
        <v>6.1144494032947527E-3</v>
      </c>
      <c r="K26" s="2" t="s">
        <v>1</v>
      </c>
    </row>
    <row r="27" spans="1:11" x14ac:dyDescent="0.35">
      <c r="A27" s="2" t="s">
        <v>37</v>
      </c>
      <c r="B27" s="2">
        <v>722</v>
      </c>
      <c r="C27" s="2">
        <v>262</v>
      </c>
      <c r="D27" s="2">
        <v>0.73373983739837401</v>
      </c>
      <c r="E27" s="2">
        <v>1.2258019592729719E-50</v>
      </c>
      <c r="F27" s="2">
        <v>1</v>
      </c>
      <c r="G27" s="2">
        <v>2.4516039185459429E-50</v>
      </c>
      <c r="H27" s="2">
        <v>0</v>
      </c>
      <c r="I27" s="2">
        <v>1</v>
      </c>
      <c r="J27" s="2">
        <v>0</v>
      </c>
      <c r="K27" s="2" t="s">
        <v>1</v>
      </c>
    </row>
    <row r="28" spans="1:11" x14ac:dyDescent="0.35">
      <c r="A28" s="2" t="s">
        <v>38</v>
      </c>
      <c r="B28" s="2">
        <v>751</v>
      </c>
      <c r="C28" s="2">
        <v>233</v>
      </c>
      <c r="D28" s="2">
        <v>0.76321138211382111</v>
      </c>
      <c r="E28" s="2">
        <v>2.1401550114812449E-64</v>
      </c>
      <c r="F28" s="2">
        <v>1</v>
      </c>
      <c r="G28" s="2">
        <v>4.2803100229624912E-64</v>
      </c>
      <c r="H28" s="2">
        <v>0</v>
      </c>
      <c r="I28" s="2">
        <v>1</v>
      </c>
      <c r="J28" s="2">
        <v>0</v>
      </c>
      <c r="K28" s="2" t="s">
        <v>1</v>
      </c>
    </row>
    <row r="29" spans="1:11" x14ac:dyDescent="0.35">
      <c r="A29" s="2" t="s">
        <v>39</v>
      </c>
      <c r="B29" s="2">
        <v>787</v>
      </c>
      <c r="C29" s="2">
        <v>197</v>
      </c>
      <c r="D29" s="2">
        <v>0.79979674796747968</v>
      </c>
      <c r="E29" s="2">
        <v>2.389623171187224E-84</v>
      </c>
      <c r="F29" s="2">
        <v>1</v>
      </c>
      <c r="G29" s="2">
        <v>4.779246342374447E-84</v>
      </c>
      <c r="H29" s="2">
        <v>0</v>
      </c>
      <c r="I29" s="2">
        <v>1</v>
      </c>
      <c r="J29" s="2">
        <v>0</v>
      </c>
      <c r="K29" s="2" t="s">
        <v>1</v>
      </c>
    </row>
    <row r="30" spans="1:11" x14ac:dyDescent="0.35">
      <c r="A30" s="2" t="s">
        <v>40</v>
      </c>
      <c r="B30" s="2">
        <v>945</v>
      </c>
      <c r="C30" s="2">
        <v>39</v>
      </c>
      <c r="D30" s="2">
        <v>0.96036585365853655</v>
      </c>
      <c r="E30" s="2">
        <v>7.7727522562061908E-227</v>
      </c>
      <c r="F30" s="2">
        <v>1</v>
      </c>
      <c r="G30" s="2">
        <v>1.554550451241238E-226</v>
      </c>
      <c r="H30" s="2">
        <v>0</v>
      </c>
      <c r="I30" s="2">
        <v>1</v>
      </c>
      <c r="J30" s="2">
        <v>0</v>
      </c>
      <c r="K30" s="2" t="s">
        <v>1</v>
      </c>
    </row>
    <row r="31" spans="1:11" x14ac:dyDescent="0.35">
      <c r="A31" s="2" t="s">
        <v>41</v>
      </c>
      <c r="B31" s="2">
        <v>550</v>
      </c>
      <c r="C31" s="2">
        <v>434</v>
      </c>
      <c r="D31" s="2">
        <v>0.55894308943089432</v>
      </c>
      <c r="E31" s="2">
        <v>1.2130013816408511E-4</v>
      </c>
      <c r="F31" s="2">
        <v>0.999905739961375</v>
      </c>
      <c r="G31" s="2">
        <v>2.4260027632817021E-4</v>
      </c>
      <c r="H31" s="2">
        <v>1.086760108722773E-4</v>
      </c>
      <c r="I31" s="2">
        <v>0.99989132398912772</v>
      </c>
      <c r="J31" s="2">
        <v>2.1735202174455459E-4</v>
      </c>
      <c r="K31" s="2" t="s">
        <v>1</v>
      </c>
    </row>
    <row r="32" spans="1:11" x14ac:dyDescent="0.35">
      <c r="A32" s="2" t="s">
        <v>42</v>
      </c>
      <c r="B32" s="2">
        <v>429</v>
      </c>
      <c r="C32" s="2">
        <v>555</v>
      </c>
      <c r="D32" s="2">
        <v>0.43597560975609762</v>
      </c>
      <c r="E32" s="2">
        <v>0.99997481691893608</v>
      </c>
      <c r="F32" s="2">
        <v>3.3049857869967827E-5</v>
      </c>
      <c r="G32" s="2">
        <v>6.6099715739935654E-5</v>
      </c>
      <c r="H32" s="2">
        <v>0.99997049477781885</v>
      </c>
      <c r="I32" s="2">
        <v>2.950522218112095E-5</v>
      </c>
      <c r="J32" s="2">
        <v>5.9010444362295189E-5</v>
      </c>
      <c r="K32" s="2" t="s">
        <v>2</v>
      </c>
    </row>
    <row r="33" spans="1:11" x14ac:dyDescent="0.35">
      <c r="A33" s="2" t="s">
        <v>43</v>
      </c>
      <c r="B33" s="2">
        <v>626</v>
      </c>
      <c r="C33" s="2">
        <v>358</v>
      </c>
      <c r="D33" s="2">
        <v>0.63617886178861793</v>
      </c>
      <c r="E33" s="2">
        <v>5.4239885053764207E-18</v>
      </c>
      <c r="F33" s="2">
        <v>1</v>
      </c>
      <c r="G33" s="2">
        <v>1.084797701075284E-17</v>
      </c>
      <c r="H33" s="2">
        <v>0</v>
      </c>
      <c r="I33" s="2">
        <v>1</v>
      </c>
      <c r="J33" s="2">
        <v>0</v>
      </c>
      <c r="K33" s="2" t="s">
        <v>1</v>
      </c>
    </row>
    <row r="34" spans="1:11" x14ac:dyDescent="0.35">
      <c r="A34" s="2" t="s">
        <v>44</v>
      </c>
      <c r="B34" s="2">
        <v>266</v>
      </c>
      <c r="C34" s="2">
        <v>718</v>
      </c>
      <c r="D34" s="2">
        <v>0.27032520325203252</v>
      </c>
      <c r="E34" s="2">
        <v>1</v>
      </c>
      <c r="F34" s="2">
        <v>6.8299789291691108E-49</v>
      </c>
      <c r="G34" s="2">
        <v>1.365995785833822E-48</v>
      </c>
      <c r="H34" s="2">
        <v>1</v>
      </c>
      <c r="I34" s="2">
        <v>2.2635260231022148E-47</v>
      </c>
      <c r="J34" s="2">
        <v>0</v>
      </c>
      <c r="K34" s="2" t="s">
        <v>2</v>
      </c>
    </row>
    <row r="35" spans="1:11" x14ac:dyDescent="0.35">
      <c r="A35" s="2" t="s">
        <v>45</v>
      </c>
      <c r="B35" s="2">
        <v>233</v>
      </c>
      <c r="C35" s="2">
        <v>751</v>
      </c>
      <c r="D35" s="2">
        <v>0.23678861788617889</v>
      </c>
      <c r="E35" s="2">
        <v>1</v>
      </c>
      <c r="F35" s="2">
        <v>2.1401550114812449E-64</v>
      </c>
      <c r="G35" s="2">
        <v>4.2803100229624912E-64</v>
      </c>
      <c r="H35" s="2">
        <v>1</v>
      </c>
      <c r="I35" s="2">
        <v>1.4732336262854011E-61</v>
      </c>
      <c r="J35" s="2">
        <v>0</v>
      </c>
      <c r="K35" s="2" t="s">
        <v>2</v>
      </c>
    </row>
    <row r="36" spans="1:11" x14ac:dyDescent="0.35">
      <c r="A36" s="2" t="s">
        <v>46</v>
      </c>
      <c r="B36" s="2">
        <v>311</v>
      </c>
      <c r="C36" s="2">
        <v>673</v>
      </c>
      <c r="D36" s="2">
        <v>0.31605691056910568</v>
      </c>
      <c r="E36" s="2">
        <v>1</v>
      </c>
      <c r="F36" s="2">
        <v>1.245127030792624E-31</v>
      </c>
      <c r="G36" s="2">
        <v>2.4902540615852481E-31</v>
      </c>
      <c r="H36" s="2">
        <v>1</v>
      </c>
      <c r="I36" s="2">
        <v>4.139590148077354E-31</v>
      </c>
      <c r="J36" s="2">
        <v>0</v>
      </c>
      <c r="K36" s="2" t="s">
        <v>2</v>
      </c>
    </row>
    <row r="37" spans="1:11" x14ac:dyDescent="0.35">
      <c r="A37" s="2" t="s">
        <v>47</v>
      </c>
      <c r="B37" s="2">
        <v>497</v>
      </c>
      <c r="C37" s="2">
        <v>487</v>
      </c>
      <c r="D37" s="2">
        <v>0.50508130081300817</v>
      </c>
      <c r="E37" s="2">
        <v>0.38709935059452272</v>
      </c>
      <c r="F37" s="2">
        <v>0.63707119183948069</v>
      </c>
      <c r="G37" s="2">
        <v>0.77419870118904544</v>
      </c>
      <c r="H37" s="2">
        <v>0.37494350406863092</v>
      </c>
      <c r="I37" s="2">
        <v>0.62505649593136914</v>
      </c>
      <c r="J37" s="2">
        <v>0.74988700813726172</v>
      </c>
      <c r="K37" s="2" t="s">
        <v>12</v>
      </c>
    </row>
    <row r="38" spans="1:11" x14ac:dyDescent="0.35">
      <c r="A38" s="2" t="s">
        <v>48</v>
      </c>
      <c r="B38" s="2">
        <v>486</v>
      </c>
      <c r="C38" s="2">
        <v>498</v>
      </c>
      <c r="D38" s="2">
        <v>0.49390243902439018</v>
      </c>
      <c r="E38" s="2">
        <v>0.66070784679000227</v>
      </c>
      <c r="F38" s="2">
        <v>0.36292880816051931</v>
      </c>
      <c r="G38" s="2">
        <v>0.72585761632103862</v>
      </c>
      <c r="H38" s="2">
        <v>0.64897180253652942</v>
      </c>
      <c r="I38" s="2">
        <v>0.35102819746347058</v>
      </c>
      <c r="J38" s="2">
        <v>0.70205639492694116</v>
      </c>
      <c r="K38" s="2" t="s">
        <v>12</v>
      </c>
    </row>
    <row r="39" spans="1:11" x14ac:dyDescent="0.35">
      <c r="A39" s="2" t="s">
        <v>49</v>
      </c>
      <c r="B39" s="2">
        <v>647</v>
      </c>
      <c r="C39" s="2">
        <v>337</v>
      </c>
      <c r="D39" s="2">
        <v>0.65752032520325199</v>
      </c>
      <c r="E39" s="2">
        <v>1.485609251849762E-23</v>
      </c>
      <c r="F39" s="2">
        <v>1</v>
      </c>
      <c r="G39" s="2">
        <v>2.9712185036995229E-23</v>
      </c>
      <c r="H39" s="2">
        <v>0</v>
      </c>
      <c r="I39" s="2">
        <v>1</v>
      </c>
      <c r="J39" s="2">
        <v>0</v>
      </c>
      <c r="K39" s="2" t="s">
        <v>1</v>
      </c>
    </row>
    <row r="40" spans="1:11" x14ac:dyDescent="0.35">
      <c r="A40" s="2" t="s">
        <v>50</v>
      </c>
      <c r="B40" s="2">
        <v>571</v>
      </c>
      <c r="C40" s="2">
        <v>413</v>
      </c>
      <c r="D40" s="2">
        <v>0.58028455284552849</v>
      </c>
      <c r="E40" s="2">
        <v>2.648007387775048E-7</v>
      </c>
      <c r="F40" s="2">
        <v>0.99999981072105271</v>
      </c>
      <c r="G40" s="2">
        <v>5.296014775550097E-7</v>
      </c>
      <c r="H40" s="2">
        <v>2.3662022130555021E-7</v>
      </c>
      <c r="I40" s="2">
        <v>0.99999976337977869</v>
      </c>
      <c r="J40" s="2">
        <v>4.7324044261110032E-7</v>
      </c>
      <c r="K40" s="2" t="s">
        <v>1</v>
      </c>
    </row>
    <row r="41" spans="1:11" x14ac:dyDescent="0.35">
      <c r="A41" s="2" t="s">
        <v>51</v>
      </c>
      <c r="B41" s="2">
        <v>555</v>
      </c>
      <c r="C41" s="2">
        <v>429</v>
      </c>
      <c r="D41" s="2">
        <v>0.56402439024390238</v>
      </c>
      <c r="E41" s="2">
        <v>3.3049857869967827E-5</v>
      </c>
      <c r="F41" s="2">
        <v>0.99997481691893608</v>
      </c>
      <c r="G41" s="2">
        <v>6.6099715739935654E-5</v>
      </c>
      <c r="H41" s="2">
        <v>2.9505222181147591E-5</v>
      </c>
      <c r="I41" s="2">
        <v>0.99997049477781885</v>
      </c>
      <c r="J41" s="2">
        <v>5.9010444362295189E-5</v>
      </c>
      <c r="K41" s="2" t="s">
        <v>1</v>
      </c>
    </row>
    <row r="42" spans="1:11" x14ac:dyDescent="0.35">
      <c r="A42" s="2" t="s">
        <v>52</v>
      </c>
      <c r="B42" s="2">
        <v>699</v>
      </c>
      <c r="C42" s="2">
        <v>285</v>
      </c>
      <c r="D42" s="2">
        <v>0.71036585365853655</v>
      </c>
      <c r="E42" s="2">
        <v>4.4359760990076852E-41</v>
      </c>
      <c r="F42" s="2">
        <v>1</v>
      </c>
      <c r="G42" s="2">
        <v>8.8719521980153704E-41</v>
      </c>
      <c r="H42" s="2">
        <v>0</v>
      </c>
      <c r="I42" s="2">
        <v>1</v>
      </c>
      <c r="J42" s="2">
        <v>0</v>
      </c>
      <c r="K42" s="2" t="s">
        <v>1</v>
      </c>
    </row>
    <row r="43" spans="1:11" x14ac:dyDescent="0.35">
      <c r="A43" s="2" t="s">
        <v>53</v>
      </c>
      <c r="B43" s="2">
        <v>553</v>
      </c>
      <c r="C43" s="2">
        <v>431</v>
      </c>
      <c r="D43" s="2">
        <v>0.56199186991869921</v>
      </c>
      <c r="E43" s="2">
        <v>5.6254790749006029E-5</v>
      </c>
      <c r="F43" s="2">
        <v>0.99995679651160119</v>
      </c>
      <c r="G43" s="2">
        <v>1.125095814980121E-4</v>
      </c>
      <c r="H43" s="2">
        <v>5.0283886111723852E-5</v>
      </c>
      <c r="I43" s="2">
        <v>0.99994971611388828</v>
      </c>
      <c r="J43" s="2">
        <v>1.005677722234477E-4</v>
      </c>
      <c r="K43" s="2" t="s">
        <v>1</v>
      </c>
    </row>
    <row r="44" spans="1:11" x14ac:dyDescent="0.35">
      <c r="A44" s="2" t="s">
        <v>54</v>
      </c>
      <c r="B44" s="2">
        <v>680</v>
      </c>
      <c r="C44" s="2">
        <v>304</v>
      </c>
      <c r="D44" s="2">
        <v>0.69105691056910568</v>
      </c>
      <c r="E44" s="2">
        <v>4.887639291849132E-34</v>
      </c>
      <c r="F44" s="2">
        <v>1</v>
      </c>
      <c r="G44" s="2">
        <v>9.775278583698264E-34</v>
      </c>
      <c r="H44" s="2">
        <v>0</v>
      </c>
      <c r="I44" s="2">
        <v>1</v>
      </c>
      <c r="J44" s="2">
        <v>0</v>
      </c>
      <c r="K44" s="2" t="s">
        <v>1</v>
      </c>
    </row>
    <row r="45" spans="1:11" x14ac:dyDescent="0.35">
      <c r="A45" s="2" t="s">
        <v>55</v>
      </c>
      <c r="B45" s="2">
        <v>612</v>
      </c>
      <c r="C45" s="2">
        <v>372</v>
      </c>
      <c r="D45" s="2">
        <v>0.62195121951219512</v>
      </c>
      <c r="E45" s="2">
        <v>9.5415946369761507E-15</v>
      </c>
      <c r="F45" s="2">
        <v>0.99999999999999423</v>
      </c>
      <c r="G45" s="2">
        <v>1.9083189273952301E-14</v>
      </c>
      <c r="H45" s="2">
        <v>9.9920072216264089E-15</v>
      </c>
      <c r="I45" s="2">
        <v>0.99999999999999001</v>
      </c>
      <c r="J45" s="2">
        <v>1.9984014443252821E-14</v>
      </c>
      <c r="K45" s="2" t="s">
        <v>1</v>
      </c>
    </row>
    <row r="46" spans="1:11" x14ac:dyDescent="0.35">
      <c r="A46" s="2" t="s">
        <v>56</v>
      </c>
      <c r="B46" s="2">
        <v>907</v>
      </c>
      <c r="C46" s="2">
        <v>77</v>
      </c>
      <c r="D46" s="2">
        <v>0.9217479674796748</v>
      </c>
      <c r="E46" s="2">
        <v>6.271680238890102E-181</v>
      </c>
      <c r="F46" s="2">
        <v>1</v>
      </c>
      <c r="G46" s="2">
        <v>1.25433604777802E-180</v>
      </c>
      <c r="H46" s="2">
        <v>0</v>
      </c>
      <c r="I46" s="2">
        <v>1</v>
      </c>
      <c r="J46" s="2">
        <v>0</v>
      </c>
      <c r="K46" s="2" t="s">
        <v>1</v>
      </c>
    </row>
    <row r="47" spans="1:11" x14ac:dyDescent="0.35">
      <c r="A47" s="2" t="s">
        <v>57</v>
      </c>
      <c r="B47" s="2">
        <v>923</v>
      </c>
      <c r="C47" s="2">
        <v>61</v>
      </c>
      <c r="D47" s="2">
        <v>0.93800813008130079</v>
      </c>
      <c r="E47" s="2">
        <v>7.2200576962155218E-199</v>
      </c>
      <c r="F47" s="2">
        <v>1</v>
      </c>
      <c r="G47" s="2">
        <v>1.444011539243104E-198</v>
      </c>
      <c r="H47" s="2">
        <v>0</v>
      </c>
      <c r="I47" s="2">
        <v>1</v>
      </c>
      <c r="J47" s="2">
        <v>0</v>
      </c>
      <c r="K47" s="2" t="s">
        <v>1</v>
      </c>
    </row>
    <row r="48" spans="1:11" x14ac:dyDescent="0.35">
      <c r="A48" s="2" t="s">
        <v>58</v>
      </c>
      <c r="B48" s="2">
        <v>947</v>
      </c>
      <c r="C48" s="2">
        <v>37</v>
      </c>
      <c r="D48" s="2">
        <v>0.96239837398373984</v>
      </c>
      <c r="E48" s="2">
        <v>1.2828897628811731E-229</v>
      </c>
      <c r="F48" s="2">
        <v>1</v>
      </c>
      <c r="G48" s="2">
        <v>2.5657795257623451E-229</v>
      </c>
      <c r="H48" s="2">
        <v>0</v>
      </c>
      <c r="I48" s="2">
        <v>1</v>
      </c>
      <c r="J48" s="2">
        <v>0</v>
      </c>
      <c r="K48" s="2" t="s">
        <v>1</v>
      </c>
    </row>
    <row r="49" spans="1:11" x14ac:dyDescent="0.35">
      <c r="A49" s="2" t="s">
        <v>59</v>
      </c>
      <c r="B49" s="2">
        <v>951</v>
      </c>
      <c r="C49" s="2">
        <v>33</v>
      </c>
      <c r="D49" s="2">
        <v>0.96646341463414631</v>
      </c>
      <c r="E49" s="2">
        <v>2.4905535292694791E-235</v>
      </c>
      <c r="F49" s="2">
        <v>1</v>
      </c>
      <c r="G49" s="2">
        <v>4.981107058538959E-235</v>
      </c>
      <c r="H49" s="2">
        <v>0</v>
      </c>
      <c r="I49" s="2">
        <v>1</v>
      </c>
      <c r="J49" s="2">
        <v>0</v>
      </c>
      <c r="K49" s="2" t="s">
        <v>1</v>
      </c>
    </row>
    <row r="50" spans="1:11" x14ac:dyDescent="0.35">
      <c r="A50" s="2" t="s">
        <v>60</v>
      </c>
      <c r="B50" s="2">
        <v>663</v>
      </c>
      <c r="C50" s="2">
        <v>321</v>
      </c>
      <c r="D50" s="2">
        <v>0.67378048780487809</v>
      </c>
      <c r="E50" s="2">
        <v>2.293503273485017E-28</v>
      </c>
      <c r="F50" s="2">
        <v>1</v>
      </c>
      <c r="G50" s="2">
        <v>4.5870065469700331E-28</v>
      </c>
      <c r="H50" s="2">
        <v>0</v>
      </c>
      <c r="I50" s="2">
        <v>1</v>
      </c>
      <c r="J50" s="2">
        <v>0</v>
      </c>
      <c r="K50" s="2" t="s">
        <v>1</v>
      </c>
    </row>
    <row r="51" spans="1:11" x14ac:dyDescent="0.35">
      <c r="A51" s="2" t="s">
        <v>61</v>
      </c>
      <c r="B51" s="2">
        <v>521</v>
      </c>
      <c r="C51" s="2">
        <v>463</v>
      </c>
      <c r="D51" s="2">
        <v>0.52947154471544711</v>
      </c>
      <c r="E51" s="2">
        <v>3.4574262597071033E-2</v>
      </c>
      <c r="F51" s="2">
        <v>0.97003143955156745</v>
      </c>
      <c r="G51" s="2">
        <v>6.9148525194142052E-2</v>
      </c>
      <c r="H51" s="2">
        <v>3.2230894181142111E-2</v>
      </c>
      <c r="I51" s="2">
        <v>0.96776910581885789</v>
      </c>
      <c r="J51" s="2">
        <v>6.4461788362284222E-2</v>
      </c>
      <c r="K51" s="2" t="s">
        <v>1</v>
      </c>
    </row>
    <row r="52" spans="1:11" x14ac:dyDescent="0.35">
      <c r="A52" s="2" t="s">
        <v>62</v>
      </c>
      <c r="B52" s="2">
        <v>984</v>
      </c>
      <c r="C52" s="2">
        <v>0</v>
      </c>
      <c r="D52" s="2">
        <v>1</v>
      </c>
      <c r="E52" s="2">
        <v>6.1162364502226952E-297</v>
      </c>
      <c r="F52" s="2">
        <v>1</v>
      </c>
      <c r="G52" s="2">
        <v>1.223247290044539E-296</v>
      </c>
      <c r="H52" s="2">
        <v>0</v>
      </c>
      <c r="I52" s="2">
        <v>1</v>
      </c>
      <c r="J52" s="2">
        <v>0</v>
      </c>
      <c r="K52" s="2" t="s">
        <v>1</v>
      </c>
    </row>
    <row r="53" spans="1:11" x14ac:dyDescent="0.35">
      <c r="A53" s="2" t="s">
        <v>63</v>
      </c>
      <c r="B53" s="2">
        <v>984</v>
      </c>
      <c r="C53" s="2">
        <v>0</v>
      </c>
      <c r="D53" s="2">
        <v>1</v>
      </c>
      <c r="E53" s="2">
        <v>6.1162364502226952E-297</v>
      </c>
      <c r="F53" s="2">
        <v>1</v>
      </c>
      <c r="G53" s="2">
        <v>1.223247290044539E-296</v>
      </c>
      <c r="H53" s="2">
        <v>0</v>
      </c>
      <c r="I53" s="2">
        <v>1</v>
      </c>
      <c r="J53" s="2">
        <v>0</v>
      </c>
      <c r="K53" s="2" t="s">
        <v>1</v>
      </c>
    </row>
    <row r="54" spans="1:11" x14ac:dyDescent="0.35">
      <c r="A54" s="2" t="s">
        <v>64</v>
      </c>
      <c r="B54" s="2">
        <v>984</v>
      </c>
      <c r="C54" s="2">
        <v>0</v>
      </c>
      <c r="D54" s="2">
        <v>1</v>
      </c>
      <c r="E54" s="2">
        <v>6.1162364502226952E-297</v>
      </c>
      <c r="F54" s="2">
        <v>1</v>
      </c>
      <c r="G54" s="2">
        <v>1.223247290044539E-296</v>
      </c>
      <c r="H54" s="2">
        <v>0</v>
      </c>
      <c r="I54" s="2">
        <v>1</v>
      </c>
      <c r="J54" s="2">
        <v>0</v>
      </c>
      <c r="K54" s="2" t="s">
        <v>1</v>
      </c>
    </row>
    <row r="55" spans="1:11" x14ac:dyDescent="0.35">
      <c r="A55" s="2" t="s">
        <v>65</v>
      </c>
      <c r="B55" s="2">
        <v>984</v>
      </c>
      <c r="C55" s="2">
        <v>0</v>
      </c>
      <c r="D55" s="2">
        <v>1</v>
      </c>
      <c r="E55" s="2">
        <v>6.1162364502226952E-297</v>
      </c>
      <c r="F55" s="2">
        <v>1</v>
      </c>
      <c r="G55" s="2">
        <v>1.223247290044539E-296</v>
      </c>
      <c r="H55" s="2">
        <v>0</v>
      </c>
      <c r="I55" s="2">
        <v>1</v>
      </c>
      <c r="J55" s="2">
        <v>0</v>
      </c>
      <c r="K55" s="2" t="s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55"/>
  <sheetViews>
    <sheetView workbookViewId="0"/>
  </sheetViews>
  <sheetFormatPr defaultRowHeight="14.5" x14ac:dyDescent="0.35"/>
  <cols>
    <col min="1" max="1" width="23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831</v>
      </c>
      <c r="C2" s="2">
        <v>802</v>
      </c>
      <c r="D2" s="2">
        <v>0.50887936313533377</v>
      </c>
      <c r="E2" s="2">
        <v>0.24419474832637281</v>
      </c>
      <c r="F2" s="2">
        <v>0.77106725606508009</v>
      </c>
      <c r="G2" s="2">
        <v>0.4883894966527455</v>
      </c>
      <c r="H2" s="2">
        <v>0.23649052625192021</v>
      </c>
      <c r="I2" s="2">
        <v>0.76350947374807976</v>
      </c>
      <c r="J2" s="2">
        <v>0.47298105250384048</v>
      </c>
      <c r="K2" s="2" t="s">
        <v>12</v>
      </c>
    </row>
    <row r="3" spans="1:11" x14ac:dyDescent="0.35">
      <c r="A3" s="2" t="s">
        <v>13</v>
      </c>
      <c r="B3" s="2">
        <v>240</v>
      </c>
      <c r="C3" s="2">
        <v>1393</v>
      </c>
      <c r="D3" s="2">
        <v>0.14696876913655851</v>
      </c>
      <c r="E3" s="2">
        <v>1</v>
      </c>
      <c r="F3" s="2">
        <v>9.4838893538466697E-198</v>
      </c>
      <c r="G3" s="2">
        <v>1.8967778707693339E-197</v>
      </c>
      <c r="H3" s="2">
        <v>1</v>
      </c>
      <c r="I3" s="2">
        <v>2.3315279788395069E-179</v>
      </c>
      <c r="J3" s="2">
        <v>0</v>
      </c>
      <c r="K3" s="2" t="s">
        <v>2</v>
      </c>
    </row>
    <row r="4" spans="1:11" x14ac:dyDescent="0.35">
      <c r="A4" s="2" t="s">
        <v>14</v>
      </c>
      <c r="B4" s="2">
        <v>80</v>
      </c>
      <c r="C4" s="2">
        <v>1553</v>
      </c>
      <c r="D4" s="2">
        <v>4.8989589712186157E-2</v>
      </c>
      <c r="E4" s="2">
        <v>1</v>
      </c>
      <c r="F4" s="2">
        <v>0</v>
      </c>
      <c r="G4" s="2">
        <v>0</v>
      </c>
      <c r="H4" s="2">
        <v>1</v>
      </c>
      <c r="I4" s="2">
        <v>3.3143734010350243E-291</v>
      </c>
      <c r="J4" s="2">
        <v>0</v>
      </c>
      <c r="K4" s="2" t="s">
        <v>2</v>
      </c>
    </row>
    <row r="5" spans="1:11" x14ac:dyDescent="0.35">
      <c r="A5" s="2" t="s">
        <v>15</v>
      </c>
      <c r="B5" s="2">
        <v>106</v>
      </c>
      <c r="C5" s="2">
        <v>1527</v>
      </c>
      <c r="D5" s="2">
        <v>6.4911206368646668E-2</v>
      </c>
      <c r="E5" s="2">
        <v>1</v>
      </c>
      <c r="F5" s="2">
        <v>0</v>
      </c>
      <c r="G5" s="2">
        <v>0</v>
      </c>
      <c r="H5" s="2">
        <v>1</v>
      </c>
      <c r="I5" s="2">
        <v>3.5240459434407239E-271</v>
      </c>
      <c r="J5" s="2">
        <v>0</v>
      </c>
      <c r="K5" s="2" t="s">
        <v>2</v>
      </c>
    </row>
    <row r="6" spans="1:11" x14ac:dyDescent="0.35">
      <c r="A6" s="2" t="s">
        <v>16</v>
      </c>
      <c r="B6" s="2">
        <v>148</v>
      </c>
      <c r="C6" s="2">
        <v>1485</v>
      </c>
      <c r="D6" s="2">
        <v>9.0630740967544393E-2</v>
      </c>
      <c r="E6" s="2">
        <v>1</v>
      </c>
      <c r="F6" s="2">
        <v>3.9230591390833051E-278</v>
      </c>
      <c r="G6" s="2">
        <v>7.8461182781666101E-278</v>
      </c>
      <c r="H6" s="2">
        <v>1</v>
      </c>
      <c r="I6" s="2">
        <v>2.3983391433546919E-240</v>
      </c>
      <c r="J6" s="2">
        <v>0</v>
      </c>
      <c r="K6" s="2" t="s">
        <v>2</v>
      </c>
    </row>
    <row r="7" spans="1:11" x14ac:dyDescent="0.35">
      <c r="A7" s="2" t="s">
        <v>17</v>
      </c>
      <c r="B7" s="2">
        <v>659</v>
      </c>
      <c r="C7" s="2">
        <v>974</v>
      </c>
      <c r="D7" s="2">
        <v>0.40355174525413351</v>
      </c>
      <c r="E7" s="2">
        <v>0.99999999999999778</v>
      </c>
      <c r="F7" s="2">
        <v>3.2423801973958432E-15</v>
      </c>
      <c r="G7" s="2">
        <v>6.4847603947916863E-15</v>
      </c>
      <c r="H7" s="2">
        <v>0.99999999999999678</v>
      </c>
      <c r="I7" s="2">
        <v>3.2198097325126299E-15</v>
      </c>
      <c r="J7" s="2">
        <v>6.4392935428259079E-15</v>
      </c>
      <c r="K7" s="2" t="s">
        <v>2</v>
      </c>
    </row>
    <row r="8" spans="1:11" x14ac:dyDescent="0.35">
      <c r="A8" s="2" t="s">
        <v>18</v>
      </c>
      <c r="B8" s="2">
        <v>546</v>
      </c>
      <c r="C8" s="2">
        <v>1087</v>
      </c>
      <c r="D8" s="2">
        <v>0.33435394978567062</v>
      </c>
      <c r="E8" s="2">
        <v>1</v>
      </c>
      <c r="F8" s="2">
        <v>9.0742231016000171E-42</v>
      </c>
      <c r="G8" s="2">
        <v>1.8148446203200029E-41</v>
      </c>
      <c r="H8" s="2">
        <v>1</v>
      </c>
      <c r="I8" s="2">
        <v>3.5704841140735762E-41</v>
      </c>
      <c r="J8" s="2">
        <v>0</v>
      </c>
      <c r="K8" s="2" t="s">
        <v>2</v>
      </c>
    </row>
    <row r="9" spans="1:11" x14ac:dyDescent="0.35">
      <c r="A9" s="2" t="s">
        <v>19</v>
      </c>
      <c r="B9" s="2">
        <v>602</v>
      </c>
      <c r="C9" s="2">
        <v>1031</v>
      </c>
      <c r="D9" s="2">
        <v>0.36864666258420092</v>
      </c>
      <c r="E9" s="2">
        <v>1</v>
      </c>
      <c r="F9" s="2">
        <v>8.4452298333022239E-27</v>
      </c>
      <c r="G9" s="2">
        <v>1.6890459666604451E-26</v>
      </c>
      <c r="H9" s="2">
        <v>1</v>
      </c>
      <c r="I9" s="2">
        <v>1.2543756448573199E-26</v>
      </c>
      <c r="J9" s="2">
        <v>0</v>
      </c>
      <c r="K9" s="2" t="s">
        <v>2</v>
      </c>
    </row>
    <row r="10" spans="1:11" x14ac:dyDescent="0.35">
      <c r="A10" s="2" t="s">
        <v>20</v>
      </c>
      <c r="B10" s="2">
        <v>306</v>
      </c>
      <c r="C10" s="2">
        <v>1327</v>
      </c>
      <c r="D10" s="2">
        <v>0.18738518064911211</v>
      </c>
      <c r="E10" s="2">
        <v>1</v>
      </c>
      <c r="F10" s="2">
        <v>1.149636492995736E-151</v>
      </c>
      <c r="G10" s="2">
        <v>2.2992729859914729E-151</v>
      </c>
      <c r="H10" s="2">
        <v>1</v>
      </c>
      <c r="I10" s="2">
        <v>3.7993037358794348E-141</v>
      </c>
      <c r="J10" s="2">
        <v>0</v>
      </c>
      <c r="K10" s="2" t="s">
        <v>2</v>
      </c>
    </row>
    <row r="11" spans="1:11" x14ac:dyDescent="0.35">
      <c r="A11" s="2" t="s">
        <v>21</v>
      </c>
      <c r="B11" s="2">
        <v>740</v>
      </c>
      <c r="C11" s="2">
        <v>893</v>
      </c>
      <c r="D11" s="2">
        <v>0.45315370483772199</v>
      </c>
      <c r="E11" s="2">
        <v>0.99993150454811197</v>
      </c>
      <c r="F11" s="2">
        <v>8.3628473903596073E-5</v>
      </c>
      <c r="G11" s="2">
        <v>1.6725694780719209E-4</v>
      </c>
      <c r="H11" s="2">
        <v>0.99992350173210398</v>
      </c>
      <c r="I11" s="2">
        <v>7.6498267895998515E-5</v>
      </c>
      <c r="J11" s="2">
        <v>1.529965357920382E-4</v>
      </c>
      <c r="K11" s="2" t="s">
        <v>2</v>
      </c>
    </row>
    <row r="12" spans="1:11" x14ac:dyDescent="0.35">
      <c r="A12" s="2" t="s">
        <v>22</v>
      </c>
      <c r="B12" s="2">
        <v>638</v>
      </c>
      <c r="C12" s="2">
        <v>995</v>
      </c>
      <c r="D12" s="2">
        <v>0.39069197795468458</v>
      </c>
      <c r="E12" s="2">
        <v>1</v>
      </c>
      <c r="F12" s="2">
        <v>4.5904208527323692E-19</v>
      </c>
      <c r="G12" s="2">
        <v>9.1808417054647383E-19</v>
      </c>
      <c r="H12" s="2">
        <v>1</v>
      </c>
      <c r="I12" s="2">
        <v>5.0336193513219928E-19</v>
      </c>
      <c r="J12" s="2">
        <v>0</v>
      </c>
      <c r="K12" s="2" t="s">
        <v>2</v>
      </c>
    </row>
    <row r="13" spans="1:11" x14ac:dyDescent="0.35">
      <c r="A13" s="2" t="s">
        <v>23</v>
      </c>
      <c r="B13" s="2">
        <v>671</v>
      </c>
      <c r="C13" s="2">
        <v>962</v>
      </c>
      <c r="D13" s="2">
        <v>0.41090018371096138</v>
      </c>
      <c r="E13" s="2">
        <v>0.99999999999978373</v>
      </c>
      <c r="F13" s="2">
        <v>3.1212304272284249E-13</v>
      </c>
      <c r="G13" s="2">
        <v>6.2424608544568499E-13</v>
      </c>
      <c r="H13" s="2">
        <v>0.99999999999970135</v>
      </c>
      <c r="I13" s="2">
        <v>2.9860529537364592E-13</v>
      </c>
      <c r="J13" s="2">
        <v>5.9729998724833422E-13</v>
      </c>
      <c r="K13" s="2" t="s">
        <v>2</v>
      </c>
    </row>
    <row r="14" spans="1:11" x14ac:dyDescent="0.35">
      <c r="A14" s="2" t="s">
        <v>24</v>
      </c>
      <c r="B14" s="2">
        <v>770</v>
      </c>
      <c r="C14" s="2">
        <v>863</v>
      </c>
      <c r="D14" s="2">
        <v>0.47152480097979182</v>
      </c>
      <c r="E14" s="2">
        <v>0.99000827141995984</v>
      </c>
      <c r="F14" s="2">
        <v>1.1389278381152701E-2</v>
      </c>
      <c r="G14" s="2">
        <v>2.2778556762305401E-2</v>
      </c>
      <c r="H14" s="2">
        <v>0.98931514698808831</v>
      </c>
      <c r="I14" s="2">
        <v>1.0684853011911671E-2</v>
      </c>
      <c r="J14" s="2">
        <v>2.1369706023823379E-2</v>
      </c>
      <c r="K14" s="2" t="s">
        <v>2</v>
      </c>
    </row>
    <row r="15" spans="1:11" x14ac:dyDescent="0.35">
      <c r="A15" s="2" t="s">
        <v>25</v>
      </c>
      <c r="B15" s="2">
        <v>472</v>
      </c>
      <c r="C15" s="2">
        <v>1161</v>
      </c>
      <c r="D15" s="2">
        <v>0.28903857930189841</v>
      </c>
      <c r="E15" s="2">
        <v>1</v>
      </c>
      <c r="F15" s="2">
        <v>2.6140504054922549E-67</v>
      </c>
      <c r="G15" s="2">
        <v>5.2281008109845097E-67</v>
      </c>
      <c r="H15" s="2">
        <v>1</v>
      </c>
      <c r="I15" s="2">
        <v>1.745617922261435E-65</v>
      </c>
      <c r="J15" s="2">
        <v>0</v>
      </c>
      <c r="K15" s="2" t="s">
        <v>2</v>
      </c>
    </row>
    <row r="16" spans="1:11" x14ac:dyDescent="0.35">
      <c r="A16" s="2" t="s">
        <v>26</v>
      </c>
      <c r="B16" s="2">
        <v>770</v>
      </c>
      <c r="C16" s="2">
        <v>863</v>
      </c>
      <c r="D16" s="2">
        <v>0.47152480097979182</v>
      </c>
      <c r="E16" s="2">
        <v>0.99000827141995984</v>
      </c>
      <c r="F16" s="2">
        <v>1.1389278381152701E-2</v>
      </c>
      <c r="G16" s="2">
        <v>2.2778556762305401E-2</v>
      </c>
      <c r="H16" s="2">
        <v>0.98931514698808831</v>
      </c>
      <c r="I16" s="2">
        <v>1.0684853011911671E-2</v>
      </c>
      <c r="J16" s="2">
        <v>2.1369706023823379E-2</v>
      </c>
      <c r="K16" s="2" t="s">
        <v>2</v>
      </c>
    </row>
    <row r="17" spans="1:11" x14ac:dyDescent="0.35">
      <c r="A17" s="2" t="s">
        <v>27</v>
      </c>
      <c r="B17" s="2">
        <v>357</v>
      </c>
      <c r="C17" s="2">
        <v>1276</v>
      </c>
      <c r="D17" s="2">
        <v>0.21861604409063071</v>
      </c>
      <c r="E17" s="2">
        <v>1</v>
      </c>
      <c r="F17" s="2">
        <v>2.380395867654661E-121</v>
      </c>
      <c r="G17" s="2">
        <v>4.7607917353093212E-121</v>
      </c>
      <c r="H17" s="2">
        <v>1</v>
      </c>
      <c r="I17" s="2">
        <v>8.6743319498620548E-115</v>
      </c>
      <c r="J17" s="2">
        <v>0</v>
      </c>
      <c r="K17" s="2" t="s">
        <v>2</v>
      </c>
    </row>
    <row r="18" spans="1:11" x14ac:dyDescent="0.35">
      <c r="A18" s="2" t="s">
        <v>28</v>
      </c>
      <c r="B18" s="2">
        <v>433</v>
      </c>
      <c r="C18" s="2">
        <v>1200</v>
      </c>
      <c r="D18" s="2">
        <v>0.26515615431720763</v>
      </c>
      <c r="E18" s="2">
        <v>1</v>
      </c>
      <c r="F18" s="2">
        <v>5.0946124501019883E-84</v>
      </c>
      <c r="G18" s="2">
        <v>1.018922490020398E-83</v>
      </c>
      <c r="H18" s="2">
        <v>1</v>
      </c>
      <c r="I18" s="2">
        <v>1.241701567465425E-80</v>
      </c>
      <c r="J18" s="2">
        <v>0</v>
      </c>
      <c r="K18" s="2" t="s">
        <v>2</v>
      </c>
    </row>
    <row r="19" spans="1:11" x14ac:dyDescent="0.35">
      <c r="A19" s="2" t="s">
        <v>29</v>
      </c>
      <c r="B19" s="2">
        <v>169</v>
      </c>
      <c r="C19" s="2">
        <v>1464</v>
      </c>
      <c r="D19" s="2">
        <v>0.1034905082669933</v>
      </c>
      <c r="E19" s="2">
        <v>1</v>
      </c>
      <c r="F19" s="2">
        <v>8.37768328240384E-258</v>
      </c>
      <c r="G19" s="2">
        <v>1.675536656480768E-257</v>
      </c>
      <c r="H19" s="2">
        <v>1</v>
      </c>
      <c r="I19" s="2">
        <v>1.2395709101915819E-225</v>
      </c>
      <c r="J19" s="2">
        <v>0</v>
      </c>
      <c r="K19" s="2" t="s">
        <v>2</v>
      </c>
    </row>
    <row r="20" spans="1:11" x14ac:dyDescent="0.35">
      <c r="A20" s="2" t="s">
        <v>30</v>
      </c>
      <c r="B20" s="2">
        <v>92</v>
      </c>
      <c r="C20" s="2">
        <v>1541</v>
      </c>
      <c r="D20" s="2">
        <v>5.6338028169014093E-2</v>
      </c>
      <c r="E20" s="2">
        <v>1</v>
      </c>
      <c r="F20" s="2">
        <v>0</v>
      </c>
      <c r="G20" s="2">
        <v>0</v>
      </c>
      <c r="H20" s="2">
        <v>1</v>
      </c>
      <c r="I20" s="2">
        <v>7.1245199745431177E-282</v>
      </c>
      <c r="J20" s="2">
        <v>0</v>
      </c>
      <c r="K20" s="2" t="s">
        <v>2</v>
      </c>
    </row>
    <row r="21" spans="1:11" x14ac:dyDescent="0.35">
      <c r="A21" s="2" t="s">
        <v>31</v>
      </c>
      <c r="B21" s="2">
        <v>661</v>
      </c>
      <c r="C21" s="2">
        <v>972</v>
      </c>
      <c r="D21" s="2">
        <v>0.40477648499693808</v>
      </c>
      <c r="E21" s="2">
        <v>0.99999999999999523</v>
      </c>
      <c r="F21" s="2">
        <v>7.1169296799530213E-15</v>
      </c>
      <c r="G21" s="2">
        <v>1.4233859359906039E-14</v>
      </c>
      <c r="H21" s="2">
        <v>0.99999999999999301</v>
      </c>
      <c r="I21" s="2">
        <v>7.0174136617221408E-15</v>
      </c>
      <c r="J21" s="2">
        <v>1.3988810110276969E-14</v>
      </c>
      <c r="K21" s="2" t="s">
        <v>2</v>
      </c>
    </row>
    <row r="22" spans="1:11" x14ac:dyDescent="0.35">
      <c r="A22" s="2" t="s">
        <v>32</v>
      </c>
      <c r="B22" s="2">
        <v>641</v>
      </c>
      <c r="C22" s="2">
        <v>992</v>
      </c>
      <c r="D22" s="2">
        <v>0.3925290875688916</v>
      </c>
      <c r="E22" s="2">
        <v>1</v>
      </c>
      <c r="F22" s="2">
        <v>1.74325485086769E-18</v>
      </c>
      <c r="G22" s="2">
        <v>3.4865097017353799E-18</v>
      </c>
      <c r="H22" s="2">
        <v>1</v>
      </c>
      <c r="I22" s="2">
        <v>1.879041622314169E-18</v>
      </c>
      <c r="J22" s="2">
        <v>0</v>
      </c>
      <c r="K22" s="2" t="s">
        <v>2</v>
      </c>
    </row>
    <row r="23" spans="1:11" x14ac:dyDescent="0.35">
      <c r="A23" s="2" t="s">
        <v>33</v>
      </c>
      <c r="B23" s="2">
        <v>799</v>
      </c>
      <c r="C23" s="2">
        <v>834</v>
      </c>
      <c r="D23" s="2">
        <v>0.48928352725045932</v>
      </c>
      <c r="E23" s="2">
        <v>0.8134953038914281</v>
      </c>
      <c r="F23" s="2">
        <v>0.2000745154932691</v>
      </c>
      <c r="G23" s="2">
        <v>0.40014903098653831</v>
      </c>
      <c r="H23" s="2">
        <v>0.80678611743958184</v>
      </c>
      <c r="I23" s="2">
        <v>0.19321388256041819</v>
      </c>
      <c r="J23" s="2">
        <v>0.38642776512083632</v>
      </c>
      <c r="K23" s="2" t="s">
        <v>12</v>
      </c>
    </row>
    <row r="24" spans="1:11" x14ac:dyDescent="0.35">
      <c r="A24" s="2" t="s">
        <v>34</v>
      </c>
      <c r="B24" s="2">
        <v>344</v>
      </c>
      <c r="C24" s="2">
        <v>1289</v>
      </c>
      <c r="D24" s="2">
        <v>0.2106552357624005</v>
      </c>
      <c r="E24" s="2">
        <v>1</v>
      </c>
      <c r="F24" s="2">
        <v>1.123871383459927E-128</v>
      </c>
      <c r="G24" s="2">
        <v>2.2477427669198539E-128</v>
      </c>
      <c r="H24" s="2">
        <v>1</v>
      </c>
      <c r="I24" s="2">
        <v>3.031741789759942E-121</v>
      </c>
      <c r="J24" s="2">
        <v>0</v>
      </c>
      <c r="K24" s="2" t="s">
        <v>2</v>
      </c>
    </row>
    <row r="25" spans="1:11" x14ac:dyDescent="0.35">
      <c r="A25" s="2" t="s">
        <v>35</v>
      </c>
      <c r="B25" s="2">
        <v>281</v>
      </c>
      <c r="C25" s="2">
        <v>1352</v>
      </c>
      <c r="D25" s="2">
        <v>0.1720759338640539</v>
      </c>
      <c r="E25" s="2">
        <v>1</v>
      </c>
      <c r="F25" s="2">
        <v>3.7661477165663621E-168</v>
      </c>
      <c r="G25" s="2">
        <v>7.5322954331327233E-168</v>
      </c>
      <c r="H25" s="2">
        <v>1</v>
      </c>
      <c r="I25" s="2">
        <v>4.4655678932385023E-155</v>
      </c>
      <c r="J25" s="2">
        <v>0</v>
      </c>
      <c r="K25" s="2" t="s">
        <v>2</v>
      </c>
    </row>
    <row r="26" spans="1:11" x14ac:dyDescent="0.35">
      <c r="A26" s="2" t="s">
        <v>36</v>
      </c>
      <c r="B26" s="2">
        <v>508</v>
      </c>
      <c r="C26" s="2">
        <v>1125</v>
      </c>
      <c r="D26" s="2">
        <v>0.31108389467238212</v>
      </c>
      <c r="E26" s="2">
        <v>1</v>
      </c>
      <c r="F26" s="2">
        <v>4.8712267595200452E-54</v>
      </c>
      <c r="G26" s="2">
        <v>9.7424535190400904E-54</v>
      </c>
      <c r="H26" s="2">
        <v>1</v>
      </c>
      <c r="I26" s="2">
        <v>6.2140191762496605E-53</v>
      </c>
      <c r="J26" s="2">
        <v>0</v>
      </c>
      <c r="K26" s="2" t="s">
        <v>2</v>
      </c>
    </row>
    <row r="27" spans="1:11" x14ac:dyDescent="0.35">
      <c r="A27" s="2" t="s">
        <v>37</v>
      </c>
      <c r="B27" s="2">
        <v>612</v>
      </c>
      <c r="C27" s="2">
        <v>1021</v>
      </c>
      <c r="D27" s="2">
        <v>0.37477036129822411</v>
      </c>
      <c r="E27" s="2">
        <v>1</v>
      </c>
      <c r="F27" s="2">
        <v>1.6632149456940519E-24</v>
      </c>
      <c r="G27" s="2">
        <v>3.3264298913881054E-24</v>
      </c>
      <c r="H27" s="2">
        <v>1</v>
      </c>
      <c r="I27" s="2">
        <v>2.2255828756059409E-24</v>
      </c>
      <c r="J27" s="2">
        <v>0</v>
      </c>
      <c r="K27" s="2" t="s">
        <v>2</v>
      </c>
    </row>
    <row r="28" spans="1:11" x14ac:dyDescent="0.35">
      <c r="A28" s="2" t="s">
        <v>38</v>
      </c>
      <c r="B28" s="2">
        <v>989</v>
      </c>
      <c r="C28" s="2">
        <v>644</v>
      </c>
      <c r="D28" s="2">
        <v>0.60563380281690138</v>
      </c>
      <c r="E28" s="2">
        <v>6.4707186971981602E-18</v>
      </c>
      <c r="F28" s="2">
        <v>1</v>
      </c>
      <c r="G28" s="2">
        <v>1.294143739439632E-17</v>
      </c>
      <c r="H28" s="2">
        <v>0</v>
      </c>
      <c r="I28" s="2">
        <v>1</v>
      </c>
      <c r="J28" s="2">
        <v>0</v>
      </c>
      <c r="K28" s="2" t="s">
        <v>1</v>
      </c>
    </row>
    <row r="29" spans="1:11" x14ac:dyDescent="0.35">
      <c r="A29" s="2" t="s">
        <v>39</v>
      </c>
      <c r="B29" s="2">
        <v>899</v>
      </c>
      <c r="C29" s="2">
        <v>734</v>
      </c>
      <c r="D29" s="2">
        <v>0.55052051439069194</v>
      </c>
      <c r="E29" s="2">
        <v>3.010788026116728E-5</v>
      </c>
      <c r="F29" s="2">
        <v>0.99997562887262159</v>
      </c>
      <c r="G29" s="2">
        <v>6.021576052233456E-5</v>
      </c>
      <c r="H29" s="2">
        <v>2.2218693061293319E-5</v>
      </c>
      <c r="I29" s="2">
        <v>0.99997778130693871</v>
      </c>
      <c r="J29" s="2">
        <v>4.4437386122586631E-5</v>
      </c>
      <c r="K29" s="2" t="s">
        <v>1</v>
      </c>
    </row>
    <row r="30" spans="1:11" x14ac:dyDescent="0.35">
      <c r="A30" s="2" t="s">
        <v>40</v>
      </c>
      <c r="B30" s="2">
        <v>198</v>
      </c>
      <c r="C30" s="2">
        <v>1435</v>
      </c>
      <c r="D30" s="2">
        <v>0.12124923453766071</v>
      </c>
      <c r="E30" s="2">
        <v>1</v>
      </c>
      <c r="F30" s="2">
        <v>8.85319379897486E-232</v>
      </c>
      <c r="G30" s="2">
        <v>1.770638759794972E-231</v>
      </c>
      <c r="H30" s="2">
        <v>1</v>
      </c>
      <c r="I30" s="2">
        <v>4.3774748977971711E-206</v>
      </c>
      <c r="J30" s="2">
        <v>0</v>
      </c>
      <c r="K30" s="2" t="s">
        <v>2</v>
      </c>
    </row>
    <row r="31" spans="1:11" x14ac:dyDescent="0.35">
      <c r="A31" s="2" t="s">
        <v>41</v>
      </c>
      <c r="B31" s="2">
        <v>223</v>
      </c>
      <c r="C31" s="2">
        <v>1410</v>
      </c>
      <c r="D31" s="2">
        <v>0.13655848132271889</v>
      </c>
      <c r="E31" s="2">
        <v>1</v>
      </c>
      <c r="F31" s="2">
        <v>4.8599320732755721E-211</v>
      </c>
      <c r="G31" s="2">
        <v>9.7198641465511441E-211</v>
      </c>
      <c r="H31" s="2">
        <v>1</v>
      </c>
      <c r="I31" s="2">
        <v>5.9649069332300377E-190</v>
      </c>
      <c r="J31" s="2">
        <v>0</v>
      </c>
      <c r="K31" s="2" t="s">
        <v>2</v>
      </c>
    </row>
    <row r="32" spans="1:11" x14ac:dyDescent="0.35">
      <c r="A32" s="2" t="s">
        <v>42</v>
      </c>
      <c r="B32" s="2">
        <v>174</v>
      </c>
      <c r="C32" s="2">
        <v>1459</v>
      </c>
      <c r="D32" s="2">
        <v>0.1065523576240049</v>
      </c>
      <c r="E32" s="2">
        <v>1</v>
      </c>
      <c r="F32" s="2">
        <v>3.7339442385162298E-253</v>
      </c>
      <c r="G32" s="2">
        <v>7.4678884770324609E-253</v>
      </c>
      <c r="H32" s="2">
        <v>1</v>
      </c>
      <c r="I32" s="2">
        <v>3.3679969069249313E-222</v>
      </c>
      <c r="J32" s="2">
        <v>0</v>
      </c>
      <c r="K32" s="2" t="s">
        <v>2</v>
      </c>
    </row>
    <row r="33" spans="1:11" x14ac:dyDescent="0.35">
      <c r="A33" s="2" t="s">
        <v>43</v>
      </c>
      <c r="B33" s="2">
        <v>168</v>
      </c>
      <c r="C33" s="2">
        <v>1465</v>
      </c>
      <c r="D33" s="2">
        <v>0.1028781383955909</v>
      </c>
      <c r="E33" s="2">
        <v>1</v>
      </c>
      <c r="F33" s="2">
        <v>9.6560641264066681E-259</v>
      </c>
      <c r="G33" s="2">
        <v>1.9312128252813341E-258</v>
      </c>
      <c r="H33" s="2">
        <v>1</v>
      </c>
      <c r="I33" s="2">
        <v>2.530830328500947E-226</v>
      </c>
      <c r="J33" s="2">
        <v>0</v>
      </c>
      <c r="K33" s="2" t="s">
        <v>2</v>
      </c>
    </row>
    <row r="34" spans="1:11" x14ac:dyDescent="0.35">
      <c r="A34" s="2" t="s">
        <v>44</v>
      </c>
      <c r="B34" s="2">
        <v>524</v>
      </c>
      <c r="C34" s="2">
        <v>1109</v>
      </c>
      <c r="D34" s="2">
        <v>0.32088181261481941</v>
      </c>
      <c r="E34" s="2">
        <v>1</v>
      </c>
      <c r="F34" s="2">
        <v>1.1679715287202179E-48</v>
      </c>
      <c r="G34" s="2">
        <v>2.3359430574404359E-48</v>
      </c>
      <c r="H34" s="2">
        <v>1</v>
      </c>
      <c r="I34" s="2">
        <v>8.5315019274241633E-48</v>
      </c>
      <c r="J34" s="2">
        <v>0</v>
      </c>
      <c r="K34" s="2" t="s">
        <v>2</v>
      </c>
    </row>
    <row r="35" spans="1:11" x14ac:dyDescent="0.35">
      <c r="A35" s="2" t="s">
        <v>45</v>
      </c>
      <c r="B35" s="2">
        <v>557</v>
      </c>
      <c r="C35" s="2">
        <v>1076</v>
      </c>
      <c r="D35" s="2">
        <v>0.34109001837109609</v>
      </c>
      <c r="E35" s="2">
        <v>1</v>
      </c>
      <c r="F35" s="2">
        <v>1.5363105056700481E-38</v>
      </c>
      <c r="G35" s="2">
        <v>3.0726210113400962E-38</v>
      </c>
      <c r="H35" s="2">
        <v>1</v>
      </c>
      <c r="I35" s="2">
        <v>4.6937153385856459E-38</v>
      </c>
      <c r="J35" s="2">
        <v>0</v>
      </c>
      <c r="K35" s="2" t="s">
        <v>2</v>
      </c>
    </row>
    <row r="36" spans="1:11" x14ac:dyDescent="0.35">
      <c r="A36" s="2" t="s">
        <v>46</v>
      </c>
      <c r="B36" s="2">
        <v>774</v>
      </c>
      <c r="C36" s="2">
        <v>859</v>
      </c>
      <c r="D36" s="2">
        <v>0.47397428046540108</v>
      </c>
      <c r="E36" s="2">
        <v>0.9833541997779246</v>
      </c>
      <c r="F36" s="2">
        <v>1.8807497242705841E-2</v>
      </c>
      <c r="G36" s="2">
        <v>3.7614994485411668E-2</v>
      </c>
      <c r="H36" s="2">
        <v>0.98228542912322581</v>
      </c>
      <c r="I36" s="2">
        <v>1.7714570876774239E-2</v>
      </c>
      <c r="J36" s="2">
        <v>3.5429141753548388E-2</v>
      </c>
      <c r="K36" s="2" t="s">
        <v>2</v>
      </c>
    </row>
    <row r="37" spans="1:11" x14ac:dyDescent="0.35">
      <c r="A37" s="2" t="s">
        <v>47</v>
      </c>
      <c r="B37" s="2">
        <v>488</v>
      </c>
      <c r="C37" s="2">
        <v>1145</v>
      </c>
      <c r="D37" s="2">
        <v>0.29883649724433559</v>
      </c>
      <c r="E37" s="2">
        <v>1</v>
      </c>
      <c r="F37" s="2">
        <v>3.2906088583867012E-61</v>
      </c>
      <c r="G37" s="2">
        <v>6.5812177167734025E-61</v>
      </c>
      <c r="H37" s="2">
        <v>1</v>
      </c>
      <c r="I37" s="2">
        <v>9.7708232747912297E-60</v>
      </c>
      <c r="J37" s="2">
        <v>0</v>
      </c>
      <c r="K37" s="2" t="s">
        <v>2</v>
      </c>
    </row>
    <row r="38" spans="1:11" x14ac:dyDescent="0.35">
      <c r="A38" s="2" t="s">
        <v>48</v>
      </c>
      <c r="B38" s="2">
        <v>539</v>
      </c>
      <c r="C38" s="2">
        <v>1094</v>
      </c>
      <c r="D38" s="2">
        <v>0.33006736068585418</v>
      </c>
      <c r="E38" s="2">
        <v>1</v>
      </c>
      <c r="F38" s="2">
        <v>6.7361153829833298E-44</v>
      </c>
      <c r="G38" s="2">
        <v>1.347223076596666E-43</v>
      </c>
      <c r="H38" s="2">
        <v>1</v>
      </c>
      <c r="I38" s="2">
        <v>3.1724100119529571E-43</v>
      </c>
      <c r="J38" s="2">
        <v>0</v>
      </c>
      <c r="K38" s="2" t="s">
        <v>2</v>
      </c>
    </row>
    <row r="39" spans="1:11" x14ac:dyDescent="0.35">
      <c r="A39" s="2" t="s">
        <v>49</v>
      </c>
      <c r="B39" s="2">
        <v>640</v>
      </c>
      <c r="C39" s="2">
        <v>993</v>
      </c>
      <c r="D39" s="2">
        <v>0.39191671769748931</v>
      </c>
      <c r="E39" s="2">
        <v>1</v>
      </c>
      <c r="F39" s="2">
        <v>1.1201966978573021E-18</v>
      </c>
      <c r="G39" s="2">
        <v>2.240393395714603E-18</v>
      </c>
      <c r="H39" s="2">
        <v>1</v>
      </c>
      <c r="I39" s="2">
        <v>1.214232762583879E-18</v>
      </c>
      <c r="J39" s="2">
        <v>0</v>
      </c>
      <c r="K39" s="2" t="s">
        <v>2</v>
      </c>
    </row>
    <row r="40" spans="1:11" x14ac:dyDescent="0.35">
      <c r="A40" s="2" t="s">
        <v>50</v>
      </c>
      <c r="B40" s="2">
        <v>326</v>
      </c>
      <c r="C40" s="2">
        <v>1307</v>
      </c>
      <c r="D40" s="2">
        <v>0.19963257807715859</v>
      </c>
      <c r="E40" s="2">
        <v>1</v>
      </c>
      <c r="F40" s="2">
        <v>2.885226543639389E-139</v>
      </c>
      <c r="G40" s="2">
        <v>5.7704530872787779E-139</v>
      </c>
      <c r="H40" s="2">
        <v>1</v>
      </c>
      <c r="I40" s="2">
        <v>1.7603409415339451E-130</v>
      </c>
      <c r="J40" s="2">
        <v>0</v>
      </c>
      <c r="K40" s="2" t="s">
        <v>2</v>
      </c>
    </row>
    <row r="41" spans="1:11" x14ac:dyDescent="0.35">
      <c r="A41" s="2" t="s">
        <v>51</v>
      </c>
      <c r="B41" s="2">
        <v>408</v>
      </c>
      <c r="C41" s="2">
        <v>1225</v>
      </c>
      <c r="D41" s="2">
        <v>0.24984690753214939</v>
      </c>
      <c r="E41" s="2">
        <v>1</v>
      </c>
      <c r="F41" s="2">
        <v>4.3822499590957367E-95</v>
      </c>
      <c r="G41" s="2">
        <v>8.7644999181914748E-95</v>
      </c>
      <c r="H41" s="2">
        <v>1</v>
      </c>
      <c r="I41" s="2">
        <v>3.4289175835523102E-91</v>
      </c>
      <c r="J41" s="2">
        <v>0</v>
      </c>
      <c r="K41" s="2" t="s">
        <v>2</v>
      </c>
    </row>
    <row r="42" spans="1:11" x14ac:dyDescent="0.35">
      <c r="A42" s="2" t="s">
        <v>52</v>
      </c>
      <c r="B42" s="2">
        <v>344</v>
      </c>
      <c r="C42" s="2">
        <v>1289</v>
      </c>
      <c r="D42" s="2">
        <v>0.2106552357624005</v>
      </c>
      <c r="E42" s="2">
        <v>1</v>
      </c>
      <c r="F42" s="2">
        <v>1.123871383459927E-128</v>
      </c>
      <c r="G42" s="2">
        <v>2.2477427669198539E-128</v>
      </c>
      <c r="H42" s="2">
        <v>1</v>
      </c>
      <c r="I42" s="2">
        <v>3.031741789759942E-121</v>
      </c>
      <c r="J42" s="2">
        <v>0</v>
      </c>
      <c r="K42" s="2" t="s">
        <v>2</v>
      </c>
    </row>
    <row r="43" spans="1:11" x14ac:dyDescent="0.35">
      <c r="A43" s="2" t="s">
        <v>53</v>
      </c>
      <c r="B43" s="2">
        <v>496</v>
      </c>
      <c r="C43" s="2">
        <v>1137</v>
      </c>
      <c r="D43" s="2">
        <v>0.3037354562155542</v>
      </c>
      <c r="E43" s="2">
        <v>1</v>
      </c>
      <c r="F43" s="2">
        <v>2.7890818147238602E-58</v>
      </c>
      <c r="G43" s="2">
        <v>5.5781636294477203E-58</v>
      </c>
      <c r="H43" s="2">
        <v>1</v>
      </c>
      <c r="I43" s="2">
        <v>5.7832230061587197E-57</v>
      </c>
      <c r="J43" s="2">
        <v>0</v>
      </c>
      <c r="K43" s="2" t="s">
        <v>2</v>
      </c>
    </row>
    <row r="44" spans="1:11" x14ac:dyDescent="0.35">
      <c r="A44" s="2" t="s">
        <v>54</v>
      </c>
      <c r="B44" s="2">
        <v>481</v>
      </c>
      <c r="C44" s="2">
        <v>1152</v>
      </c>
      <c r="D44" s="2">
        <v>0.29454990814451931</v>
      </c>
      <c r="E44" s="2">
        <v>1</v>
      </c>
      <c r="F44" s="2">
        <v>7.7401607060068184E-64</v>
      </c>
      <c r="G44" s="2">
        <v>1.548032141201364E-63</v>
      </c>
      <c r="H44" s="2">
        <v>1</v>
      </c>
      <c r="I44" s="2">
        <v>3.2253738746195091E-62</v>
      </c>
      <c r="J44" s="2">
        <v>0</v>
      </c>
      <c r="K44" s="2" t="s">
        <v>2</v>
      </c>
    </row>
    <row r="45" spans="1:11" x14ac:dyDescent="0.35">
      <c r="A45" s="2" t="s">
        <v>55</v>
      </c>
      <c r="B45" s="2">
        <v>441</v>
      </c>
      <c r="C45" s="2">
        <v>1192</v>
      </c>
      <c r="D45" s="2">
        <v>0.27005511328842619</v>
      </c>
      <c r="E45" s="2">
        <v>1</v>
      </c>
      <c r="F45" s="2">
        <v>1.6583364418153789E-80</v>
      </c>
      <c r="G45" s="2">
        <v>3.3166728836307571E-80</v>
      </c>
      <c r="H45" s="2">
        <v>1</v>
      </c>
      <c r="I45" s="2">
        <v>2.1518122230404222E-77</v>
      </c>
      <c r="J45" s="2">
        <v>0</v>
      </c>
      <c r="K45" s="2" t="s">
        <v>2</v>
      </c>
    </row>
    <row r="46" spans="1:11" x14ac:dyDescent="0.35">
      <c r="A46" s="2" t="s">
        <v>56</v>
      </c>
      <c r="B46" s="2">
        <v>1359</v>
      </c>
      <c r="C46" s="2">
        <v>274</v>
      </c>
      <c r="D46" s="2">
        <v>0.83221065523576243</v>
      </c>
      <c r="E46" s="2">
        <v>5.6876227392378651E-173</v>
      </c>
      <c r="F46" s="2">
        <v>1</v>
      </c>
      <c r="G46" s="2">
        <v>1.137524547847573E-172</v>
      </c>
      <c r="H46" s="2">
        <v>0</v>
      </c>
      <c r="I46" s="2">
        <v>1</v>
      </c>
      <c r="J46" s="2">
        <v>0</v>
      </c>
      <c r="K46" s="2" t="s">
        <v>1</v>
      </c>
    </row>
    <row r="47" spans="1:11" x14ac:dyDescent="0.35">
      <c r="A47" s="2" t="s">
        <v>57</v>
      </c>
      <c r="B47" s="2">
        <v>1625</v>
      </c>
      <c r="C47" s="2">
        <v>8</v>
      </c>
      <c r="D47" s="2">
        <v>0.99510104102878139</v>
      </c>
      <c r="E47" s="2">
        <v>0</v>
      </c>
      <c r="F47" s="2">
        <v>1</v>
      </c>
      <c r="G47" s="2">
        <v>0</v>
      </c>
      <c r="H47" s="2">
        <v>0</v>
      </c>
      <c r="I47" s="2">
        <v>1</v>
      </c>
      <c r="J47" s="2">
        <v>0</v>
      </c>
      <c r="K47" s="2" t="s">
        <v>1</v>
      </c>
    </row>
    <row r="48" spans="1:11" x14ac:dyDescent="0.35">
      <c r="A48" s="2" t="s">
        <v>58</v>
      </c>
      <c r="B48" s="2">
        <v>1625</v>
      </c>
      <c r="C48" s="2">
        <v>8</v>
      </c>
      <c r="D48" s="2">
        <v>0.99510104102878139</v>
      </c>
      <c r="E48" s="2">
        <v>0</v>
      </c>
      <c r="F48" s="2">
        <v>1</v>
      </c>
      <c r="G48" s="2">
        <v>0</v>
      </c>
      <c r="H48" s="2">
        <v>0</v>
      </c>
      <c r="I48" s="2">
        <v>1</v>
      </c>
      <c r="J48" s="2">
        <v>0</v>
      </c>
      <c r="K48" s="2" t="s">
        <v>1</v>
      </c>
    </row>
    <row r="49" spans="1:11" x14ac:dyDescent="0.35">
      <c r="A49" s="2" t="s">
        <v>59</v>
      </c>
      <c r="B49" s="2">
        <v>1478</v>
      </c>
      <c r="C49" s="2">
        <v>155</v>
      </c>
      <c r="D49" s="2">
        <v>0.90508266993263931</v>
      </c>
      <c r="E49" s="2">
        <v>3.3069844796833391E-271</v>
      </c>
      <c r="F49" s="2">
        <v>1</v>
      </c>
      <c r="G49" s="2">
        <v>6.6139689593666782E-271</v>
      </c>
      <c r="H49" s="2">
        <v>0</v>
      </c>
      <c r="I49" s="2">
        <v>1</v>
      </c>
      <c r="J49" s="2">
        <v>0</v>
      </c>
      <c r="K49" s="2" t="s">
        <v>1</v>
      </c>
    </row>
    <row r="50" spans="1:11" x14ac:dyDescent="0.35">
      <c r="A50" s="2" t="s">
        <v>60</v>
      </c>
      <c r="B50" s="2">
        <v>1316</v>
      </c>
      <c r="C50" s="2">
        <v>317</v>
      </c>
      <c r="D50" s="2">
        <v>0.80587875076546234</v>
      </c>
      <c r="E50" s="2">
        <v>9.2142964992411881E-145</v>
      </c>
      <c r="F50" s="2">
        <v>1</v>
      </c>
      <c r="G50" s="2">
        <v>1.8428592998482379E-144</v>
      </c>
      <c r="H50" s="2">
        <v>0</v>
      </c>
      <c r="I50" s="2">
        <v>1</v>
      </c>
      <c r="J50" s="2">
        <v>0</v>
      </c>
      <c r="K50" s="2" t="s">
        <v>1</v>
      </c>
    </row>
    <row r="51" spans="1:11" x14ac:dyDescent="0.35">
      <c r="A51" s="2" t="s">
        <v>61</v>
      </c>
      <c r="B51" s="2">
        <v>1269</v>
      </c>
      <c r="C51" s="2">
        <v>364</v>
      </c>
      <c r="D51" s="2">
        <v>0.77709736680955299</v>
      </c>
      <c r="E51" s="2">
        <v>1.630045299960834E-117</v>
      </c>
      <c r="F51" s="2">
        <v>1</v>
      </c>
      <c r="G51" s="2">
        <v>3.2600905999216687E-117</v>
      </c>
      <c r="H51" s="2">
        <v>0</v>
      </c>
      <c r="I51" s="2">
        <v>1</v>
      </c>
      <c r="J51" s="2">
        <v>0</v>
      </c>
      <c r="K51" s="2" t="s">
        <v>1</v>
      </c>
    </row>
    <row r="52" spans="1:11" x14ac:dyDescent="0.35">
      <c r="A52" s="2" t="s">
        <v>62</v>
      </c>
      <c r="B52" s="2">
        <v>1633</v>
      </c>
      <c r="C52" s="2">
        <v>0</v>
      </c>
      <c r="D52" s="2">
        <v>1</v>
      </c>
      <c r="E52" s="2">
        <v>0</v>
      </c>
      <c r="F52" s="2">
        <v>1</v>
      </c>
      <c r="G52" s="2">
        <v>0</v>
      </c>
      <c r="H52" s="2">
        <v>0</v>
      </c>
      <c r="I52" s="2">
        <v>1</v>
      </c>
      <c r="J52" s="2">
        <v>0</v>
      </c>
      <c r="K52" s="2" t="s">
        <v>1</v>
      </c>
    </row>
    <row r="53" spans="1:11" x14ac:dyDescent="0.35">
      <c r="A53" s="2" t="s">
        <v>63</v>
      </c>
      <c r="B53" s="2">
        <v>813</v>
      </c>
      <c r="C53" s="2">
        <v>820</v>
      </c>
      <c r="D53" s="2">
        <v>0.49785670545009192</v>
      </c>
      <c r="E53" s="2">
        <v>0.57846148769984329</v>
      </c>
      <c r="F53" s="2">
        <v>0.44098623276323662</v>
      </c>
      <c r="G53" s="2">
        <v>0.88197246552647313</v>
      </c>
      <c r="H53" s="2">
        <v>0.5687618319115062</v>
      </c>
      <c r="I53" s="2">
        <v>0.43123816808849369</v>
      </c>
      <c r="J53" s="2">
        <v>0.86247633617698738</v>
      </c>
      <c r="K53" s="2" t="s">
        <v>12</v>
      </c>
    </row>
    <row r="54" spans="1:11" x14ac:dyDescent="0.35">
      <c r="A54" s="2" t="s">
        <v>64</v>
      </c>
      <c r="B54" s="2">
        <v>1436</v>
      </c>
      <c r="C54" s="2">
        <v>197</v>
      </c>
      <c r="D54" s="2">
        <v>0.87936313533374155</v>
      </c>
      <c r="E54" s="2">
        <v>1.2195864150166039E-232</v>
      </c>
      <c r="F54" s="2">
        <v>1</v>
      </c>
      <c r="G54" s="2">
        <v>2.4391728300332089E-232</v>
      </c>
      <c r="H54" s="2">
        <v>0</v>
      </c>
      <c r="I54" s="2">
        <v>1</v>
      </c>
      <c r="J54" s="2">
        <v>0</v>
      </c>
      <c r="K54" s="2" t="s">
        <v>1</v>
      </c>
    </row>
    <row r="55" spans="1:11" x14ac:dyDescent="0.35">
      <c r="A55" s="2" t="s">
        <v>65</v>
      </c>
      <c r="B55" s="2">
        <v>1633</v>
      </c>
      <c r="C55" s="2">
        <v>0</v>
      </c>
      <c r="D55" s="2">
        <v>1</v>
      </c>
      <c r="E55" s="2">
        <v>0</v>
      </c>
      <c r="F55" s="2">
        <v>1</v>
      </c>
      <c r="G55" s="2">
        <v>0</v>
      </c>
      <c r="H55" s="2">
        <v>0</v>
      </c>
      <c r="I55" s="2">
        <v>1</v>
      </c>
      <c r="J55" s="2">
        <v>0</v>
      </c>
      <c r="K55" s="2" t="s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55"/>
  <sheetViews>
    <sheetView workbookViewId="0"/>
  </sheetViews>
  <sheetFormatPr defaultRowHeight="14.5" x14ac:dyDescent="0.35"/>
  <cols>
    <col min="1" max="1" width="23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366</v>
      </c>
      <c r="C2" s="2">
        <v>338</v>
      </c>
      <c r="D2" s="2">
        <v>0.51988636363636365</v>
      </c>
      <c r="E2" s="2">
        <v>0.15443289176760841</v>
      </c>
      <c r="F2" s="2">
        <v>0.86280388643582817</v>
      </c>
      <c r="G2" s="2">
        <v>0.30886578353521688</v>
      </c>
      <c r="H2" s="2">
        <v>0.14564642380890641</v>
      </c>
      <c r="I2" s="2">
        <v>0.85435357619109364</v>
      </c>
      <c r="J2" s="2">
        <v>0.29129284761781271</v>
      </c>
      <c r="K2" s="2" t="s">
        <v>12</v>
      </c>
    </row>
    <row r="3" spans="1:11" x14ac:dyDescent="0.35">
      <c r="A3" s="2" t="s">
        <v>13</v>
      </c>
      <c r="B3" s="2">
        <v>347</v>
      </c>
      <c r="C3" s="2">
        <v>357</v>
      </c>
      <c r="D3" s="2">
        <v>0.49289772727272729</v>
      </c>
      <c r="E3" s="2">
        <v>0.66075969318714201</v>
      </c>
      <c r="F3" s="2">
        <v>0.36724284954996672</v>
      </c>
      <c r="G3" s="2">
        <v>0.73448569909993344</v>
      </c>
      <c r="H3" s="2">
        <v>0.64687201894757329</v>
      </c>
      <c r="I3" s="2">
        <v>0.35312798105242671</v>
      </c>
      <c r="J3" s="2">
        <v>0.70625596210485342</v>
      </c>
      <c r="K3" s="2" t="s">
        <v>12</v>
      </c>
    </row>
    <row r="4" spans="1:11" x14ac:dyDescent="0.35">
      <c r="A4" s="2" t="s">
        <v>14</v>
      </c>
      <c r="B4" s="2">
        <v>309</v>
      </c>
      <c r="C4" s="2">
        <v>395</v>
      </c>
      <c r="D4" s="2">
        <v>0.43892045454545447</v>
      </c>
      <c r="E4" s="2">
        <v>0.99948598562048263</v>
      </c>
      <c r="F4" s="2">
        <v>6.7042759450837246E-4</v>
      </c>
      <c r="G4" s="2">
        <v>1.3408551890167449E-3</v>
      </c>
      <c r="H4" s="2">
        <v>0.9994049598082726</v>
      </c>
      <c r="I4" s="2">
        <v>5.9504019172738302E-4</v>
      </c>
      <c r="J4" s="2">
        <v>1.1900803834548059E-3</v>
      </c>
      <c r="K4" s="2" t="s">
        <v>2</v>
      </c>
    </row>
    <row r="5" spans="1:11" x14ac:dyDescent="0.35">
      <c r="A5" s="2" t="s">
        <v>15</v>
      </c>
      <c r="B5" s="2">
        <v>328</v>
      </c>
      <c r="C5" s="2">
        <v>376</v>
      </c>
      <c r="D5" s="2">
        <v>0.46590909090909088</v>
      </c>
      <c r="E5" s="2">
        <v>0.9676470434726987</v>
      </c>
      <c r="F5" s="2">
        <v>3.8211572417738697E-2</v>
      </c>
      <c r="G5" s="2">
        <v>7.6423144835477408E-2</v>
      </c>
      <c r="H5" s="2">
        <v>0.96477978536395614</v>
      </c>
      <c r="I5" s="2">
        <v>3.5220214636043863E-2</v>
      </c>
      <c r="J5" s="2">
        <v>7.0440429272087712E-2</v>
      </c>
      <c r="K5" s="2" t="s">
        <v>2</v>
      </c>
    </row>
    <row r="6" spans="1:11" x14ac:dyDescent="0.35">
      <c r="A6" s="2" t="s">
        <v>16</v>
      </c>
      <c r="B6" s="2">
        <v>379</v>
      </c>
      <c r="C6" s="2">
        <v>325</v>
      </c>
      <c r="D6" s="2">
        <v>0.53835227272727271</v>
      </c>
      <c r="E6" s="2">
        <v>2.284636495568472E-2</v>
      </c>
      <c r="F6" s="2">
        <v>0.98094645180629603</v>
      </c>
      <c r="G6" s="2">
        <v>4.5692729911369447E-2</v>
      </c>
      <c r="H6" s="2">
        <v>2.0915297282622421E-2</v>
      </c>
      <c r="I6" s="2">
        <v>0.97908470271737758</v>
      </c>
      <c r="J6" s="2">
        <v>4.183059456524485E-2</v>
      </c>
      <c r="K6" s="2" t="s">
        <v>1</v>
      </c>
    </row>
    <row r="7" spans="1:11" x14ac:dyDescent="0.35">
      <c r="A7" s="2" t="s">
        <v>17</v>
      </c>
      <c r="B7" s="2">
        <v>343</v>
      </c>
      <c r="C7" s="2">
        <v>361</v>
      </c>
      <c r="D7" s="2">
        <v>0.48721590909090912</v>
      </c>
      <c r="E7" s="2">
        <v>0.76301913543624389</v>
      </c>
      <c r="F7" s="2">
        <v>0.26086961327395092</v>
      </c>
      <c r="G7" s="2">
        <v>0.52173922654790184</v>
      </c>
      <c r="H7" s="2">
        <v>0.7512411119350052</v>
      </c>
      <c r="I7" s="2">
        <v>0.2487588880649948</v>
      </c>
      <c r="J7" s="2">
        <v>0.4975177761299896</v>
      </c>
      <c r="K7" s="2" t="s">
        <v>12</v>
      </c>
    </row>
    <row r="8" spans="1:11" x14ac:dyDescent="0.35">
      <c r="A8" s="2" t="s">
        <v>18</v>
      </c>
      <c r="B8" s="2">
        <v>272</v>
      </c>
      <c r="C8" s="2">
        <v>432</v>
      </c>
      <c r="D8" s="2">
        <v>0.38636363636363641</v>
      </c>
      <c r="E8" s="2">
        <v>0.99999999944987261</v>
      </c>
      <c r="F8" s="2">
        <v>8.8418329764702732E-10</v>
      </c>
      <c r="G8" s="2">
        <v>1.7683665952940551E-9</v>
      </c>
      <c r="H8" s="2">
        <v>0.99999999918135174</v>
      </c>
      <c r="I8" s="2">
        <v>8.1864822514841845E-10</v>
      </c>
      <c r="J8" s="2">
        <v>1.6372965205846411E-9</v>
      </c>
      <c r="K8" s="2" t="s">
        <v>2</v>
      </c>
    </row>
    <row r="9" spans="1:11" x14ac:dyDescent="0.35">
      <c r="A9" s="2" t="s">
        <v>19</v>
      </c>
      <c r="B9" s="2">
        <v>294</v>
      </c>
      <c r="C9" s="2">
        <v>410</v>
      </c>
      <c r="D9" s="2">
        <v>0.41761363636363641</v>
      </c>
      <c r="E9" s="2">
        <v>0.99999504959388663</v>
      </c>
      <c r="F9" s="2">
        <v>7.0134550586825282E-6</v>
      </c>
      <c r="G9" s="2">
        <v>1.402691011736506E-5</v>
      </c>
      <c r="H9" s="2">
        <v>0.99999384191193175</v>
      </c>
      <c r="I9" s="2">
        <v>6.1580880682640709E-6</v>
      </c>
      <c r="J9" s="2">
        <v>1.231617613650648E-5</v>
      </c>
      <c r="K9" s="2" t="s">
        <v>2</v>
      </c>
    </row>
    <row r="10" spans="1:11" x14ac:dyDescent="0.35">
      <c r="A10" s="2" t="s">
        <v>20</v>
      </c>
      <c r="B10" s="2">
        <v>295</v>
      </c>
      <c r="C10" s="2">
        <v>409</v>
      </c>
      <c r="D10" s="2">
        <v>0.41903409090909088</v>
      </c>
      <c r="E10" s="2">
        <v>0.99999298654494129</v>
      </c>
      <c r="F10" s="2">
        <v>9.8807434232840573E-6</v>
      </c>
      <c r="G10" s="2">
        <v>1.9761486846568111E-5</v>
      </c>
      <c r="H10" s="2">
        <v>0.99999132563559712</v>
      </c>
      <c r="I10" s="2">
        <v>8.6743644029296506E-6</v>
      </c>
      <c r="J10" s="2">
        <v>1.73487288057661E-5</v>
      </c>
      <c r="K10" s="2" t="s">
        <v>2</v>
      </c>
    </row>
    <row r="11" spans="1:11" x14ac:dyDescent="0.35">
      <c r="A11" s="2" t="s">
        <v>21</v>
      </c>
      <c r="B11" s="2">
        <v>401</v>
      </c>
      <c r="C11" s="2">
        <v>303</v>
      </c>
      <c r="D11" s="2">
        <v>0.56960227272727271</v>
      </c>
      <c r="E11" s="2">
        <v>1.2551204111500489E-4</v>
      </c>
      <c r="F11" s="2">
        <v>0.99990686743660029</v>
      </c>
      <c r="G11" s="2">
        <v>2.5102408223000972E-4</v>
      </c>
      <c r="H11" s="2">
        <v>1.105881762928362E-4</v>
      </c>
      <c r="I11" s="2">
        <v>0.99988941182370716</v>
      </c>
      <c r="J11" s="2">
        <v>2.211763525856725E-4</v>
      </c>
      <c r="K11" s="2" t="s">
        <v>1</v>
      </c>
    </row>
    <row r="12" spans="1:11" x14ac:dyDescent="0.35">
      <c r="A12" s="2" t="s">
        <v>22</v>
      </c>
      <c r="B12" s="2">
        <v>500</v>
      </c>
      <c r="C12" s="2">
        <v>204</v>
      </c>
      <c r="D12" s="2">
        <v>0.71022727272727271</v>
      </c>
      <c r="E12" s="2">
        <v>7.2840856359823728E-30</v>
      </c>
      <c r="F12" s="2">
        <v>1</v>
      </c>
      <c r="G12" s="2">
        <v>1.4568171271964751E-29</v>
      </c>
      <c r="H12" s="2">
        <v>0</v>
      </c>
      <c r="I12" s="2">
        <v>1</v>
      </c>
      <c r="J12" s="2">
        <v>0</v>
      </c>
      <c r="K12" s="2" t="s">
        <v>1</v>
      </c>
    </row>
    <row r="13" spans="1:11" x14ac:dyDescent="0.35">
      <c r="A13" s="2" t="s">
        <v>23</v>
      </c>
      <c r="B13" s="2">
        <v>511</v>
      </c>
      <c r="C13" s="2">
        <v>193</v>
      </c>
      <c r="D13" s="2">
        <v>0.72585227272727271</v>
      </c>
      <c r="E13" s="2">
        <v>2.4113559914503591E-34</v>
      </c>
      <c r="F13" s="2">
        <v>1</v>
      </c>
      <c r="G13" s="2">
        <v>4.8227119829007181E-34</v>
      </c>
      <c r="H13" s="2">
        <v>0</v>
      </c>
      <c r="I13" s="2">
        <v>1</v>
      </c>
      <c r="J13" s="2">
        <v>0</v>
      </c>
      <c r="K13" s="2" t="s">
        <v>1</v>
      </c>
    </row>
    <row r="14" spans="1:11" x14ac:dyDescent="0.35">
      <c r="A14" s="2" t="s">
        <v>24</v>
      </c>
      <c r="B14" s="2">
        <v>310</v>
      </c>
      <c r="C14" s="2">
        <v>394</v>
      </c>
      <c r="D14" s="2">
        <v>0.44034090909090912</v>
      </c>
      <c r="E14" s="2">
        <v>0.99932957240549158</v>
      </c>
      <c r="F14" s="2">
        <v>8.6972830393244492E-4</v>
      </c>
      <c r="G14" s="2">
        <v>1.7394566078648901E-3</v>
      </c>
      <c r="H14" s="2">
        <v>0.99922689826145961</v>
      </c>
      <c r="I14" s="2">
        <v>7.7310173854037219E-4</v>
      </c>
      <c r="J14" s="2">
        <v>1.546203477080788E-3</v>
      </c>
      <c r="K14" s="2" t="s">
        <v>2</v>
      </c>
    </row>
    <row r="15" spans="1:11" x14ac:dyDescent="0.35">
      <c r="A15" s="2" t="s">
        <v>25</v>
      </c>
      <c r="B15" s="2">
        <v>485</v>
      </c>
      <c r="C15" s="2">
        <v>219</v>
      </c>
      <c r="D15" s="2">
        <v>0.68892045454545459</v>
      </c>
      <c r="E15" s="2">
        <v>2.475632071390249E-24</v>
      </c>
      <c r="F15" s="2">
        <v>1</v>
      </c>
      <c r="G15" s="2">
        <v>4.9512641427804987E-24</v>
      </c>
      <c r="H15" s="2">
        <v>0</v>
      </c>
      <c r="I15" s="2">
        <v>1</v>
      </c>
      <c r="J15" s="2">
        <v>0</v>
      </c>
      <c r="K15" s="2" t="s">
        <v>1</v>
      </c>
    </row>
    <row r="16" spans="1:11" x14ac:dyDescent="0.35">
      <c r="A16" s="2" t="s">
        <v>26</v>
      </c>
      <c r="B16" s="2">
        <v>419</v>
      </c>
      <c r="C16" s="2">
        <v>285</v>
      </c>
      <c r="D16" s="2">
        <v>0.59517045454545459</v>
      </c>
      <c r="E16" s="2">
        <v>2.4893806564397472E-7</v>
      </c>
      <c r="F16" s="2">
        <v>0.99999983301767192</v>
      </c>
      <c r="G16" s="2">
        <v>4.9787613128794933E-7</v>
      </c>
      <c r="H16" s="2">
        <v>2.205410271072239E-7</v>
      </c>
      <c r="I16" s="2">
        <v>0.99999977945897289</v>
      </c>
      <c r="J16" s="2">
        <v>4.4108205421444779E-7</v>
      </c>
      <c r="K16" s="2" t="s">
        <v>1</v>
      </c>
    </row>
    <row r="17" spans="1:11" x14ac:dyDescent="0.35">
      <c r="A17" s="2" t="s">
        <v>27</v>
      </c>
      <c r="B17" s="2">
        <v>403</v>
      </c>
      <c r="C17" s="2">
        <v>301</v>
      </c>
      <c r="D17" s="2">
        <v>0.57244318181818177</v>
      </c>
      <c r="E17" s="2">
        <v>9.3132563399741616E-5</v>
      </c>
      <c r="F17" s="2">
        <v>0.99993127286383343</v>
      </c>
      <c r="G17" s="2">
        <v>1.8626512679948321E-4</v>
      </c>
      <c r="H17" s="2">
        <v>6.0456000638975382E-5</v>
      </c>
      <c r="I17" s="2">
        <v>0.99993954399936102</v>
      </c>
      <c r="J17" s="2">
        <v>1.2091200127795081E-4</v>
      </c>
      <c r="K17" s="2" t="s">
        <v>1</v>
      </c>
    </row>
    <row r="18" spans="1:11" x14ac:dyDescent="0.35">
      <c r="A18" s="2" t="s">
        <v>28</v>
      </c>
      <c r="B18" s="2">
        <v>355</v>
      </c>
      <c r="C18" s="2">
        <v>349</v>
      </c>
      <c r="D18" s="2">
        <v>0.50426136363636365</v>
      </c>
      <c r="E18" s="2">
        <v>0.42527252356759487</v>
      </c>
      <c r="F18" s="2">
        <v>0.60403040402144836</v>
      </c>
      <c r="G18" s="2">
        <v>0.85054504713518975</v>
      </c>
      <c r="H18" s="2">
        <v>0.41054879177597958</v>
      </c>
      <c r="I18" s="2">
        <v>0.58945120822402042</v>
      </c>
      <c r="J18" s="2">
        <v>0.82109758355195916</v>
      </c>
      <c r="K18" s="2" t="s">
        <v>12</v>
      </c>
    </row>
    <row r="19" spans="1:11" x14ac:dyDescent="0.35">
      <c r="A19" s="2" t="s">
        <v>29</v>
      </c>
      <c r="B19" s="2">
        <v>343</v>
      </c>
      <c r="C19" s="2">
        <v>361</v>
      </c>
      <c r="D19" s="2">
        <v>0.48721590909090912</v>
      </c>
      <c r="E19" s="2">
        <v>0.76301913543624389</v>
      </c>
      <c r="F19" s="2">
        <v>0.26086961327395092</v>
      </c>
      <c r="G19" s="2">
        <v>0.52173922654790184</v>
      </c>
      <c r="H19" s="2">
        <v>0.7512411119350052</v>
      </c>
      <c r="I19" s="2">
        <v>0.2487588880649948</v>
      </c>
      <c r="J19" s="2">
        <v>0.4975177761299896</v>
      </c>
      <c r="K19" s="2" t="s">
        <v>12</v>
      </c>
    </row>
    <row r="20" spans="1:11" x14ac:dyDescent="0.35">
      <c r="A20" s="2" t="s">
        <v>30</v>
      </c>
      <c r="B20" s="2">
        <v>305</v>
      </c>
      <c r="C20" s="2">
        <v>399</v>
      </c>
      <c r="D20" s="2">
        <v>0.43323863636363641</v>
      </c>
      <c r="E20" s="2">
        <v>0.99983177687150404</v>
      </c>
      <c r="F20" s="2">
        <v>2.2423766932352069E-4</v>
      </c>
      <c r="G20" s="2">
        <v>4.4847533864704139E-4</v>
      </c>
      <c r="H20" s="2">
        <v>0.99980201728178342</v>
      </c>
      <c r="I20" s="2">
        <v>1.979827182166197E-4</v>
      </c>
      <c r="J20" s="2">
        <v>3.9596543643316551E-4</v>
      </c>
      <c r="K20" s="2" t="s">
        <v>2</v>
      </c>
    </row>
    <row r="21" spans="1:11" x14ac:dyDescent="0.35">
      <c r="A21" s="2" t="s">
        <v>31</v>
      </c>
      <c r="B21" s="2">
        <v>366</v>
      </c>
      <c r="C21" s="2">
        <v>338</v>
      </c>
      <c r="D21" s="2">
        <v>0.51988636363636365</v>
      </c>
      <c r="E21" s="2">
        <v>0.15443289176760841</v>
      </c>
      <c r="F21" s="2">
        <v>0.86280388643582817</v>
      </c>
      <c r="G21" s="2">
        <v>0.30886578353521688</v>
      </c>
      <c r="H21" s="2">
        <v>0.14564642380890641</v>
      </c>
      <c r="I21" s="2">
        <v>0.85435357619109364</v>
      </c>
      <c r="J21" s="2">
        <v>0.29129284761781271</v>
      </c>
      <c r="K21" s="2" t="s">
        <v>12</v>
      </c>
    </row>
    <row r="22" spans="1:11" x14ac:dyDescent="0.35">
      <c r="A22" s="2" t="s">
        <v>32</v>
      </c>
      <c r="B22" s="2">
        <v>312</v>
      </c>
      <c r="C22" s="2">
        <v>392</v>
      </c>
      <c r="D22" s="2">
        <v>0.44318181818181818</v>
      </c>
      <c r="E22" s="2">
        <v>0.99887778140824413</v>
      </c>
      <c r="F22" s="2">
        <v>1.440259242764247E-3</v>
      </c>
      <c r="G22" s="2">
        <v>2.880518485528494E-3</v>
      </c>
      <c r="H22" s="2">
        <v>0.99871558423648865</v>
      </c>
      <c r="I22" s="2">
        <v>1.284415763511356E-3</v>
      </c>
      <c r="J22" s="2">
        <v>2.5688315270226969E-3</v>
      </c>
      <c r="K22" s="2" t="s">
        <v>2</v>
      </c>
    </row>
    <row r="23" spans="1:11" x14ac:dyDescent="0.35">
      <c r="A23" s="2" t="s">
        <v>33</v>
      </c>
      <c r="B23" s="2">
        <v>402</v>
      </c>
      <c r="C23" s="2">
        <v>302</v>
      </c>
      <c r="D23" s="2">
        <v>0.57102272727272729</v>
      </c>
      <c r="E23" s="2">
        <v>9.3132563399741616E-5</v>
      </c>
      <c r="F23" s="2">
        <v>0.99993127286383343</v>
      </c>
      <c r="G23" s="2">
        <v>1.8626512679948321E-4</v>
      </c>
      <c r="H23" s="2">
        <v>8.1986969491132378E-5</v>
      </c>
      <c r="I23" s="2">
        <v>0.99991801303050887</v>
      </c>
      <c r="J23" s="2">
        <v>1.6397393898226481E-4</v>
      </c>
      <c r="K23" s="2" t="s">
        <v>1</v>
      </c>
    </row>
    <row r="24" spans="1:11" x14ac:dyDescent="0.35">
      <c r="A24" s="2" t="s">
        <v>34</v>
      </c>
      <c r="B24" s="2">
        <v>355</v>
      </c>
      <c r="C24" s="2">
        <v>349</v>
      </c>
      <c r="D24" s="2">
        <v>0.50426136363636365</v>
      </c>
      <c r="E24" s="2">
        <v>0.42527252356759487</v>
      </c>
      <c r="F24" s="2">
        <v>0.60403040402144836</v>
      </c>
      <c r="G24" s="2">
        <v>0.85054504713518975</v>
      </c>
      <c r="H24" s="2">
        <v>0.41054879177597958</v>
      </c>
      <c r="I24" s="2">
        <v>0.58945120822402042</v>
      </c>
      <c r="J24" s="2">
        <v>0.82109758355195916</v>
      </c>
      <c r="K24" s="2" t="s">
        <v>12</v>
      </c>
    </row>
    <row r="25" spans="1:11" x14ac:dyDescent="0.35">
      <c r="A25" s="2" t="s">
        <v>35</v>
      </c>
      <c r="B25" s="2">
        <v>413</v>
      </c>
      <c r="C25" s="2">
        <v>291</v>
      </c>
      <c r="D25" s="2">
        <v>0.58664772727272729</v>
      </c>
      <c r="E25" s="2">
        <v>2.425141220284132E-6</v>
      </c>
      <c r="F25" s="2">
        <v>0.99999831688327856</v>
      </c>
      <c r="G25" s="2">
        <v>4.8502824405682632E-6</v>
      </c>
      <c r="H25" s="2">
        <v>2.1323387218163958E-6</v>
      </c>
      <c r="I25" s="2">
        <v>0.99999786766127818</v>
      </c>
      <c r="J25" s="2">
        <v>4.2646774436327917E-6</v>
      </c>
      <c r="K25" s="2" t="s">
        <v>1</v>
      </c>
    </row>
    <row r="26" spans="1:11" x14ac:dyDescent="0.35">
      <c r="A26" s="2" t="s">
        <v>36</v>
      </c>
      <c r="B26" s="2">
        <v>418</v>
      </c>
      <c r="C26" s="2">
        <v>286</v>
      </c>
      <c r="D26" s="2">
        <v>0.59375</v>
      </c>
      <c r="E26" s="2">
        <v>3.6900608683083041E-7</v>
      </c>
      <c r="F26" s="2">
        <v>0.99999975106193439</v>
      </c>
      <c r="G26" s="2">
        <v>7.3801217366166082E-7</v>
      </c>
      <c r="H26" s="2">
        <v>3.263440049305899E-7</v>
      </c>
      <c r="I26" s="2">
        <v>0.99999967365599507</v>
      </c>
      <c r="J26" s="2">
        <v>6.5268800986117981E-7</v>
      </c>
      <c r="K26" s="2" t="s">
        <v>1</v>
      </c>
    </row>
    <row r="27" spans="1:11" x14ac:dyDescent="0.35">
      <c r="A27" s="2" t="s">
        <v>37</v>
      </c>
      <c r="B27" s="2">
        <v>443</v>
      </c>
      <c r="C27" s="2">
        <v>261</v>
      </c>
      <c r="D27" s="2">
        <v>0.62926136363636365</v>
      </c>
      <c r="E27" s="2">
        <v>3.458226107812958E-12</v>
      </c>
      <c r="F27" s="2">
        <v>0.99999999999798395</v>
      </c>
      <c r="G27" s="2">
        <v>6.9164522156259161E-12</v>
      </c>
      <c r="H27" s="2">
        <v>3.457900632497513E-12</v>
      </c>
      <c r="I27" s="2">
        <v>0.9999999999965421</v>
      </c>
      <c r="J27" s="2">
        <v>6.9158012649950251E-12</v>
      </c>
      <c r="K27" s="2" t="s">
        <v>1</v>
      </c>
    </row>
    <row r="28" spans="1:11" x14ac:dyDescent="0.35">
      <c r="A28" s="2" t="s">
        <v>38</v>
      </c>
      <c r="B28" s="2">
        <v>296</v>
      </c>
      <c r="C28" s="2">
        <v>408</v>
      </c>
      <c r="D28" s="2">
        <v>0.42045454545454553</v>
      </c>
      <c r="E28" s="2">
        <v>0.99999011925657677</v>
      </c>
      <c r="F28" s="2">
        <v>1.3842638494642849E-5</v>
      </c>
      <c r="G28" s="2">
        <v>2.7685276989285692E-5</v>
      </c>
      <c r="H28" s="2">
        <v>0.99998784751965264</v>
      </c>
      <c r="I28" s="2">
        <v>1.2152480347389529E-5</v>
      </c>
      <c r="J28" s="2">
        <v>2.430496069472099E-5</v>
      </c>
      <c r="K28" s="2" t="s">
        <v>2</v>
      </c>
    </row>
    <row r="29" spans="1:11" x14ac:dyDescent="0.35">
      <c r="A29" s="2" t="s">
        <v>39</v>
      </c>
      <c r="B29" s="2">
        <v>258</v>
      </c>
      <c r="C29" s="2">
        <v>446</v>
      </c>
      <c r="D29" s="2">
        <v>0.36647727272727271</v>
      </c>
      <c r="E29" s="2">
        <v>0.99999999999961464</v>
      </c>
      <c r="F29" s="2">
        <v>6.7296703835153783E-13</v>
      </c>
      <c r="G29" s="2">
        <v>1.3459340767030761E-12</v>
      </c>
      <c r="H29" s="2">
        <v>0.99999999999930733</v>
      </c>
      <c r="I29" s="2">
        <v>6.9263282631854555E-13</v>
      </c>
      <c r="J29" s="2">
        <v>1.3853362901272699E-12</v>
      </c>
      <c r="K29" s="2" t="s">
        <v>2</v>
      </c>
    </row>
    <row r="30" spans="1:11" x14ac:dyDescent="0.35">
      <c r="A30" s="2" t="s">
        <v>40</v>
      </c>
      <c r="B30" s="2">
        <v>497</v>
      </c>
      <c r="C30" s="2">
        <v>207</v>
      </c>
      <c r="D30" s="2">
        <v>0.70596590909090906</v>
      </c>
      <c r="E30" s="2">
        <v>1.050152150140678E-28</v>
      </c>
      <c r="F30" s="2">
        <v>1</v>
      </c>
      <c r="G30" s="2">
        <v>2.1003043002813569E-28</v>
      </c>
      <c r="H30" s="2">
        <v>0</v>
      </c>
      <c r="I30" s="2">
        <v>1</v>
      </c>
      <c r="J30" s="2">
        <v>0</v>
      </c>
      <c r="K30" s="2" t="s">
        <v>1</v>
      </c>
    </row>
    <row r="31" spans="1:11" x14ac:dyDescent="0.35">
      <c r="A31" s="2" t="s">
        <v>41</v>
      </c>
      <c r="B31" s="2">
        <v>101</v>
      </c>
      <c r="C31" s="2">
        <v>603</v>
      </c>
      <c r="D31" s="2">
        <v>0.14346590909090909</v>
      </c>
      <c r="E31" s="2">
        <v>1</v>
      </c>
      <c r="F31" s="2">
        <v>3.2323281818118338E-88</v>
      </c>
      <c r="G31" s="2">
        <v>6.4646563636236675E-88</v>
      </c>
      <c r="H31" s="2">
        <v>1</v>
      </c>
      <c r="I31" s="2">
        <v>3.9148224172437311E-80</v>
      </c>
      <c r="J31" s="2">
        <v>0</v>
      </c>
      <c r="K31" s="2" t="s">
        <v>2</v>
      </c>
    </row>
    <row r="32" spans="1:11" x14ac:dyDescent="0.35">
      <c r="A32" s="2" t="s">
        <v>42</v>
      </c>
      <c r="B32" s="2">
        <v>167</v>
      </c>
      <c r="C32" s="2">
        <v>537</v>
      </c>
      <c r="D32" s="2">
        <v>0.23721590909090909</v>
      </c>
      <c r="E32" s="2">
        <v>1</v>
      </c>
      <c r="F32" s="2">
        <v>1.9276980083773721E-46</v>
      </c>
      <c r="G32" s="2">
        <v>3.8553960167547427E-46</v>
      </c>
      <c r="H32" s="2">
        <v>1</v>
      </c>
      <c r="I32" s="2">
        <v>1.6896140808242419E-44</v>
      </c>
      <c r="J32" s="2">
        <v>0</v>
      </c>
      <c r="K32" s="2" t="s">
        <v>2</v>
      </c>
    </row>
    <row r="33" spans="1:11" x14ac:dyDescent="0.35">
      <c r="A33" s="2" t="s">
        <v>43</v>
      </c>
      <c r="B33" s="2">
        <v>200</v>
      </c>
      <c r="C33" s="2">
        <v>504</v>
      </c>
      <c r="D33" s="2">
        <v>0.28409090909090912</v>
      </c>
      <c r="E33" s="2">
        <v>1</v>
      </c>
      <c r="F33" s="2">
        <v>1.885928027292221E-31</v>
      </c>
      <c r="G33" s="2">
        <v>3.7718560545844412E-31</v>
      </c>
      <c r="H33" s="2">
        <v>1</v>
      </c>
      <c r="I33" s="2">
        <v>1.0791074548134779E-30</v>
      </c>
      <c r="J33" s="2">
        <v>0</v>
      </c>
      <c r="K33" s="2" t="s">
        <v>2</v>
      </c>
    </row>
    <row r="34" spans="1:11" x14ac:dyDescent="0.35">
      <c r="A34" s="2" t="s">
        <v>44</v>
      </c>
      <c r="B34" s="2">
        <v>289</v>
      </c>
      <c r="C34" s="2">
        <v>415</v>
      </c>
      <c r="D34" s="2">
        <v>0.41051136363636359</v>
      </c>
      <c r="E34" s="2">
        <v>0.99999920292038957</v>
      </c>
      <c r="F34" s="2">
        <v>1.161548776651688E-6</v>
      </c>
      <c r="G34" s="2">
        <v>2.323097553303376E-6</v>
      </c>
      <c r="H34" s="2">
        <v>0.999998976882716</v>
      </c>
      <c r="I34" s="2">
        <v>1.0231172839624441E-6</v>
      </c>
      <c r="J34" s="2">
        <v>2.0462345680094529E-6</v>
      </c>
      <c r="K34" s="2" t="s">
        <v>2</v>
      </c>
    </row>
    <row r="35" spans="1:11" x14ac:dyDescent="0.35">
      <c r="A35" s="2" t="s">
        <v>45</v>
      </c>
      <c r="B35" s="2">
        <v>301</v>
      </c>
      <c r="C35" s="2">
        <v>403</v>
      </c>
      <c r="D35" s="2">
        <v>0.42755681818181818</v>
      </c>
      <c r="E35" s="2">
        <v>0.99994956179441508</v>
      </c>
      <c r="F35" s="2">
        <v>6.8727136166595653E-5</v>
      </c>
      <c r="G35" s="2">
        <v>1.3745427233319131E-4</v>
      </c>
      <c r="H35" s="2">
        <v>0.99993954399936102</v>
      </c>
      <c r="I35" s="2">
        <v>6.0456000639001708E-5</v>
      </c>
      <c r="J35" s="2">
        <v>1.2091200127795081E-4</v>
      </c>
      <c r="K35" s="2" t="s">
        <v>2</v>
      </c>
    </row>
    <row r="36" spans="1:11" x14ac:dyDescent="0.35">
      <c r="A36" s="2" t="s">
        <v>46</v>
      </c>
      <c r="B36" s="2">
        <v>366</v>
      </c>
      <c r="C36" s="2">
        <v>338</v>
      </c>
      <c r="D36" s="2">
        <v>0.51988636363636365</v>
      </c>
      <c r="E36" s="2">
        <v>0.15443289176760841</v>
      </c>
      <c r="F36" s="2">
        <v>0.86280388643582817</v>
      </c>
      <c r="G36" s="2">
        <v>0.30886578353521688</v>
      </c>
      <c r="H36" s="2">
        <v>0.14564642380890641</v>
      </c>
      <c r="I36" s="2">
        <v>0.85435357619109364</v>
      </c>
      <c r="J36" s="2">
        <v>0.29129284761781271</v>
      </c>
      <c r="K36" s="2" t="s">
        <v>12</v>
      </c>
    </row>
    <row r="37" spans="1:11" x14ac:dyDescent="0.35">
      <c r="A37" s="2" t="s">
        <v>47</v>
      </c>
      <c r="B37" s="2">
        <v>340</v>
      </c>
      <c r="C37" s="2">
        <v>364</v>
      </c>
      <c r="D37" s="2">
        <v>0.48295454545454553</v>
      </c>
      <c r="E37" s="2">
        <v>0.82695748928708979</v>
      </c>
      <c r="F37" s="2">
        <v>0.19302048399242741</v>
      </c>
      <c r="G37" s="2">
        <v>0.38604096798485482</v>
      </c>
      <c r="H37" s="2">
        <v>0.8171438518592431</v>
      </c>
      <c r="I37" s="2">
        <v>0.18285614814075679</v>
      </c>
      <c r="J37" s="2">
        <v>0.3657122962815138</v>
      </c>
      <c r="K37" s="2" t="s">
        <v>12</v>
      </c>
    </row>
    <row r="38" spans="1:11" x14ac:dyDescent="0.35">
      <c r="A38" s="2" t="s">
        <v>48</v>
      </c>
      <c r="B38" s="2">
        <v>350</v>
      </c>
      <c r="C38" s="2">
        <v>354</v>
      </c>
      <c r="D38" s="2">
        <v>0.49715909090909088</v>
      </c>
      <c r="E38" s="2">
        <v>0.57472747643240507</v>
      </c>
      <c r="F38" s="2">
        <v>0.45499406440791129</v>
      </c>
      <c r="G38" s="2">
        <v>0.90998812881582258</v>
      </c>
      <c r="H38" s="2">
        <v>0.55991577254663782</v>
      </c>
      <c r="I38" s="2">
        <v>0.44008422745336218</v>
      </c>
      <c r="J38" s="2">
        <v>0.88016845490672435</v>
      </c>
      <c r="K38" s="2" t="s">
        <v>12</v>
      </c>
    </row>
    <row r="39" spans="1:11" x14ac:dyDescent="0.35">
      <c r="A39" s="2" t="s">
        <v>49</v>
      </c>
      <c r="B39" s="2">
        <v>359</v>
      </c>
      <c r="C39" s="2">
        <v>345</v>
      </c>
      <c r="D39" s="2">
        <v>0.50994318181818177</v>
      </c>
      <c r="E39" s="2">
        <v>0.33924030681285811</v>
      </c>
      <c r="F39" s="2">
        <v>0.68790182259992472</v>
      </c>
      <c r="G39" s="2">
        <v>0.6784806136257161</v>
      </c>
      <c r="H39" s="2">
        <v>0.29887292785152092</v>
      </c>
      <c r="I39" s="2">
        <v>0.70112707214847914</v>
      </c>
      <c r="J39" s="2">
        <v>0.59774585570304173</v>
      </c>
      <c r="K39" s="2" t="s">
        <v>12</v>
      </c>
    </row>
    <row r="40" spans="1:11" x14ac:dyDescent="0.35">
      <c r="A40" s="2" t="s">
        <v>50</v>
      </c>
      <c r="B40" s="2">
        <v>191</v>
      </c>
      <c r="C40" s="2">
        <v>513</v>
      </c>
      <c r="D40" s="2">
        <v>0.27130681818181818</v>
      </c>
      <c r="E40" s="2">
        <v>1</v>
      </c>
      <c r="F40" s="2">
        <v>3.3733096401047361E-35</v>
      </c>
      <c r="G40" s="2">
        <v>6.7466192802094721E-35</v>
      </c>
      <c r="H40" s="2">
        <v>1</v>
      </c>
      <c r="I40" s="2">
        <v>3.410672294450207E-34</v>
      </c>
      <c r="J40" s="2">
        <v>0</v>
      </c>
      <c r="K40" s="2" t="s">
        <v>2</v>
      </c>
    </row>
    <row r="41" spans="1:11" x14ac:dyDescent="0.35">
      <c r="A41" s="2" t="s">
        <v>51</v>
      </c>
      <c r="B41" s="2">
        <v>89</v>
      </c>
      <c r="C41" s="2">
        <v>615</v>
      </c>
      <c r="D41" s="2">
        <v>0.12642045454545461</v>
      </c>
      <c r="E41" s="2">
        <v>1</v>
      </c>
      <c r="F41" s="2">
        <v>6.8373850169727422E-98</v>
      </c>
      <c r="G41" s="2">
        <v>1.3674770033945479E-97</v>
      </c>
      <c r="H41" s="2">
        <v>1</v>
      </c>
      <c r="I41" s="2">
        <v>9.1730349864156186E-88</v>
      </c>
      <c r="J41" s="2">
        <v>0</v>
      </c>
      <c r="K41" s="2" t="s">
        <v>2</v>
      </c>
    </row>
    <row r="42" spans="1:11" x14ac:dyDescent="0.35">
      <c r="A42" s="2" t="s">
        <v>52</v>
      </c>
      <c r="B42" s="2">
        <v>175</v>
      </c>
      <c r="C42" s="2">
        <v>529</v>
      </c>
      <c r="D42" s="2">
        <v>0.24857954545454539</v>
      </c>
      <c r="E42" s="2">
        <v>1</v>
      </c>
      <c r="F42" s="2">
        <v>1.741043016652972E-42</v>
      </c>
      <c r="G42" s="2">
        <v>3.4820860333059433E-42</v>
      </c>
      <c r="H42" s="2">
        <v>1</v>
      </c>
      <c r="I42" s="2">
        <v>6.604562072102192E-41</v>
      </c>
      <c r="J42" s="2">
        <v>0</v>
      </c>
      <c r="K42" s="2" t="s">
        <v>2</v>
      </c>
    </row>
    <row r="43" spans="1:11" x14ac:dyDescent="0.35">
      <c r="A43" s="2" t="s">
        <v>53</v>
      </c>
      <c r="B43" s="2">
        <v>142</v>
      </c>
      <c r="C43" s="2">
        <v>562</v>
      </c>
      <c r="D43" s="2">
        <v>0.20170454545454539</v>
      </c>
      <c r="E43" s="2">
        <v>1</v>
      </c>
      <c r="F43" s="2">
        <v>3.0795873879392979E-60</v>
      </c>
      <c r="G43" s="2">
        <v>6.1591747758785958E-60</v>
      </c>
      <c r="H43" s="2">
        <v>1</v>
      </c>
      <c r="I43" s="2">
        <v>9.7620600796043304E-57</v>
      </c>
      <c r="J43" s="2">
        <v>0</v>
      </c>
      <c r="K43" s="2" t="s">
        <v>2</v>
      </c>
    </row>
    <row r="44" spans="1:11" x14ac:dyDescent="0.35">
      <c r="A44" s="2" t="s">
        <v>54</v>
      </c>
      <c r="B44" s="2">
        <v>79</v>
      </c>
      <c r="C44" s="2">
        <v>625</v>
      </c>
      <c r="D44" s="2">
        <v>0.1122159090909091</v>
      </c>
      <c r="E44" s="2">
        <v>1</v>
      </c>
      <c r="F44" s="2">
        <v>1.460229168655794E-106</v>
      </c>
      <c r="G44" s="2">
        <v>2.9204583373115889E-106</v>
      </c>
      <c r="H44" s="2">
        <v>1</v>
      </c>
      <c r="I44" s="2">
        <v>2.154091505023413E-94</v>
      </c>
      <c r="J44" s="2">
        <v>0</v>
      </c>
      <c r="K44" s="2" t="s">
        <v>2</v>
      </c>
    </row>
    <row r="45" spans="1:11" x14ac:dyDescent="0.35">
      <c r="A45" s="2" t="s">
        <v>55</v>
      </c>
      <c r="B45" s="2">
        <v>13</v>
      </c>
      <c r="C45" s="2">
        <v>691</v>
      </c>
      <c r="D45" s="2">
        <v>1.8465909090909088E-2</v>
      </c>
      <c r="E45" s="2">
        <v>1</v>
      </c>
      <c r="F45" s="2">
        <v>1.814955626850813E-185</v>
      </c>
      <c r="G45" s="2">
        <v>3.6299112537016248E-185</v>
      </c>
      <c r="H45" s="2">
        <v>1</v>
      </c>
      <c r="I45" s="2">
        <v>2.536835516540059E-144</v>
      </c>
      <c r="J45" s="2">
        <v>0</v>
      </c>
      <c r="K45" s="2" t="s">
        <v>2</v>
      </c>
    </row>
    <row r="46" spans="1:11" x14ac:dyDescent="0.35">
      <c r="A46" s="2" t="s">
        <v>56</v>
      </c>
      <c r="B46" s="2">
        <v>592</v>
      </c>
      <c r="C46" s="2">
        <v>112</v>
      </c>
      <c r="D46" s="2">
        <v>0.84090909090909094</v>
      </c>
      <c r="E46" s="2">
        <v>5.5388766361411054E-80</v>
      </c>
      <c r="F46" s="2">
        <v>1</v>
      </c>
      <c r="G46" s="2">
        <v>1.1077753272282211E-79</v>
      </c>
      <c r="H46" s="2">
        <v>0</v>
      </c>
      <c r="I46" s="2">
        <v>1</v>
      </c>
      <c r="J46" s="2">
        <v>0</v>
      </c>
      <c r="K46" s="2" t="s">
        <v>1</v>
      </c>
    </row>
    <row r="47" spans="1:11" x14ac:dyDescent="0.35">
      <c r="A47" s="2" t="s">
        <v>57</v>
      </c>
      <c r="B47" s="2">
        <v>650</v>
      </c>
      <c r="C47" s="2">
        <v>54</v>
      </c>
      <c r="D47" s="2">
        <v>0.92329545454545459</v>
      </c>
      <c r="E47" s="2">
        <v>4.092554003950535E-131</v>
      </c>
      <c r="F47" s="2">
        <v>1</v>
      </c>
      <c r="G47" s="2">
        <v>8.18510800790107E-131</v>
      </c>
      <c r="H47" s="2">
        <v>0</v>
      </c>
      <c r="I47" s="2">
        <v>1</v>
      </c>
      <c r="J47" s="2">
        <v>0</v>
      </c>
      <c r="K47" s="2" t="s">
        <v>1</v>
      </c>
    </row>
    <row r="48" spans="1:11" x14ac:dyDescent="0.35">
      <c r="A48" s="2" t="s">
        <v>58</v>
      </c>
      <c r="B48" s="2">
        <v>479</v>
      </c>
      <c r="C48" s="2">
        <v>225</v>
      </c>
      <c r="D48" s="2">
        <v>0.68039772727272729</v>
      </c>
      <c r="E48" s="2">
        <v>2.66113438101818E-22</v>
      </c>
      <c r="F48" s="2">
        <v>1</v>
      </c>
      <c r="G48" s="2">
        <v>5.3222687620363591E-22</v>
      </c>
      <c r="H48" s="2">
        <v>0</v>
      </c>
      <c r="I48" s="2">
        <v>1</v>
      </c>
      <c r="J48" s="2">
        <v>0</v>
      </c>
      <c r="K48" s="2" t="s">
        <v>1</v>
      </c>
    </row>
    <row r="49" spans="1:11" x14ac:dyDescent="0.35">
      <c r="A49" s="2" t="s">
        <v>59</v>
      </c>
      <c r="B49" s="2">
        <v>172</v>
      </c>
      <c r="C49" s="2">
        <v>532</v>
      </c>
      <c r="D49" s="2">
        <v>0.2443181818181818</v>
      </c>
      <c r="E49" s="2">
        <v>1</v>
      </c>
      <c r="F49" s="2">
        <v>6.0586569339323469E-44</v>
      </c>
      <c r="G49" s="2">
        <v>1.211731386786469E-43</v>
      </c>
      <c r="H49" s="2">
        <v>1</v>
      </c>
      <c r="I49" s="2">
        <v>3.0990813860664893E-42</v>
      </c>
      <c r="J49" s="2">
        <v>0</v>
      </c>
      <c r="K49" s="2" t="s">
        <v>2</v>
      </c>
    </row>
    <row r="50" spans="1:11" x14ac:dyDescent="0.35">
      <c r="A50" s="2" t="s">
        <v>60</v>
      </c>
      <c r="B50" s="2">
        <v>80</v>
      </c>
      <c r="C50" s="2">
        <v>624</v>
      </c>
      <c r="D50" s="2">
        <v>0.1136363636363636</v>
      </c>
      <c r="E50" s="2">
        <v>1</v>
      </c>
      <c r="F50" s="2">
        <v>1.143154095141778E-105</v>
      </c>
      <c r="G50" s="2">
        <v>2.286308190283556E-105</v>
      </c>
      <c r="H50" s="2">
        <v>1</v>
      </c>
      <c r="I50" s="2">
        <v>1.0168727196369559E-93</v>
      </c>
      <c r="J50" s="2">
        <v>0</v>
      </c>
      <c r="K50" s="2" t="s">
        <v>2</v>
      </c>
    </row>
    <row r="51" spans="1:11" x14ac:dyDescent="0.35">
      <c r="A51" s="2" t="s">
        <v>61</v>
      </c>
      <c r="B51" s="2">
        <v>315</v>
      </c>
      <c r="C51" s="2">
        <v>389</v>
      </c>
      <c r="D51" s="2">
        <v>0.44744318181818182</v>
      </c>
      <c r="E51" s="2">
        <v>0.99766543951883324</v>
      </c>
      <c r="F51" s="2">
        <v>2.9486412910011898E-3</v>
      </c>
      <c r="G51" s="2">
        <v>5.8972825820023797E-3</v>
      </c>
      <c r="H51" s="2">
        <v>0.99735628298165491</v>
      </c>
      <c r="I51" s="2">
        <v>2.6437170183450541E-3</v>
      </c>
      <c r="J51" s="2">
        <v>5.2874340366901862E-3</v>
      </c>
      <c r="K51" s="2" t="s">
        <v>2</v>
      </c>
    </row>
    <row r="52" spans="1:11" x14ac:dyDescent="0.35">
      <c r="A52" s="2" t="s">
        <v>62</v>
      </c>
      <c r="B52" s="2">
        <v>259</v>
      </c>
      <c r="C52" s="2">
        <v>445</v>
      </c>
      <c r="D52" s="2">
        <v>0.36789772727272729</v>
      </c>
      <c r="E52" s="2">
        <v>0.99999999999932698</v>
      </c>
      <c r="F52" s="2">
        <v>1.168289654423001E-12</v>
      </c>
      <c r="G52" s="2">
        <v>2.3365793088460009E-12</v>
      </c>
      <c r="H52" s="2">
        <v>0.99999999999880962</v>
      </c>
      <c r="I52" s="2">
        <v>1.1904094046586059E-12</v>
      </c>
      <c r="J52" s="2">
        <v>2.3807622540061861E-12</v>
      </c>
      <c r="K52" s="2" t="s">
        <v>2</v>
      </c>
    </row>
    <row r="53" spans="1:11" x14ac:dyDescent="0.35">
      <c r="A53" s="2" t="s">
        <v>63</v>
      </c>
      <c r="B53" s="2">
        <v>25</v>
      </c>
      <c r="C53" s="2">
        <v>679</v>
      </c>
      <c r="D53" s="2">
        <v>3.551136363636364E-2</v>
      </c>
      <c r="E53" s="2">
        <v>1</v>
      </c>
      <c r="F53" s="2">
        <v>7.9899061529616995E-167</v>
      </c>
      <c r="G53" s="2">
        <v>1.5979812305923399E-166</v>
      </c>
      <c r="H53" s="2">
        <v>1</v>
      </c>
      <c r="I53" s="2">
        <v>1.9070133733283601E-134</v>
      </c>
      <c r="J53" s="2">
        <v>0</v>
      </c>
      <c r="K53" s="2" t="s">
        <v>2</v>
      </c>
    </row>
    <row r="54" spans="1:11" x14ac:dyDescent="0.35">
      <c r="A54" s="2" t="s">
        <v>64</v>
      </c>
      <c r="B54" s="2">
        <v>263</v>
      </c>
      <c r="C54" s="2">
        <v>441</v>
      </c>
      <c r="D54" s="2">
        <v>0.37357954545454553</v>
      </c>
      <c r="E54" s="2">
        <v>0.99999999999410327</v>
      </c>
      <c r="F54" s="2">
        <v>9.9948438318163314E-12</v>
      </c>
      <c r="G54" s="2">
        <v>1.998968766363266E-11</v>
      </c>
      <c r="H54" s="2">
        <v>0.99999999999017686</v>
      </c>
      <c r="I54" s="2">
        <v>9.8231790119089948E-12</v>
      </c>
      <c r="J54" s="2">
        <v>1.9646284599161852E-11</v>
      </c>
      <c r="K54" s="2" t="s">
        <v>2</v>
      </c>
    </row>
    <row r="55" spans="1:11" x14ac:dyDescent="0.35">
      <c r="A55" s="2" t="s">
        <v>65</v>
      </c>
      <c r="B55" s="2">
        <v>10</v>
      </c>
      <c r="C55" s="2">
        <v>694</v>
      </c>
      <c r="D55" s="2">
        <v>1.4204545454545451E-2</v>
      </c>
      <c r="E55" s="2">
        <v>1</v>
      </c>
      <c r="F55" s="2">
        <v>9.3163432430796114E-191</v>
      </c>
      <c r="G55" s="2">
        <v>1.863268648615922E-190</v>
      </c>
      <c r="H55" s="2">
        <v>1</v>
      </c>
      <c r="I55" s="2">
        <v>7.5830187381639306E-147</v>
      </c>
      <c r="J55" s="2">
        <v>0</v>
      </c>
      <c r="K55" s="2" t="s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55"/>
  <sheetViews>
    <sheetView workbookViewId="0"/>
  </sheetViews>
  <sheetFormatPr defaultRowHeight="14.5" x14ac:dyDescent="0.35"/>
  <cols>
    <col min="1" max="1" width="23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452</v>
      </c>
      <c r="C2" s="2">
        <v>532</v>
      </c>
      <c r="D2" s="2">
        <v>0.45934959349593502</v>
      </c>
      <c r="E2" s="2">
        <v>0.99510880570033722</v>
      </c>
      <c r="F2" s="2">
        <v>5.8749142312938003E-3</v>
      </c>
      <c r="G2" s="2">
        <v>1.1749828462587601E-2</v>
      </c>
      <c r="H2" s="2">
        <v>0.9946185928586011</v>
      </c>
      <c r="I2" s="2">
        <v>5.3814071413988956E-3</v>
      </c>
      <c r="J2" s="2">
        <v>1.0762814282797789E-2</v>
      </c>
      <c r="K2" s="2" t="s">
        <v>2</v>
      </c>
    </row>
    <row r="3" spans="1:11" x14ac:dyDescent="0.35">
      <c r="A3" s="2" t="s">
        <v>13</v>
      </c>
      <c r="B3" s="2">
        <v>877</v>
      </c>
      <c r="C3" s="2">
        <v>107</v>
      </c>
      <c r="D3" s="2">
        <v>0.89126016260162599</v>
      </c>
      <c r="E3" s="2">
        <v>2.547883684376974E-151</v>
      </c>
      <c r="F3" s="2">
        <v>1</v>
      </c>
      <c r="G3" s="2">
        <v>5.0957673687539488E-151</v>
      </c>
      <c r="H3" s="2">
        <v>0</v>
      </c>
      <c r="I3" s="2">
        <v>1</v>
      </c>
      <c r="J3" s="2">
        <v>0</v>
      </c>
      <c r="K3" s="2" t="s">
        <v>1</v>
      </c>
    </row>
    <row r="4" spans="1:11" x14ac:dyDescent="0.35">
      <c r="A4" s="2" t="s">
        <v>14</v>
      </c>
      <c r="B4" s="2">
        <v>894</v>
      </c>
      <c r="C4" s="2">
        <v>90</v>
      </c>
      <c r="D4" s="2">
        <v>0.90853658536585369</v>
      </c>
      <c r="E4" s="2">
        <v>1.607926949637815E-167</v>
      </c>
      <c r="F4" s="2">
        <v>1</v>
      </c>
      <c r="G4" s="2">
        <v>3.2158538992756299E-167</v>
      </c>
      <c r="H4" s="2">
        <v>0</v>
      </c>
      <c r="I4" s="2">
        <v>1</v>
      </c>
      <c r="J4" s="2">
        <v>0</v>
      </c>
      <c r="K4" s="2" t="s">
        <v>1</v>
      </c>
    </row>
    <row r="5" spans="1:11" x14ac:dyDescent="0.35">
      <c r="A5" s="2" t="s">
        <v>15</v>
      </c>
      <c r="B5" s="2">
        <v>786</v>
      </c>
      <c r="C5" s="2">
        <v>198</v>
      </c>
      <c r="D5" s="2">
        <v>0.79878048780487809</v>
      </c>
      <c r="E5" s="2">
        <v>9.5182185115089519E-84</v>
      </c>
      <c r="F5" s="2">
        <v>1</v>
      </c>
      <c r="G5" s="2">
        <v>1.90364370230179E-83</v>
      </c>
      <c r="H5" s="2">
        <v>0</v>
      </c>
      <c r="I5" s="2">
        <v>1</v>
      </c>
      <c r="J5" s="2">
        <v>0</v>
      </c>
      <c r="K5" s="2" t="s">
        <v>1</v>
      </c>
    </row>
    <row r="6" spans="1:11" x14ac:dyDescent="0.35">
      <c r="A6" s="2" t="s">
        <v>16</v>
      </c>
      <c r="B6" s="2">
        <v>670</v>
      </c>
      <c r="C6" s="2">
        <v>314</v>
      </c>
      <c r="D6" s="2">
        <v>0.68089430894308944</v>
      </c>
      <c r="E6" s="2">
        <v>1.247161530763398E-30</v>
      </c>
      <c r="F6" s="2">
        <v>1</v>
      </c>
      <c r="G6" s="2">
        <v>2.4943230615267959E-30</v>
      </c>
      <c r="H6" s="2">
        <v>0</v>
      </c>
      <c r="I6" s="2">
        <v>1</v>
      </c>
      <c r="J6" s="2">
        <v>0</v>
      </c>
      <c r="K6" s="2" t="s">
        <v>1</v>
      </c>
    </row>
    <row r="7" spans="1:11" x14ac:dyDescent="0.35">
      <c r="A7" s="2" t="s">
        <v>17</v>
      </c>
      <c r="B7" s="2">
        <v>823</v>
      </c>
      <c r="C7" s="2">
        <v>161</v>
      </c>
      <c r="D7" s="2">
        <v>0.83638211382113825</v>
      </c>
      <c r="E7" s="2">
        <v>7.0944418909488103E-108</v>
      </c>
      <c r="F7" s="2">
        <v>1</v>
      </c>
      <c r="G7" s="2">
        <v>1.4188883781897621E-107</v>
      </c>
      <c r="H7" s="2">
        <v>0</v>
      </c>
      <c r="I7" s="2">
        <v>1</v>
      </c>
      <c r="J7" s="2">
        <v>0</v>
      </c>
      <c r="K7" s="2" t="s">
        <v>1</v>
      </c>
    </row>
    <row r="8" spans="1:11" x14ac:dyDescent="0.35">
      <c r="A8" s="2" t="s">
        <v>18</v>
      </c>
      <c r="B8" s="2">
        <v>666</v>
      </c>
      <c r="C8" s="2">
        <v>318</v>
      </c>
      <c r="D8" s="2">
        <v>0.67682926829268297</v>
      </c>
      <c r="E8" s="2">
        <v>2.5234103374864841E-29</v>
      </c>
      <c r="F8" s="2">
        <v>1</v>
      </c>
      <c r="G8" s="2">
        <v>5.0468206749729682E-29</v>
      </c>
      <c r="H8" s="2">
        <v>0</v>
      </c>
      <c r="I8" s="2">
        <v>1</v>
      </c>
      <c r="J8" s="2">
        <v>0</v>
      </c>
      <c r="K8" s="2" t="s">
        <v>1</v>
      </c>
    </row>
    <row r="9" spans="1:11" x14ac:dyDescent="0.35">
      <c r="A9" s="2" t="s">
        <v>19</v>
      </c>
      <c r="B9" s="2">
        <v>705</v>
      </c>
      <c r="C9" s="2">
        <v>279</v>
      </c>
      <c r="D9" s="2">
        <v>0.71646341463414631</v>
      </c>
      <c r="E9" s="2">
        <v>1.8390390166130869E-43</v>
      </c>
      <c r="F9" s="2">
        <v>1</v>
      </c>
      <c r="G9" s="2">
        <v>3.6780780332261738E-43</v>
      </c>
      <c r="H9" s="2">
        <v>0</v>
      </c>
      <c r="I9" s="2">
        <v>1</v>
      </c>
      <c r="J9" s="2">
        <v>0</v>
      </c>
      <c r="K9" s="2" t="s">
        <v>1</v>
      </c>
    </row>
    <row r="10" spans="1:11" x14ac:dyDescent="0.35">
      <c r="A10" s="2" t="s">
        <v>20</v>
      </c>
      <c r="B10" s="2">
        <v>798</v>
      </c>
      <c r="C10" s="2">
        <v>186</v>
      </c>
      <c r="D10" s="2">
        <v>0.81097560975609762</v>
      </c>
      <c r="E10" s="2">
        <v>3.9103535068318982E-91</v>
      </c>
      <c r="F10" s="2">
        <v>1</v>
      </c>
      <c r="G10" s="2">
        <v>7.8207070136637965E-91</v>
      </c>
      <c r="H10" s="2">
        <v>0</v>
      </c>
      <c r="I10" s="2">
        <v>1</v>
      </c>
      <c r="J10" s="2">
        <v>0</v>
      </c>
      <c r="K10" s="2" t="s">
        <v>1</v>
      </c>
    </row>
    <row r="11" spans="1:11" x14ac:dyDescent="0.35">
      <c r="A11" s="2" t="s">
        <v>21</v>
      </c>
      <c r="B11" s="2">
        <v>445</v>
      </c>
      <c r="C11" s="2">
        <v>539</v>
      </c>
      <c r="D11" s="2">
        <v>0.45223577235772361</v>
      </c>
      <c r="E11" s="2">
        <v>0.99877962679942434</v>
      </c>
      <c r="F11" s="2">
        <v>1.5051032699417129E-3</v>
      </c>
      <c r="G11" s="2">
        <v>3.0102065398834271E-3</v>
      </c>
      <c r="H11" s="2">
        <v>0.99863500384341108</v>
      </c>
      <c r="I11" s="2">
        <v>1.364996156588868E-3</v>
      </c>
      <c r="J11" s="2">
        <v>2.729992313177831E-3</v>
      </c>
      <c r="K11" s="2" t="s">
        <v>2</v>
      </c>
    </row>
    <row r="12" spans="1:11" x14ac:dyDescent="0.35">
      <c r="A12" s="2" t="s">
        <v>22</v>
      </c>
      <c r="B12" s="2">
        <v>499</v>
      </c>
      <c r="C12" s="2">
        <v>485</v>
      </c>
      <c r="D12" s="2">
        <v>0.50711382113821135</v>
      </c>
      <c r="E12" s="2">
        <v>0.36292880816051931</v>
      </c>
      <c r="F12" s="2">
        <v>0.66070784679000227</v>
      </c>
      <c r="G12" s="2">
        <v>0.72585761632103862</v>
      </c>
      <c r="H12" s="2">
        <v>0.32768894227798362</v>
      </c>
      <c r="I12" s="2">
        <v>0.67231105772201638</v>
      </c>
      <c r="J12" s="2">
        <v>0.65537788455596724</v>
      </c>
      <c r="K12" s="2" t="s">
        <v>12</v>
      </c>
    </row>
    <row r="13" spans="1:11" x14ac:dyDescent="0.35">
      <c r="A13" s="2" t="s">
        <v>23</v>
      </c>
      <c r="B13" s="2">
        <v>600</v>
      </c>
      <c r="C13" s="2">
        <v>384</v>
      </c>
      <c r="D13" s="2">
        <v>0.6097560975609756</v>
      </c>
      <c r="E13" s="2">
        <v>2.969449419363383E-12</v>
      </c>
      <c r="F13" s="2">
        <v>0.9999999999981164</v>
      </c>
      <c r="G13" s="2">
        <v>5.9388988387267652E-12</v>
      </c>
      <c r="H13" s="2">
        <v>2.87259105391513E-12</v>
      </c>
      <c r="I13" s="2">
        <v>0.99999999999712741</v>
      </c>
      <c r="J13" s="2">
        <v>5.7451821078302601E-12</v>
      </c>
      <c r="K13" s="2" t="s">
        <v>1</v>
      </c>
    </row>
    <row r="14" spans="1:11" x14ac:dyDescent="0.35">
      <c r="A14" s="2" t="s">
        <v>24</v>
      </c>
      <c r="B14" s="2">
        <v>454</v>
      </c>
      <c r="C14" s="2">
        <v>530</v>
      </c>
      <c r="D14" s="2">
        <v>0.4613821138211382</v>
      </c>
      <c r="E14" s="2">
        <v>0.99296981203001355</v>
      </c>
      <c r="F14" s="2">
        <v>8.381400206210492E-3</v>
      </c>
      <c r="G14" s="2">
        <v>1.6762800412420981E-2</v>
      </c>
      <c r="H14" s="2">
        <v>0.99229911841552376</v>
      </c>
      <c r="I14" s="2">
        <v>7.700881584476231E-3</v>
      </c>
      <c r="J14" s="2">
        <v>1.5401763168952479E-2</v>
      </c>
      <c r="K14" s="2" t="s">
        <v>2</v>
      </c>
    </row>
    <row r="15" spans="1:11" x14ac:dyDescent="0.35">
      <c r="A15" s="2" t="s">
        <v>25</v>
      </c>
      <c r="B15" s="2">
        <v>759</v>
      </c>
      <c r="C15" s="2">
        <v>225</v>
      </c>
      <c r="D15" s="2">
        <v>0.77134146341463417</v>
      </c>
      <c r="E15" s="2">
        <v>1.5210096663140131E-68</v>
      </c>
      <c r="F15" s="2">
        <v>1</v>
      </c>
      <c r="G15" s="2">
        <v>3.0420193326280261E-68</v>
      </c>
      <c r="H15" s="2">
        <v>0</v>
      </c>
      <c r="I15" s="2">
        <v>1</v>
      </c>
      <c r="J15" s="2">
        <v>0</v>
      </c>
      <c r="K15" s="2" t="s">
        <v>1</v>
      </c>
    </row>
    <row r="16" spans="1:11" x14ac:dyDescent="0.35">
      <c r="A16" s="2" t="s">
        <v>26</v>
      </c>
      <c r="B16" s="2">
        <v>497</v>
      </c>
      <c r="C16" s="2">
        <v>487</v>
      </c>
      <c r="D16" s="2">
        <v>0.50508130081300817</v>
      </c>
      <c r="E16" s="2">
        <v>0.38709935059452272</v>
      </c>
      <c r="F16" s="2">
        <v>0.63707119183948069</v>
      </c>
      <c r="G16" s="2">
        <v>0.77419870118904544</v>
      </c>
      <c r="H16" s="2">
        <v>0.37494350406863092</v>
      </c>
      <c r="I16" s="2">
        <v>0.62505649593136914</v>
      </c>
      <c r="J16" s="2">
        <v>0.74988700813726172</v>
      </c>
      <c r="K16" s="2" t="s">
        <v>12</v>
      </c>
    </row>
    <row r="17" spans="1:11" x14ac:dyDescent="0.35">
      <c r="A17" s="2" t="s">
        <v>27</v>
      </c>
      <c r="B17" s="2">
        <v>829</v>
      </c>
      <c r="C17" s="2">
        <v>155</v>
      </c>
      <c r="D17" s="2">
        <v>0.84247967479674801</v>
      </c>
      <c r="E17" s="2">
        <v>3.490328385852726E-112</v>
      </c>
      <c r="F17" s="2">
        <v>1</v>
      </c>
      <c r="G17" s="2">
        <v>6.980656771705451E-112</v>
      </c>
      <c r="H17" s="2">
        <v>0</v>
      </c>
      <c r="I17" s="2">
        <v>1</v>
      </c>
      <c r="J17" s="2">
        <v>0</v>
      </c>
      <c r="K17" s="2" t="s">
        <v>1</v>
      </c>
    </row>
    <row r="18" spans="1:11" x14ac:dyDescent="0.35">
      <c r="A18" s="2" t="s">
        <v>28</v>
      </c>
      <c r="B18" s="2">
        <v>464</v>
      </c>
      <c r="C18" s="2">
        <v>520</v>
      </c>
      <c r="D18" s="2">
        <v>0.47154471544715448</v>
      </c>
      <c r="E18" s="2">
        <v>0.96542573740292892</v>
      </c>
      <c r="F18" s="2">
        <v>3.9745751432072991E-2</v>
      </c>
      <c r="G18" s="2">
        <v>7.9491502864145983E-2</v>
      </c>
      <c r="H18" s="2">
        <v>0.96288675859325568</v>
      </c>
      <c r="I18" s="2">
        <v>3.7113241406744317E-2</v>
      </c>
      <c r="J18" s="2">
        <v>7.4226482813488648E-2</v>
      </c>
      <c r="K18" s="2" t="s">
        <v>2</v>
      </c>
    </row>
    <row r="19" spans="1:11" x14ac:dyDescent="0.35">
      <c r="A19" s="2" t="s">
        <v>29</v>
      </c>
      <c r="B19" s="2">
        <v>639</v>
      </c>
      <c r="C19" s="2">
        <v>345</v>
      </c>
      <c r="D19" s="2">
        <v>0.64939024390243905</v>
      </c>
      <c r="E19" s="2">
        <v>2.4571613899838639E-21</v>
      </c>
      <c r="F19" s="2">
        <v>1</v>
      </c>
      <c r="G19" s="2">
        <v>4.9143227799677271E-21</v>
      </c>
      <c r="H19" s="2">
        <v>0</v>
      </c>
      <c r="I19" s="2">
        <v>1</v>
      </c>
      <c r="J19" s="2">
        <v>0</v>
      </c>
      <c r="K19" s="2" t="s">
        <v>1</v>
      </c>
    </row>
    <row r="20" spans="1:11" x14ac:dyDescent="0.35">
      <c r="A20" s="2" t="s">
        <v>30</v>
      </c>
      <c r="B20" s="2">
        <v>652</v>
      </c>
      <c r="C20" s="2">
        <v>332</v>
      </c>
      <c r="D20" s="2">
        <v>0.66260162601626016</v>
      </c>
      <c r="E20" s="2">
        <v>5.2762133051328716E-25</v>
      </c>
      <c r="F20" s="2">
        <v>1</v>
      </c>
      <c r="G20" s="2">
        <v>1.0552426610265739E-24</v>
      </c>
      <c r="H20" s="2">
        <v>0</v>
      </c>
      <c r="I20" s="2">
        <v>1</v>
      </c>
      <c r="J20" s="2">
        <v>0</v>
      </c>
      <c r="K20" s="2" t="s">
        <v>1</v>
      </c>
    </row>
    <row r="21" spans="1:11" x14ac:dyDescent="0.35">
      <c r="A21" s="2" t="s">
        <v>31</v>
      </c>
      <c r="B21" s="2">
        <v>669</v>
      </c>
      <c r="C21" s="2">
        <v>315</v>
      </c>
      <c r="D21" s="2">
        <v>0.67987804878048785</v>
      </c>
      <c r="E21" s="2">
        <v>2.663512752393369E-30</v>
      </c>
      <c r="F21" s="2">
        <v>1</v>
      </c>
      <c r="G21" s="2">
        <v>5.327025504786738E-30</v>
      </c>
      <c r="H21" s="2">
        <v>0</v>
      </c>
      <c r="I21" s="2">
        <v>1</v>
      </c>
      <c r="J21" s="2">
        <v>0</v>
      </c>
      <c r="K21" s="2" t="s">
        <v>1</v>
      </c>
    </row>
    <row r="22" spans="1:11" x14ac:dyDescent="0.35">
      <c r="A22" s="2" t="s">
        <v>32</v>
      </c>
      <c r="B22" s="2">
        <v>718</v>
      </c>
      <c r="C22" s="2">
        <v>266</v>
      </c>
      <c r="D22" s="2">
        <v>0.72967479674796742</v>
      </c>
      <c r="E22" s="2">
        <v>6.8299789291691108E-49</v>
      </c>
      <c r="F22" s="2">
        <v>1</v>
      </c>
      <c r="G22" s="2">
        <v>1.365995785833822E-48</v>
      </c>
      <c r="H22" s="2">
        <v>0</v>
      </c>
      <c r="I22" s="2">
        <v>1</v>
      </c>
      <c r="J22" s="2">
        <v>0</v>
      </c>
      <c r="K22" s="2" t="s">
        <v>1</v>
      </c>
    </row>
    <row r="23" spans="1:11" x14ac:dyDescent="0.35">
      <c r="A23" s="2" t="s">
        <v>33</v>
      </c>
      <c r="B23" s="2">
        <v>494</v>
      </c>
      <c r="C23" s="2">
        <v>490</v>
      </c>
      <c r="D23" s="2">
        <v>0.50203252032520329</v>
      </c>
      <c r="E23" s="2">
        <v>0.46190782651296952</v>
      </c>
      <c r="F23" s="2">
        <v>0.56331564741138507</v>
      </c>
      <c r="G23" s="2">
        <v>0.92381565302593904</v>
      </c>
      <c r="H23" s="2">
        <v>0.44926626532927483</v>
      </c>
      <c r="I23" s="2">
        <v>0.55073373467072517</v>
      </c>
      <c r="J23" s="2">
        <v>0.89853253065854966</v>
      </c>
      <c r="K23" s="2" t="s">
        <v>12</v>
      </c>
    </row>
    <row r="24" spans="1:11" x14ac:dyDescent="0.35">
      <c r="A24" s="2" t="s">
        <v>34</v>
      </c>
      <c r="B24" s="2">
        <v>598</v>
      </c>
      <c r="C24" s="2">
        <v>386</v>
      </c>
      <c r="D24" s="2">
        <v>0.60772357723577231</v>
      </c>
      <c r="E24" s="2">
        <v>7.2877092782711453E-12</v>
      </c>
      <c r="F24" s="2">
        <v>0.99999999999533828</v>
      </c>
      <c r="G24" s="2">
        <v>1.4575418556542291E-11</v>
      </c>
      <c r="H24" s="2">
        <v>6.9804162450282092E-12</v>
      </c>
      <c r="I24" s="2">
        <v>0.99999999999301958</v>
      </c>
      <c r="J24" s="2">
        <v>1.396083249005642E-11</v>
      </c>
      <c r="K24" s="2" t="s">
        <v>1</v>
      </c>
    </row>
    <row r="25" spans="1:11" x14ac:dyDescent="0.35">
      <c r="A25" s="2" t="s">
        <v>35</v>
      </c>
      <c r="B25" s="2">
        <v>579</v>
      </c>
      <c r="C25" s="2">
        <v>405</v>
      </c>
      <c r="D25" s="2">
        <v>0.58841463414634143</v>
      </c>
      <c r="E25" s="2">
        <v>1.6109198685694349E-8</v>
      </c>
      <c r="F25" s="2">
        <v>0.99999998885345598</v>
      </c>
      <c r="G25" s="2">
        <v>3.2218397371388698E-8</v>
      </c>
      <c r="H25" s="2">
        <v>1.453750020363742E-8</v>
      </c>
      <c r="I25" s="2">
        <v>0.9999999854624998</v>
      </c>
      <c r="J25" s="2">
        <v>2.9075000407274839E-8</v>
      </c>
      <c r="K25" s="2" t="s">
        <v>1</v>
      </c>
    </row>
    <row r="26" spans="1:11" x14ac:dyDescent="0.35">
      <c r="A26" s="2" t="s">
        <v>36</v>
      </c>
      <c r="B26" s="2">
        <v>460</v>
      </c>
      <c r="C26" s="2">
        <v>524</v>
      </c>
      <c r="D26" s="2">
        <v>0.46747967479674801</v>
      </c>
      <c r="E26" s="2">
        <v>0.98090003849419005</v>
      </c>
      <c r="F26" s="2">
        <v>2.227476070264894E-2</v>
      </c>
      <c r="G26" s="2">
        <v>4.454952140529788E-2</v>
      </c>
      <c r="H26" s="2">
        <v>0.97933705908858992</v>
      </c>
      <c r="I26" s="2">
        <v>2.066294091141007E-2</v>
      </c>
      <c r="J26" s="2">
        <v>4.1325881822820147E-2</v>
      </c>
      <c r="K26" s="2" t="s">
        <v>2</v>
      </c>
    </row>
    <row r="27" spans="1:11" x14ac:dyDescent="0.35">
      <c r="A27" s="2" t="s">
        <v>37</v>
      </c>
      <c r="B27" s="2">
        <v>775</v>
      </c>
      <c r="C27" s="2">
        <v>209</v>
      </c>
      <c r="D27" s="2">
        <v>0.78760162601626016</v>
      </c>
      <c r="E27" s="2">
        <v>2.52750375704995E-77</v>
      </c>
      <c r="F27" s="2">
        <v>1</v>
      </c>
      <c r="G27" s="2">
        <v>5.0550075140998999E-77</v>
      </c>
      <c r="H27" s="2">
        <v>0</v>
      </c>
      <c r="I27" s="2">
        <v>1</v>
      </c>
      <c r="J27" s="2">
        <v>0</v>
      </c>
      <c r="K27" s="2" t="s">
        <v>1</v>
      </c>
    </row>
    <row r="28" spans="1:11" x14ac:dyDescent="0.35">
      <c r="A28" s="2" t="s">
        <v>38</v>
      </c>
      <c r="B28" s="2">
        <v>727</v>
      </c>
      <c r="C28" s="2">
        <v>257</v>
      </c>
      <c r="D28" s="2">
        <v>0.73882113821138207</v>
      </c>
      <c r="E28" s="2">
        <v>7.1662152374805404E-53</v>
      </c>
      <c r="F28" s="2">
        <v>1</v>
      </c>
      <c r="G28" s="2">
        <v>1.4332430474961081E-52</v>
      </c>
      <c r="H28" s="2">
        <v>0</v>
      </c>
      <c r="I28" s="2">
        <v>1</v>
      </c>
      <c r="J28" s="2">
        <v>0</v>
      </c>
      <c r="K28" s="2" t="s">
        <v>1</v>
      </c>
    </row>
    <row r="29" spans="1:11" x14ac:dyDescent="0.35">
      <c r="A29" s="2" t="s">
        <v>39</v>
      </c>
      <c r="B29" s="2">
        <v>685</v>
      </c>
      <c r="C29" s="2">
        <v>299</v>
      </c>
      <c r="D29" s="2">
        <v>0.69613821138211385</v>
      </c>
      <c r="E29" s="2">
        <v>8.1080101929464927E-36</v>
      </c>
      <c r="F29" s="2">
        <v>1</v>
      </c>
      <c r="G29" s="2">
        <v>1.6216020385892991E-35</v>
      </c>
      <c r="H29" s="2">
        <v>0</v>
      </c>
      <c r="I29" s="2">
        <v>1</v>
      </c>
      <c r="J29" s="2">
        <v>0</v>
      </c>
      <c r="K29" s="2" t="s">
        <v>1</v>
      </c>
    </row>
    <row r="30" spans="1:11" x14ac:dyDescent="0.35">
      <c r="A30" s="2" t="s">
        <v>40</v>
      </c>
      <c r="B30" s="2">
        <v>933</v>
      </c>
      <c r="C30" s="2">
        <v>51</v>
      </c>
      <c r="D30" s="2">
        <v>0.94817073170731703</v>
      </c>
      <c r="E30" s="2">
        <v>4.9015667887445609E-211</v>
      </c>
      <c r="F30" s="2">
        <v>1</v>
      </c>
      <c r="G30" s="2">
        <v>9.8031335774891218E-211</v>
      </c>
      <c r="H30" s="2">
        <v>0</v>
      </c>
      <c r="I30" s="2">
        <v>1</v>
      </c>
      <c r="J30" s="2">
        <v>0</v>
      </c>
      <c r="K30" s="2" t="s">
        <v>1</v>
      </c>
    </row>
    <row r="31" spans="1:11" x14ac:dyDescent="0.35">
      <c r="A31" s="2" t="s">
        <v>41</v>
      </c>
      <c r="B31" s="2">
        <v>614</v>
      </c>
      <c r="C31" s="2">
        <v>370</v>
      </c>
      <c r="D31" s="2">
        <v>0.62398373983739841</v>
      </c>
      <c r="E31" s="2">
        <v>3.4541688526487142E-15</v>
      </c>
      <c r="F31" s="2">
        <v>0.99999999999999789</v>
      </c>
      <c r="G31" s="2">
        <v>6.9083377052974283E-15</v>
      </c>
      <c r="H31" s="2">
        <v>3.6637359812630174E-15</v>
      </c>
      <c r="I31" s="2">
        <v>0.99999999999999634</v>
      </c>
      <c r="J31" s="2">
        <v>7.3274719625260332E-15</v>
      </c>
      <c r="K31" s="2" t="s">
        <v>1</v>
      </c>
    </row>
    <row r="32" spans="1:11" x14ac:dyDescent="0.35">
      <c r="A32" s="2" t="s">
        <v>42</v>
      </c>
      <c r="B32" s="2">
        <v>518</v>
      </c>
      <c r="C32" s="2">
        <v>466</v>
      </c>
      <c r="D32" s="2">
        <v>0.52642276422764223</v>
      </c>
      <c r="E32" s="2">
        <v>5.1969834598291027E-2</v>
      </c>
      <c r="F32" s="2">
        <v>0.95447107825781818</v>
      </c>
      <c r="G32" s="2">
        <v>0.1039396691965821</v>
      </c>
      <c r="H32" s="2">
        <v>4.8689072050409288E-2</v>
      </c>
      <c r="I32" s="2">
        <v>0.95131092794959071</v>
      </c>
      <c r="J32" s="2">
        <v>9.7378144100818576E-2</v>
      </c>
      <c r="K32" s="2" t="s">
        <v>12</v>
      </c>
    </row>
    <row r="33" spans="1:11" x14ac:dyDescent="0.35">
      <c r="A33" s="2" t="s">
        <v>43</v>
      </c>
      <c r="B33" s="2">
        <v>683</v>
      </c>
      <c r="C33" s="2">
        <v>301</v>
      </c>
      <c r="D33" s="2">
        <v>0.69410569105691056</v>
      </c>
      <c r="E33" s="2">
        <v>4.2381871390991088E-35</v>
      </c>
      <c r="F33" s="2">
        <v>1</v>
      </c>
      <c r="G33" s="2">
        <v>8.4763742781982186E-35</v>
      </c>
      <c r="H33" s="2">
        <v>0</v>
      </c>
      <c r="I33" s="2">
        <v>1</v>
      </c>
      <c r="J33" s="2">
        <v>0</v>
      </c>
      <c r="K33" s="2" t="s">
        <v>1</v>
      </c>
    </row>
    <row r="34" spans="1:11" x14ac:dyDescent="0.35">
      <c r="A34" s="2" t="s">
        <v>44</v>
      </c>
      <c r="B34" s="2">
        <v>366</v>
      </c>
      <c r="C34" s="2">
        <v>618</v>
      </c>
      <c r="D34" s="2">
        <v>0.37195121951219512</v>
      </c>
      <c r="E34" s="2">
        <v>0.99999999999999978</v>
      </c>
      <c r="F34" s="2">
        <v>4.3006118688936611E-16</v>
      </c>
      <c r="G34" s="2">
        <v>8.6012237377873222E-16</v>
      </c>
      <c r="H34" s="2">
        <v>0.99999999999999956</v>
      </c>
      <c r="I34" s="2">
        <v>4.7378235821797667E-16</v>
      </c>
      <c r="J34" s="2">
        <v>8.8817841970012523E-16</v>
      </c>
      <c r="K34" s="2" t="s">
        <v>2</v>
      </c>
    </row>
    <row r="35" spans="1:11" x14ac:dyDescent="0.35">
      <c r="A35" s="2" t="s">
        <v>45</v>
      </c>
      <c r="B35" s="2">
        <v>351</v>
      </c>
      <c r="C35" s="2">
        <v>633</v>
      </c>
      <c r="D35" s="2">
        <v>0.35670731707317072</v>
      </c>
      <c r="E35" s="2">
        <v>1</v>
      </c>
      <c r="F35" s="2">
        <v>9.4120188314621227E-20</v>
      </c>
      <c r="G35" s="2">
        <v>1.882403766292425E-19</v>
      </c>
      <c r="H35" s="2">
        <v>1</v>
      </c>
      <c r="I35" s="2">
        <v>1.238047032628276E-19</v>
      </c>
      <c r="J35" s="2">
        <v>0</v>
      </c>
      <c r="K35" s="2" t="s">
        <v>2</v>
      </c>
    </row>
    <row r="36" spans="1:11" x14ac:dyDescent="0.35">
      <c r="A36" s="2" t="s">
        <v>46</v>
      </c>
      <c r="B36" s="2">
        <v>352</v>
      </c>
      <c r="C36" s="2">
        <v>632</v>
      </c>
      <c r="D36" s="2">
        <v>0.35772357723577242</v>
      </c>
      <c r="E36" s="2">
        <v>1</v>
      </c>
      <c r="F36" s="2">
        <v>1.7017112154207799E-19</v>
      </c>
      <c r="G36" s="2">
        <v>3.4034224308415598E-19</v>
      </c>
      <c r="H36" s="2">
        <v>1</v>
      </c>
      <c r="I36" s="2">
        <v>2.206976737449113E-19</v>
      </c>
      <c r="J36" s="2">
        <v>0</v>
      </c>
      <c r="K36" s="2" t="s">
        <v>2</v>
      </c>
    </row>
    <row r="37" spans="1:11" x14ac:dyDescent="0.35">
      <c r="A37" s="2" t="s">
        <v>47</v>
      </c>
      <c r="B37" s="2">
        <v>585</v>
      </c>
      <c r="C37" s="2">
        <v>399</v>
      </c>
      <c r="D37" s="2">
        <v>0.59451219512195119</v>
      </c>
      <c r="E37" s="2">
        <v>1.6626457071959121E-9</v>
      </c>
      <c r="F37" s="2">
        <v>0.99999999887751323</v>
      </c>
      <c r="G37" s="2">
        <v>3.325291414391825E-9</v>
      </c>
      <c r="H37" s="2">
        <v>1.5196309766096761E-9</v>
      </c>
      <c r="I37" s="2">
        <v>0.99999999848036902</v>
      </c>
      <c r="J37" s="2">
        <v>3.0392619532193521E-9</v>
      </c>
      <c r="K37" s="2" t="s">
        <v>1</v>
      </c>
    </row>
    <row r="38" spans="1:11" x14ac:dyDescent="0.35">
      <c r="A38" s="2" t="s">
        <v>48</v>
      </c>
      <c r="B38" s="2">
        <v>570</v>
      </c>
      <c r="C38" s="2">
        <v>414</v>
      </c>
      <c r="D38" s="2">
        <v>0.57926829268292679</v>
      </c>
      <c r="E38" s="2">
        <v>3.6896243662590889E-7</v>
      </c>
      <c r="F38" s="2">
        <v>0.99999973519926122</v>
      </c>
      <c r="G38" s="2">
        <v>7.3792487325181779E-7</v>
      </c>
      <c r="H38" s="2">
        <v>3.2945603412049001E-7</v>
      </c>
      <c r="I38" s="2">
        <v>0.99999967054396588</v>
      </c>
      <c r="J38" s="2">
        <v>6.5891206824097992E-7</v>
      </c>
      <c r="K38" s="2" t="s">
        <v>1</v>
      </c>
    </row>
    <row r="39" spans="1:11" x14ac:dyDescent="0.35">
      <c r="A39" s="2" t="s">
        <v>49</v>
      </c>
      <c r="B39" s="2">
        <v>622</v>
      </c>
      <c r="C39" s="2">
        <v>362</v>
      </c>
      <c r="D39" s="2">
        <v>0.63211382113821135</v>
      </c>
      <c r="E39" s="2">
        <v>4.9992918709143431E-17</v>
      </c>
      <c r="F39" s="2">
        <v>1</v>
      </c>
      <c r="G39" s="2">
        <v>9.9985837418286862E-17</v>
      </c>
      <c r="H39" s="2">
        <v>1.110223024625157E-16</v>
      </c>
      <c r="I39" s="2">
        <v>0.99999999999999989</v>
      </c>
      <c r="J39" s="2">
        <v>2.2204460492503131E-16</v>
      </c>
      <c r="K39" s="2" t="s">
        <v>1</v>
      </c>
    </row>
    <row r="40" spans="1:11" x14ac:dyDescent="0.35">
      <c r="A40" s="2" t="s">
        <v>50</v>
      </c>
      <c r="B40" s="2">
        <v>554</v>
      </c>
      <c r="C40" s="2">
        <v>430</v>
      </c>
      <c r="D40" s="2">
        <v>0.56300813008130079</v>
      </c>
      <c r="E40" s="2">
        <v>4.3203488398765257E-5</v>
      </c>
      <c r="F40" s="2">
        <v>0.99996695014213</v>
      </c>
      <c r="G40" s="2">
        <v>8.6406976797530528E-5</v>
      </c>
      <c r="H40" s="2">
        <v>3.8592651869784327E-5</v>
      </c>
      <c r="I40" s="2">
        <v>0.99996140734813022</v>
      </c>
      <c r="J40" s="2">
        <v>7.7185303739568667E-5</v>
      </c>
      <c r="K40" s="2" t="s">
        <v>1</v>
      </c>
    </row>
    <row r="41" spans="1:11" x14ac:dyDescent="0.35">
      <c r="A41" s="2" t="s">
        <v>51</v>
      </c>
      <c r="B41" s="2">
        <v>529</v>
      </c>
      <c r="C41" s="2">
        <v>455</v>
      </c>
      <c r="D41" s="2">
        <v>0.53760162601626016</v>
      </c>
      <c r="E41" s="2">
        <v>9.9553397341197985E-3</v>
      </c>
      <c r="F41" s="2">
        <v>0.99161859979378952</v>
      </c>
      <c r="G41" s="2">
        <v>1.99106794682396E-2</v>
      </c>
      <c r="H41" s="2">
        <v>9.161292466839277E-3</v>
      </c>
      <c r="I41" s="2">
        <v>0.99083870753316072</v>
      </c>
      <c r="J41" s="2">
        <v>1.8322584933678551E-2</v>
      </c>
      <c r="K41" s="2" t="s">
        <v>1</v>
      </c>
    </row>
    <row r="42" spans="1:11" x14ac:dyDescent="0.35">
      <c r="A42" s="2" t="s">
        <v>52</v>
      </c>
      <c r="B42" s="2">
        <v>584</v>
      </c>
      <c r="C42" s="2">
        <v>400</v>
      </c>
      <c r="D42" s="2">
        <v>0.5934959349593496</v>
      </c>
      <c r="E42" s="2">
        <v>2.4526280867415511E-9</v>
      </c>
      <c r="F42" s="2">
        <v>0.99999999833735431</v>
      </c>
      <c r="G42" s="2">
        <v>4.9052561734831022E-9</v>
      </c>
      <c r="H42" s="2">
        <v>2.2361313911645202E-9</v>
      </c>
      <c r="I42" s="2">
        <v>0.99999999776386861</v>
      </c>
      <c r="J42" s="2">
        <v>4.4722627823290403E-9</v>
      </c>
      <c r="K42" s="2" t="s">
        <v>1</v>
      </c>
    </row>
    <row r="43" spans="1:11" x14ac:dyDescent="0.35">
      <c r="A43" s="2" t="s">
        <v>53</v>
      </c>
      <c r="B43" s="2">
        <v>526</v>
      </c>
      <c r="C43" s="2">
        <v>458</v>
      </c>
      <c r="D43" s="2">
        <v>0.53455284552845528</v>
      </c>
      <c r="E43" s="2">
        <v>1.631823268572254E-2</v>
      </c>
      <c r="F43" s="2">
        <v>0.98610916945956295</v>
      </c>
      <c r="G43" s="2">
        <v>3.2636465371445079E-2</v>
      </c>
      <c r="H43" s="2">
        <v>1.5088444472732609E-2</v>
      </c>
      <c r="I43" s="2">
        <v>0.98491155552726739</v>
      </c>
      <c r="J43" s="2">
        <v>3.0176888945465219E-2</v>
      </c>
      <c r="K43" s="2" t="s">
        <v>1</v>
      </c>
    </row>
    <row r="44" spans="1:11" x14ac:dyDescent="0.35">
      <c r="A44" s="2" t="s">
        <v>54</v>
      </c>
      <c r="B44" s="2">
        <v>665</v>
      </c>
      <c r="C44" s="2">
        <v>319</v>
      </c>
      <c r="D44" s="2">
        <v>0.67581300813008127</v>
      </c>
      <c r="E44" s="2">
        <v>5.2904122347699522E-29</v>
      </c>
      <c r="F44" s="2">
        <v>1</v>
      </c>
      <c r="G44" s="2">
        <v>1.05808244695399E-28</v>
      </c>
      <c r="H44" s="2">
        <v>0</v>
      </c>
      <c r="I44" s="2">
        <v>1</v>
      </c>
      <c r="J44" s="2">
        <v>0</v>
      </c>
      <c r="K44" s="2" t="s">
        <v>1</v>
      </c>
    </row>
    <row r="45" spans="1:11" x14ac:dyDescent="0.35">
      <c r="A45" s="2" t="s">
        <v>55</v>
      </c>
      <c r="B45" s="2">
        <v>543</v>
      </c>
      <c r="C45" s="2">
        <v>441</v>
      </c>
      <c r="D45" s="2">
        <v>0.55182926829268297</v>
      </c>
      <c r="E45" s="2">
        <v>6.3577144909883129E-4</v>
      </c>
      <c r="F45" s="2">
        <v>0.99949234714653856</v>
      </c>
      <c r="G45" s="2">
        <v>1.271542898197663E-3</v>
      </c>
      <c r="H45" s="2">
        <v>5.7370376166432369E-4</v>
      </c>
      <c r="I45" s="2">
        <v>0.99942629623833568</v>
      </c>
      <c r="J45" s="2">
        <v>1.1474075233286469E-3</v>
      </c>
      <c r="K45" s="2" t="s">
        <v>1</v>
      </c>
    </row>
    <row r="46" spans="1:11" x14ac:dyDescent="0.35">
      <c r="A46" s="2" t="s">
        <v>56</v>
      </c>
      <c r="B46" s="2">
        <v>949</v>
      </c>
      <c r="C46" s="2">
        <v>35</v>
      </c>
      <c r="D46" s="2">
        <v>0.96443089430894313</v>
      </c>
      <c r="E46" s="2">
        <v>1.8951031504582381E-232</v>
      </c>
      <c r="F46" s="2">
        <v>1</v>
      </c>
      <c r="G46" s="2">
        <v>3.790206300916477E-232</v>
      </c>
      <c r="H46" s="2">
        <v>0</v>
      </c>
      <c r="I46" s="2">
        <v>1</v>
      </c>
      <c r="J46" s="2">
        <v>0</v>
      </c>
      <c r="K46" s="2" t="s">
        <v>1</v>
      </c>
    </row>
    <row r="47" spans="1:11" x14ac:dyDescent="0.35">
      <c r="A47" s="2" t="s">
        <v>57</v>
      </c>
      <c r="B47" s="2">
        <v>836</v>
      </c>
      <c r="C47" s="2">
        <v>148</v>
      </c>
      <c r="D47" s="2">
        <v>0.84959349593495936</v>
      </c>
      <c r="E47" s="2">
        <v>2.3213986636838901E-117</v>
      </c>
      <c r="F47" s="2">
        <v>1</v>
      </c>
      <c r="G47" s="2">
        <v>4.6427973273677788E-117</v>
      </c>
      <c r="H47" s="2">
        <v>0</v>
      </c>
      <c r="I47" s="2">
        <v>1</v>
      </c>
      <c r="J47" s="2">
        <v>0</v>
      </c>
      <c r="K47" s="2" t="s">
        <v>1</v>
      </c>
    </row>
    <row r="48" spans="1:11" x14ac:dyDescent="0.35">
      <c r="A48" s="2" t="s">
        <v>58</v>
      </c>
      <c r="B48" s="2">
        <v>969</v>
      </c>
      <c r="C48" s="2">
        <v>15</v>
      </c>
      <c r="D48" s="2">
        <v>0.9847560975609756</v>
      </c>
      <c r="E48" s="2">
        <v>3.3504299737275222E-264</v>
      </c>
      <c r="F48" s="2">
        <v>1</v>
      </c>
      <c r="G48" s="2">
        <v>6.7008599474550426E-264</v>
      </c>
      <c r="H48" s="2">
        <v>0</v>
      </c>
      <c r="I48" s="2">
        <v>1</v>
      </c>
      <c r="J48" s="2">
        <v>0</v>
      </c>
      <c r="K48" s="2" t="s">
        <v>1</v>
      </c>
    </row>
    <row r="49" spans="1:11" x14ac:dyDescent="0.35">
      <c r="A49" s="2" t="s">
        <v>59</v>
      </c>
      <c r="B49" s="2">
        <v>899</v>
      </c>
      <c r="C49" s="2">
        <v>85</v>
      </c>
      <c r="D49" s="2">
        <v>0.91361788617886175</v>
      </c>
      <c r="E49" s="2">
        <v>1.4504506646774709E-172</v>
      </c>
      <c r="F49" s="2">
        <v>1</v>
      </c>
      <c r="G49" s="2">
        <v>2.9009013293549419E-172</v>
      </c>
      <c r="H49" s="2">
        <v>0</v>
      </c>
      <c r="I49" s="2">
        <v>1</v>
      </c>
      <c r="J49" s="2">
        <v>0</v>
      </c>
      <c r="K49" s="2" t="s">
        <v>1</v>
      </c>
    </row>
    <row r="50" spans="1:11" x14ac:dyDescent="0.35">
      <c r="A50" s="2" t="s">
        <v>60</v>
      </c>
      <c r="B50" s="2">
        <v>797</v>
      </c>
      <c r="C50" s="2">
        <v>187</v>
      </c>
      <c r="D50" s="2">
        <v>0.80995934959349591</v>
      </c>
      <c r="E50" s="2">
        <v>1.672049815924878E-90</v>
      </c>
      <c r="F50" s="2">
        <v>1</v>
      </c>
      <c r="G50" s="2">
        <v>3.3440996318497551E-90</v>
      </c>
      <c r="H50" s="2">
        <v>0</v>
      </c>
      <c r="I50" s="2">
        <v>1</v>
      </c>
      <c r="J50" s="2">
        <v>0</v>
      </c>
      <c r="K50" s="2" t="s">
        <v>1</v>
      </c>
    </row>
    <row r="51" spans="1:11" x14ac:dyDescent="0.35">
      <c r="A51" s="2" t="s">
        <v>61</v>
      </c>
      <c r="B51" s="2">
        <v>650</v>
      </c>
      <c r="C51" s="2">
        <v>334</v>
      </c>
      <c r="D51" s="2">
        <v>0.66056910569105687</v>
      </c>
      <c r="E51" s="2">
        <v>2.032373850949085E-24</v>
      </c>
      <c r="F51" s="2">
        <v>1</v>
      </c>
      <c r="G51" s="2">
        <v>4.0647477018981708E-24</v>
      </c>
      <c r="H51" s="2">
        <v>0</v>
      </c>
      <c r="I51" s="2">
        <v>1</v>
      </c>
      <c r="J51" s="2">
        <v>0</v>
      </c>
      <c r="K51" s="2" t="s">
        <v>1</v>
      </c>
    </row>
    <row r="52" spans="1:11" x14ac:dyDescent="0.35">
      <c r="A52" s="2" t="s">
        <v>62</v>
      </c>
      <c r="B52" s="2">
        <v>984</v>
      </c>
      <c r="C52" s="2">
        <v>0</v>
      </c>
      <c r="D52" s="2">
        <v>1</v>
      </c>
      <c r="E52" s="2">
        <v>6.1162364502226952E-297</v>
      </c>
      <c r="F52" s="2">
        <v>1</v>
      </c>
      <c r="G52" s="2">
        <v>1.223247290044539E-296</v>
      </c>
      <c r="H52" s="2">
        <v>0</v>
      </c>
      <c r="I52" s="2">
        <v>1</v>
      </c>
      <c r="J52" s="2">
        <v>0</v>
      </c>
      <c r="K52" s="2" t="s">
        <v>1</v>
      </c>
    </row>
    <row r="53" spans="1:11" x14ac:dyDescent="0.35">
      <c r="A53" s="2" t="s">
        <v>63</v>
      </c>
      <c r="B53" s="2">
        <v>905</v>
      </c>
      <c r="C53" s="2">
        <v>79</v>
      </c>
      <c r="D53" s="2">
        <v>0.91971544715447151</v>
      </c>
      <c r="E53" s="2">
        <v>8.3855888561412649E-179</v>
      </c>
      <c r="F53" s="2">
        <v>1</v>
      </c>
      <c r="G53" s="2">
        <v>1.677117771228253E-178</v>
      </c>
      <c r="H53" s="2">
        <v>0</v>
      </c>
      <c r="I53" s="2">
        <v>1</v>
      </c>
      <c r="J53" s="2">
        <v>0</v>
      </c>
      <c r="K53" s="2" t="s">
        <v>1</v>
      </c>
    </row>
    <row r="54" spans="1:11" x14ac:dyDescent="0.35">
      <c r="A54" s="2" t="s">
        <v>64</v>
      </c>
      <c r="B54" s="2">
        <v>984</v>
      </c>
      <c r="C54" s="2">
        <v>0</v>
      </c>
      <c r="D54" s="2">
        <v>1</v>
      </c>
      <c r="E54" s="2">
        <v>6.1162364502226952E-297</v>
      </c>
      <c r="F54" s="2">
        <v>1</v>
      </c>
      <c r="G54" s="2">
        <v>1.223247290044539E-296</v>
      </c>
      <c r="H54" s="2">
        <v>0</v>
      </c>
      <c r="I54" s="2">
        <v>1</v>
      </c>
      <c r="J54" s="2">
        <v>0</v>
      </c>
      <c r="K54" s="2" t="s">
        <v>1</v>
      </c>
    </row>
    <row r="55" spans="1:11" x14ac:dyDescent="0.35">
      <c r="A55" s="2" t="s">
        <v>65</v>
      </c>
      <c r="B55" s="2">
        <v>984</v>
      </c>
      <c r="C55" s="2">
        <v>0</v>
      </c>
      <c r="D55" s="2">
        <v>1</v>
      </c>
      <c r="E55" s="2">
        <v>6.1162364502226952E-297</v>
      </c>
      <c r="F55" s="2">
        <v>1</v>
      </c>
      <c r="G55" s="2">
        <v>1.223247290044539E-296</v>
      </c>
      <c r="H55" s="2">
        <v>0</v>
      </c>
      <c r="I55" s="2">
        <v>1</v>
      </c>
      <c r="J55" s="2">
        <v>0</v>
      </c>
      <c r="K55" s="2" t="s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55"/>
  <sheetViews>
    <sheetView workbookViewId="0"/>
  </sheetViews>
  <sheetFormatPr defaultRowHeight="14.5" x14ac:dyDescent="0.35"/>
  <cols>
    <col min="1" max="1" width="23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813</v>
      </c>
      <c r="C2" s="2">
        <v>820</v>
      </c>
      <c r="D2" s="2">
        <v>0.49785670545009192</v>
      </c>
      <c r="E2" s="2">
        <v>0.57846148769984329</v>
      </c>
      <c r="F2" s="2">
        <v>0.44098623276323662</v>
      </c>
      <c r="G2" s="2">
        <v>0.88197246552647313</v>
      </c>
      <c r="H2" s="2">
        <v>0.5687618319115062</v>
      </c>
      <c r="I2" s="2">
        <v>0.43123816808849369</v>
      </c>
      <c r="J2" s="2">
        <v>0.86247633617698738</v>
      </c>
      <c r="K2" s="2" t="s">
        <v>12</v>
      </c>
    </row>
    <row r="3" spans="1:11" x14ac:dyDescent="0.35">
      <c r="A3" s="2" t="s">
        <v>13</v>
      </c>
      <c r="B3" s="2">
        <v>403</v>
      </c>
      <c r="C3" s="2">
        <v>1230</v>
      </c>
      <c r="D3" s="2">
        <v>0.24678505817513779</v>
      </c>
      <c r="E3" s="2">
        <v>1</v>
      </c>
      <c r="F3" s="2">
        <v>1.7172290364240801E-97</v>
      </c>
      <c r="G3" s="2">
        <v>3.4344580728481602E-97</v>
      </c>
      <c r="H3" s="2">
        <v>1</v>
      </c>
      <c r="I3" s="2">
        <v>2.206984248529479E-93</v>
      </c>
      <c r="J3" s="2">
        <v>0</v>
      </c>
      <c r="K3" s="2" t="s">
        <v>2</v>
      </c>
    </row>
    <row r="4" spans="1:11" x14ac:dyDescent="0.35">
      <c r="A4" s="2" t="s">
        <v>14</v>
      </c>
      <c r="B4" s="2">
        <v>201</v>
      </c>
      <c r="C4" s="2">
        <v>1432</v>
      </c>
      <c r="D4" s="2">
        <v>0.1230863441518677</v>
      </c>
      <c r="E4" s="2">
        <v>1</v>
      </c>
      <c r="F4" s="2">
        <v>3.2724124931423089E-229</v>
      </c>
      <c r="G4" s="2">
        <v>6.5448249862846177E-229</v>
      </c>
      <c r="H4" s="2">
        <v>1</v>
      </c>
      <c r="I4" s="2">
        <v>4.0965299665349387E-204</v>
      </c>
      <c r="J4" s="2">
        <v>0</v>
      </c>
      <c r="K4" s="2" t="s">
        <v>2</v>
      </c>
    </row>
    <row r="5" spans="1:11" x14ac:dyDescent="0.35">
      <c r="A5" s="2" t="s">
        <v>15</v>
      </c>
      <c r="B5" s="2">
        <v>172</v>
      </c>
      <c r="C5" s="2">
        <v>1461</v>
      </c>
      <c r="D5" s="2">
        <v>0.10532761788120031</v>
      </c>
      <c r="E5" s="2">
        <v>1</v>
      </c>
      <c r="F5" s="2">
        <v>5.2602556165464859E-255</v>
      </c>
      <c r="G5" s="2">
        <v>1.052051123309297E-254</v>
      </c>
      <c r="H5" s="2">
        <v>1</v>
      </c>
      <c r="I5" s="2">
        <v>1.435224475300917E-223</v>
      </c>
      <c r="J5" s="2">
        <v>0</v>
      </c>
      <c r="K5" s="2" t="s">
        <v>2</v>
      </c>
    </row>
    <row r="6" spans="1:11" x14ac:dyDescent="0.35">
      <c r="A6" s="2" t="s">
        <v>16</v>
      </c>
      <c r="B6" s="2">
        <v>261</v>
      </c>
      <c r="C6" s="2">
        <v>1372</v>
      </c>
      <c r="D6" s="2">
        <v>0.15982853643600731</v>
      </c>
      <c r="E6" s="2">
        <v>1</v>
      </c>
      <c r="F6" s="2">
        <v>3.5740743462064531E-182</v>
      </c>
      <c r="G6" s="2">
        <v>7.1481486924129062E-182</v>
      </c>
      <c r="H6" s="2">
        <v>1</v>
      </c>
      <c r="I6" s="2">
        <v>1.066565309165233E-166</v>
      </c>
      <c r="J6" s="2">
        <v>0</v>
      </c>
      <c r="K6" s="2" t="s">
        <v>2</v>
      </c>
    </row>
    <row r="7" spans="1:11" x14ac:dyDescent="0.35">
      <c r="A7" s="2" t="s">
        <v>17</v>
      </c>
      <c r="B7" s="2">
        <v>727</v>
      </c>
      <c r="C7" s="2">
        <v>906</v>
      </c>
      <c r="D7" s="2">
        <v>0.44519289650949168</v>
      </c>
      <c r="E7" s="2">
        <v>0.99999587518426136</v>
      </c>
      <c r="F7" s="2">
        <v>5.1933716582758664E-6</v>
      </c>
      <c r="G7" s="2">
        <v>1.0386743316551729E-5</v>
      </c>
      <c r="H7" s="2">
        <v>0.99999527857781301</v>
      </c>
      <c r="I7" s="2">
        <v>4.721422187028885E-6</v>
      </c>
      <c r="J7" s="2">
        <v>9.4428443739857926E-6</v>
      </c>
      <c r="K7" s="2" t="s">
        <v>2</v>
      </c>
    </row>
    <row r="8" spans="1:11" x14ac:dyDescent="0.35">
      <c r="A8" s="2" t="s">
        <v>18</v>
      </c>
      <c r="B8" s="2">
        <v>645</v>
      </c>
      <c r="C8" s="2">
        <v>988</v>
      </c>
      <c r="D8" s="2">
        <v>0.39497856705450091</v>
      </c>
      <c r="E8" s="2">
        <v>1</v>
      </c>
      <c r="F8" s="2">
        <v>9.9681872091580943E-18</v>
      </c>
      <c r="G8" s="2">
        <v>1.9936374418316189E-17</v>
      </c>
      <c r="H8" s="2">
        <v>1</v>
      </c>
      <c r="I8" s="2">
        <v>1.0518857015558629E-17</v>
      </c>
      <c r="J8" s="2">
        <v>0</v>
      </c>
      <c r="K8" s="2" t="s">
        <v>2</v>
      </c>
    </row>
    <row r="9" spans="1:11" x14ac:dyDescent="0.35">
      <c r="A9" s="2" t="s">
        <v>19</v>
      </c>
      <c r="B9" s="2">
        <v>613</v>
      </c>
      <c r="C9" s="2">
        <v>1020</v>
      </c>
      <c r="D9" s="2">
        <v>0.37538273116962639</v>
      </c>
      <c r="E9" s="2">
        <v>1</v>
      </c>
      <c r="F9" s="2">
        <v>2.780878669386676E-24</v>
      </c>
      <c r="G9" s="2">
        <v>5.5617573387733512E-24</v>
      </c>
      <c r="H9" s="2">
        <v>1</v>
      </c>
      <c r="I9" s="2">
        <v>3.685929971309268E-24</v>
      </c>
      <c r="J9" s="2">
        <v>0</v>
      </c>
      <c r="K9" s="2" t="s">
        <v>2</v>
      </c>
    </row>
    <row r="10" spans="1:11" x14ac:dyDescent="0.35">
      <c r="A10" s="2" t="s">
        <v>20</v>
      </c>
      <c r="B10" s="2">
        <v>290</v>
      </c>
      <c r="C10" s="2">
        <v>1343</v>
      </c>
      <c r="D10" s="2">
        <v>0.1775872627066748</v>
      </c>
      <c r="E10" s="2">
        <v>1</v>
      </c>
      <c r="F10" s="2">
        <v>4.3692845383927091E-162</v>
      </c>
      <c r="G10" s="2">
        <v>8.7385690767854183E-162</v>
      </c>
      <c r="H10" s="2">
        <v>1</v>
      </c>
      <c r="I10" s="2">
        <v>5.5092814840448604E-150</v>
      </c>
      <c r="J10" s="2">
        <v>0</v>
      </c>
      <c r="K10" s="2" t="s">
        <v>2</v>
      </c>
    </row>
    <row r="11" spans="1:11" x14ac:dyDescent="0.35">
      <c r="A11" s="2" t="s">
        <v>21</v>
      </c>
      <c r="B11" s="2">
        <v>621</v>
      </c>
      <c r="C11" s="2">
        <v>1012</v>
      </c>
      <c r="D11" s="2">
        <v>0.38028169014084512</v>
      </c>
      <c r="E11" s="2">
        <v>1</v>
      </c>
      <c r="F11" s="2">
        <v>1.547601377779754E-22</v>
      </c>
      <c r="G11" s="2">
        <v>3.095202755559508E-22</v>
      </c>
      <c r="H11" s="2">
        <v>1</v>
      </c>
      <c r="I11" s="2">
        <v>1.911796903706294E-22</v>
      </c>
      <c r="J11" s="2">
        <v>0</v>
      </c>
      <c r="K11" s="2" t="s">
        <v>2</v>
      </c>
    </row>
    <row r="12" spans="1:11" x14ac:dyDescent="0.35">
      <c r="A12" s="2" t="s">
        <v>22</v>
      </c>
      <c r="B12" s="2">
        <v>369</v>
      </c>
      <c r="C12" s="2">
        <v>1264</v>
      </c>
      <c r="D12" s="2">
        <v>0.22596448254745871</v>
      </c>
      <c r="E12" s="2">
        <v>1</v>
      </c>
      <c r="F12" s="2">
        <v>8.0512668273345697E-115</v>
      </c>
      <c r="G12" s="2">
        <v>1.6102533654669139E-114</v>
      </c>
      <c r="H12" s="2">
        <v>1</v>
      </c>
      <c r="I12" s="2">
        <v>5.4809774971718113E-109</v>
      </c>
      <c r="J12" s="2">
        <v>0</v>
      </c>
      <c r="K12" s="2" t="s">
        <v>2</v>
      </c>
    </row>
    <row r="13" spans="1:11" x14ac:dyDescent="0.35">
      <c r="A13" s="2" t="s">
        <v>23</v>
      </c>
      <c r="B13" s="2">
        <v>559</v>
      </c>
      <c r="C13" s="2">
        <v>1074</v>
      </c>
      <c r="D13" s="2">
        <v>0.34231475811390077</v>
      </c>
      <c r="E13" s="2">
        <v>1</v>
      </c>
      <c r="F13" s="2">
        <v>5.7302328655877234E-38</v>
      </c>
      <c r="G13" s="2">
        <v>1.1460465731175451E-37</v>
      </c>
      <c r="H13" s="2">
        <v>1</v>
      </c>
      <c r="I13" s="2">
        <v>1.67810546838029E-37</v>
      </c>
      <c r="J13" s="2">
        <v>0</v>
      </c>
      <c r="K13" s="2" t="s">
        <v>2</v>
      </c>
    </row>
    <row r="14" spans="1:11" x14ac:dyDescent="0.35">
      <c r="A14" s="2" t="s">
        <v>24</v>
      </c>
      <c r="B14" s="2">
        <v>685</v>
      </c>
      <c r="C14" s="2">
        <v>948</v>
      </c>
      <c r="D14" s="2">
        <v>0.41947336191059398</v>
      </c>
      <c r="E14" s="2">
        <v>0.99999999997064792</v>
      </c>
      <c r="F14" s="2">
        <v>4.0918414440758531E-11</v>
      </c>
      <c r="G14" s="2">
        <v>8.183682888151705E-11</v>
      </c>
      <c r="H14" s="2">
        <v>0.99999999996197841</v>
      </c>
      <c r="I14" s="2">
        <v>3.8021612174152023E-11</v>
      </c>
      <c r="J14" s="2">
        <v>7.6043171759465622E-11</v>
      </c>
      <c r="K14" s="2" t="s">
        <v>2</v>
      </c>
    </row>
    <row r="15" spans="1:11" x14ac:dyDescent="0.35">
      <c r="A15" s="2" t="s">
        <v>25</v>
      </c>
      <c r="B15" s="2">
        <v>507</v>
      </c>
      <c r="C15" s="2">
        <v>1126</v>
      </c>
      <c r="D15" s="2">
        <v>0.31047152480097978</v>
      </c>
      <c r="E15" s="2">
        <v>1</v>
      </c>
      <c r="F15" s="2">
        <v>2.1925707043259681E-54</v>
      </c>
      <c r="G15" s="2">
        <v>4.3851414086519363E-54</v>
      </c>
      <c r="H15" s="2">
        <v>1</v>
      </c>
      <c r="I15" s="2">
        <v>2.905802465576444E-53</v>
      </c>
      <c r="J15" s="2">
        <v>0</v>
      </c>
      <c r="K15" s="2" t="s">
        <v>2</v>
      </c>
    </row>
    <row r="16" spans="1:11" x14ac:dyDescent="0.35">
      <c r="A16" s="2" t="s">
        <v>26</v>
      </c>
      <c r="B16" s="2">
        <v>486</v>
      </c>
      <c r="C16" s="2">
        <v>1147</v>
      </c>
      <c r="D16" s="2">
        <v>0.2976117575015309</v>
      </c>
      <c r="E16" s="2">
        <v>1</v>
      </c>
      <c r="F16" s="2">
        <v>2.502550522802907E-62</v>
      </c>
      <c r="G16" s="2">
        <v>5.005101045605813E-62</v>
      </c>
      <c r="H16" s="2">
        <v>1</v>
      </c>
      <c r="I16" s="2">
        <v>1.9331846855550121E-60</v>
      </c>
      <c r="J16" s="2">
        <v>0</v>
      </c>
      <c r="K16" s="2" t="s">
        <v>2</v>
      </c>
    </row>
    <row r="17" spans="1:11" x14ac:dyDescent="0.35">
      <c r="A17" s="2" t="s">
        <v>27</v>
      </c>
      <c r="B17" s="2">
        <v>254</v>
      </c>
      <c r="C17" s="2">
        <v>1379</v>
      </c>
      <c r="D17" s="2">
        <v>0.15554194733619109</v>
      </c>
      <c r="E17" s="2">
        <v>1</v>
      </c>
      <c r="F17" s="2">
        <v>2.8897837116281568E-187</v>
      </c>
      <c r="G17" s="2">
        <v>5.7795674232563145E-187</v>
      </c>
      <c r="H17" s="2">
        <v>1</v>
      </c>
      <c r="I17" s="2">
        <v>7.2432189792769811E-171</v>
      </c>
      <c r="J17" s="2">
        <v>0</v>
      </c>
      <c r="K17" s="2" t="s">
        <v>2</v>
      </c>
    </row>
    <row r="18" spans="1:11" x14ac:dyDescent="0.35">
      <c r="A18" s="2" t="s">
        <v>28</v>
      </c>
      <c r="B18" s="2">
        <v>485</v>
      </c>
      <c r="C18" s="2">
        <v>1148</v>
      </c>
      <c r="D18" s="2">
        <v>0.29699938763012862</v>
      </c>
      <c r="E18" s="2">
        <v>1</v>
      </c>
      <c r="F18" s="2">
        <v>2.502550522802907E-62</v>
      </c>
      <c r="G18" s="2">
        <v>5.005101045605813E-62</v>
      </c>
      <c r="H18" s="2">
        <v>1</v>
      </c>
      <c r="I18" s="2">
        <v>8.5675094594325598E-61</v>
      </c>
      <c r="J18" s="2">
        <v>0</v>
      </c>
      <c r="K18" s="2" t="s">
        <v>2</v>
      </c>
    </row>
    <row r="19" spans="1:11" x14ac:dyDescent="0.35">
      <c r="A19" s="2" t="s">
        <v>29</v>
      </c>
      <c r="B19" s="2">
        <v>164</v>
      </c>
      <c r="C19" s="2">
        <v>1469</v>
      </c>
      <c r="D19" s="2">
        <v>0.10042865890998159</v>
      </c>
      <c r="E19" s="2">
        <v>1</v>
      </c>
      <c r="F19" s="2">
        <v>1.5944933614850079E-262</v>
      </c>
      <c r="G19" s="2">
        <v>3.1889867229700152E-262</v>
      </c>
      <c r="H19" s="2">
        <v>1</v>
      </c>
      <c r="I19" s="2">
        <v>4.2914289777973262E-229</v>
      </c>
      <c r="J19" s="2">
        <v>0</v>
      </c>
      <c r="K19" s="2" t="s">
        <v>2</v>
      </c>
    </row>
    <row r="20" spans="1:11" x14ac:dyDescent="0.35">
      <c r="A20" s="2" t="s">
        <v>30</v>
      </c>
      <c r="B20" s="2">
        <v>79</v>
      </c>
      <c r="C20" s="2">
        <v>1554</v>
      </c>
      <c r="D20" s="2">
        <v>4.8377219840783831E-2</v>
      </c>
      <c r="E20" s="2">
        <v>1</v>
      </c>
      <c r="F20" s="2">
        <v>0</v>
      </c>
      <c r="G20" s="2">
        <v>0</v>
      </c>
      <c r="H20" s="2">
        <v>1</v>
      </c>
      <c r="I20" s="2">
        <v>5.4424671500286204E-292</v>
      </c>
      <c r="J20" s="2">
        <v>0</v>
      </c>
      <c r="K20" s="2" t="s">
        <v>2</v>
      </c>
    </row>
    <row r="21" spans="1:11" x14ac:dyDescent="0.35">
      <c r="A21" s="2" t="s">
        <v>31</v>
      </c>
      <c r="B21" s="2">
        <v>504</v>
      </c>
      <c r="C21" s="2">
        <v>1129</v>
      </c>
      <c r="D21" s="2">
        <v>0.30863441518677281</v>
      </c>
      <c r="E21" s="2">
        <v>1</v>
      </c>
      <c r="F21" s="2">
        <v>1.9654896879821679E-55</v>
      </c>
      <c r="G21" s="2">
        <v>3.9309793759643351E-55</v>
      </c>
      <c r="H21" s="2">
        <v>1</v>
      </c>
      <c r="I21" s="2">
        <v>2.928129176771024E-54</v>
      </c>
      <c r="J21" s="2">
        <v>0</v>
      </c>
      <c r="K21" s="2" t="s">
        <v>2</v>
      </c>
    </row>
    <row r="22" spans="1:11" x14ac:dyDescent="0.35">
      <c r="A22" s="2" t="s">
        <v>32</v>
      </c>
      <c r="B22" s="2">
        <v>334</v>
      </c>
      <c r="C22" s="2">
        <v>1299</v>
      </c>
      <c r="D22" s="2">
        <v>0.2045315370483772</v>
      </c>
      <c r="E22" s="2">
        <v>1</v>
      </c>
      <c r="F22" s="2">
        <v>1.70699680684202E-134</v>
      </c>
      <c r="G22" s="2">
        <v>3.4139936136840409E-134</v>
      </c>
      <c r="H22" s="2">
        <v>1</v>
      </c>
      <c r="I22" s="2">
        <v>2.4717574080639721E-126</v>
      </c>
      <c r="J22" s="2">
        <v>0</v>
      </c>
      <c r="K22" s="2" t="s">
        <v>2</v>
      </c>
    </row>
    <row r="23" spans="1:11" x14ac:dyDescent="0.35">
      <c r="A23" s="2" t="s">
        <v>33</v>
      </c>
      <c r="B23" s="2">
        <v>556</v>
      </c>
      <c r="C23" s="2">
        <v>1077</v>
      </c>
      <c r="D23" s="2">
        <v>0.34047764849969381</v>
      </c>
      <c r="E23" s="2">
        <v>1</v>
      </c>
      <c r="F23" s="2">
        <v>7.9226059374360175E-39</v>
      </c>
      <c r="G23" s="2">
        <v>1.584521187487203E-38</v>
      </c>
      <c r="H23" s="2">
        <v>1</v>
      </c>
      <c r="I23" s="2">
        <v>2.4733134745600399E-38</v>
      </c>
      <c r="J23" s="2">
        <v>0</v>
      </c>
      <c r="K23" s="2" t="s">
        <v>2</v>
      </c>
    </row>
    <row r="24" spans="1:11" x14ac:dyDescent="0.35">
      <c r="A24" s="2" t="s">
        <v>34</v>
      </c>
      <c r="B24" s="2">
        <v>238</v>
      </c>
      <c r="C24" s="2">
        <v>1395</v>
      </c>
      <c r="D24" s="2">
        <v>0.1457440293937538</v>
      </c>
      <c r="E24" s="2">
        <v>1</v>
      </c>
      <c r="F24" s="2">
        <v>2.7917726458317951E-199</v>
      </c>
      <c r="G24" s="2">
        <v>5.5835452916635902E-199</v>
      </c>
      <c r="H24" s="2">
        <v>1</v>
      </c>
      <c r="I24" s="2">
        <v>1.372323577401037E-180</v>
      </c>
      <c r="J24" s="2">
        <v>0</v>
      </c>
      <c r="K24" s="2" t="s">
        <v>2</v>
      </c>
    </row>
    <row r="25" spans="1:11" x14ac:dyDescent="0.35">
      <c r="A25" s="2" t="s">
        <v>35</v>
      </c>
      <c r="B25" s="2">
        <v>192</v>
      </c>
      <c r="C25" s="2">
        <v>1441</v>
      </c>
      <c r="D25" s="2">
        <v>0.1175750153092468</v>
      </c>
      <c r="E25" s="2">
        <v>1</v>
      </c>
      <c r="F25" s="2">
        <v>5.546877269145285E-237</v>
      </c>
      <c r="G25" s="2">
        <v>1.109375453829057E-236</v>
      </c>
      <c r="H25" s="2">
        <v>1</v>
      </c>
      <c r="I25" s="2">
        <v>4.6789306225113673E-210</v>
      </c>
      <c r="J25" s="2">
        <v>0</v>
      </c>
      <c r="K25" s="2" t="s">
        <v>2</v>
      </c>
    </row>
    <row r="26" spans="1:11" x14ac:dyDescent="0.35">
      <c r="A26" s="2" t="s">
        <v>36</v>
      </c>
      <c r="B26" s="2">
        <v>844</v>
      </c>
      <c r="C26" s="2">
        <v>789</v>
      </c>
      <c r="D26" s="2">
        <v>0.51684017146356398</v>
      </c>
      <c r="E26" s="2">
        <v>9.071853013336878E-2</v>
      </c>
      <c r="F26" s="2">
        <v>0.91710320520539457</v>
      </c>
      <c r="G26" s="2">
        <v>0.18143706026673759</v>
      </c>
      <c r="H26" s="2">
        <v>8.6751164197868436E-2</v>
      </c>
      <c r="I26" s="2">
        <v>0.91324883580213156</v>
      </c>
      <c r="J26" s="2">
        <v>0.1735023283957369</v>
      </c>
      <c r="K26" s="2" t="s">
        <v>12</v>
      </c>
    </row>
    <row r="27" spans="1:11" x14ac:dyDescent="0.35">
      <c r="A27" s="2" t="s">
        <v>37</v>
      </c>
      <c r="B27" s="2">
        <v>528</v>
      </c>
      <c r="C27" s="2">
        <v>1105</v>
      </c>
      <c r="D27" s="2">
        <v>0.32333129210042871</v>
      </c>
      <c r="E27" s="2">
        <v>1</v>
      </c>
      <c r="F27" s="2">
        <v>2.3098351599313541E-47</v>
      </c>
      <c r="G27" s="2">
        <v>4.6196703198627082E-47</v>
      </c>
      <c r="H27" s="2">
        <v>1</v>
      </c>
      <c r="I27" s="2">
        <v>1.4896331126978289E-46</v>
      </c>
      <c r="J27" s="2">
        <v>0</v>
      </c>
      <c r="K27" s="2" t="s">
        <v>2</v>
      </c>
    </row>
    <row r="28" spans="1:11" x14ac:dyDescent="0.35">
      <c r="A28" s="2" t="s">
        <v>38</v>
      </c>
      <c r="B28" s="2">
        <v>785</v>
      </c>
      <c r="C28" s="2">
        <v>848</v>
      </c>
      <c r="D28" s="2">
        <v>0.48071034905082671</v>
      </c>
      <c r="E28" s="2">
        <v>0.94338866991246606</v>
      </c>
      <c r="F28" s="2">
        <v>6.246997641291837E-2</v>
      </c>
      <c r="G28" s="2">
        <v>0.1249399528258367</v>
      </c>
      <c r="H28" s="2">
        <v>0.9405023799754072</v>
      </c>
      <c r="I28" s="2">
        <v>5.9497620024592787E-2</v>
      </c>
      <c r="J28" s="2">
        <v>0.1189952400491856</v>
      </c>
      <c r="K28" s="2" t="s">
        <v>12</v>
      </c>
    </row>
    <row r="29" spans="1:11" x14ac:dyDescent="0.35">
      <c r="A29" s="2" t="s">
        <v>39</v>
      </c>
      <c r="B29" s="2">
        <v>598</v>
      </c>
      <c r="C29" s="2">
        <v>1035</v>
      </c>
      <c r="D29" s="2">
        <v>0.36619718309859162</v>
      </c>
      <c r="E29" s="2">
        <v>1</v>
      </c>
      <c r="F29" s="2">
        <v>9.4884139279205565E-28</v>
      </c>
      <c r="G29" s="2">
        <v>1.8976827855841109E-27</v>
      </c>
      <c r="H29" s="2">
        <v>1</v>
      </c>
      <c r="I29" s="2">
        <v>1.476694652840019E-27</v>
      </c>
      <c r="J29" s="2">
        <v>0</v>
      </c>
      <c r="K29" s="2" t="s">
        <v>2</v>
      </c>
    </row>
    <row r="30" spans="1:11" x14ac:dyDescent="0.35">
      <c r="A30" s="2" t="s">
        <v>40</v>
      </c>
      <c r="B30" s="2">
        <v>131</v>
      </c>
      <c r="C30" s="2">
        <v>1502</v>
      </c>
      <c r="D30" s="2">
        <v>8.0220453153704838E-2</v>
      </c>
      <c r="E30" s="2">
        <v>1</v>
      </c>
      <c r="F30" s="2">
        <v>1.268833379947076E-295</v>
      </c>
      <c r="G30" s="2">
        <v>2.5376667598941511E-295</v>
      </c>
      <c r="H30" s="2">
        <v>1</v>
      </c>
      <c r="I30" s="2">
        <v>1.3359873920040811E-252</v>
      </c>
      <c r="J30" s="2">
        <v>0</v>
      </c>
      <c r="K30" s="2" t="s">
        <v>2</v>
      </c>
    </row>
    <row r="31" spans="1:11" x14ac:dyDescent="0.35">
      <c r="A31" s="2" t="s">
        <v>41</v>
      </c>
      <c r="B31" s="2">
        <v>165</v>
      </c>
      <c r="C31" s="2">
        <v>1468</v>
      </c>
      <c r="D31" s="2">
        <v>0.101041028781384</v>
      </c>
      <c r="E31" s="2">
        <v>1</v>
      </c>
      <c r="F31" s="2">
        <v>1.420790867799667E-261</v>
      </c>
      <c r="G31" s="2">
        <v>2.8415817355993341E-261</v>
      </c>
      <c r="H31" s="2">
        <v>1</v>
      </c>
      <c r="I31" s="2">
        <v>2.1225668083500131E-228</v>
      </c>
      <c r="J31" s="2">
        <v>0</v>
      </c>
      <c r="K31" s="2" t="s">
        <v>2</v>
      </c>
    </row>
    <row r="32" spans="1:11" x14ac:dyDescent="0.35">
      <c r="A32" s="2" t="s">
        <v>42</v>
      </c>
      <c r="B32" s="2">
        <v>205</v>
      </c>
      <c r="C32" s="2">
        <v>1428</v>
      </c>
      <c r="D32" s="2">
        <v>0.12553582363747701</v>
      </c>
      <c r="E32" s="2">
        <v>1</v>
      </c>
      <c r="F32" s="2">
        <v>8.020482411746195E-226</v>
      </c>
      <c r="G32" s="2">
        <v>1.604096482349239E-225</v>
      </c>
      <c r="H32" s="2">
        <v>1</v>
      </c>
      <c r="I32" s="2">
        <v>1.6818822728205709E-201</v>
      </c>
      <c r="J32" s="2">
        <v>0</v>
      </c>
      <c r="K32" s="2" t="s">
        <v>2</v>
      </c>
    </row>
    <row r="33" spans="1:11" x14ac:dyDescent="0.35">
      <c r="A33" s="2" t="s">
        <v>43</v>
      </c>
      <c r="B33" s="2">
        <v>145</v>
      </c>
      <c r="C33" s="2">
        <v>1488</v>
      </c>
      <c r="D33" s="2">
        <v>8.8793631353337413E-2</v>
      </c>
      <c r="E33" s="2">
        <v>1</v>
      </c>
      <c r="F33" s="2">
        <v>3.7805762592190572E-281</v>
      </c>
      <c r="G33" s="2">
        <v>7.5611525184381132E-281</v>
      </c>
      <c r="H33" s="2">
        <v>1</v>
      </c>
      <c r="I33" s="2">
        <v>1.736763601713354E-242</v>
      </c>
      <c r="J33" s="2">
        <v>0</v>
      </c>
      <c r="K33" s="2" t="s">
        <v>2</v>
      </c>
    </row>
    <row r="34" spans="1:11" x14ac:dyDescent="0.35">
      <c r="A34" s="2" t="s">
        <v>44</v>
      </c>
      <c r="B34" s="2">
        <v>448</v>
      </c>
      <c r="C34" s="2">
        <v>1185</v>
      </c>
      <c r="D34" s="2">
        <v>0.27434170238824251</v>
      </c>
      <c r="E34" s="2">
        <v>1</v>
      </c>
      <c r="F34" s="2">
        <v>4.4260608983734622E-77</v>
      </c>
      <c r="G34" s="2">
        <v>8.8521217967469244E-77</v>
      </c>
      <c r="H34" s="2">
        <v>1</v>
      </c>
      <c r="I34" s="2">
        <v>1.2913755917770159E-74</v>
      </c>
      <c r="J34" s="2">
        <v>0</v>
      </c>
      <c r="K34" s="2" t="s">
        <v>2</v>
      </c>
    </row>
    <row r="35" spans="1:11" x14ac:dyDescent="0.35">
      <c r="A35" s="2" t="s">
        <v>45</v>
      </c>
      <c r="B35" s="2">
        <v>432</v>
      </c>
      <c r="C35" s="2">
        <v>1201</v>
      </c>
      <c r="D35" s="2">
        <v>0.26454378444580529</v>
      </c>
      <c r="E35" s="2">
        <v>1</v>
      </c>
      <c r="F35" s="2">
        <v>5.0946124501019883E-84</v>
      </c>
      <c r="G35" s="2">
        <v>1.018922490020398E-83</v>
      </c>
      <c r="H35" s="2">
        <v>1</v>
      </c>
      <c r="I35" s="2">
        <v>4.8349834091876382E-81</v>
      </c>
      <c r="J35" s="2">
        <v>0</v>
      </c>
      <c r="K35" s="2" t="s">
        <v>2</v>
      </c>
    </row>
    <row r="36" spans="1:11" x14ac:dyDescent="0.35">
      <c r="A36" s="2" t="s">
        <v>46</v>
      </c>
      <c r="B36" s="2">
        <v>454</v>
      </c>
      <c r="C36" s="2">
        <v>1179</v>
      </c>
      <c r="D36" s="2">
        <v>0.27801592161665639</v>
      </c>
      <c r="E36" s="2">
        <v>1</v>
      </c>
      <c r="F36" s="2">
        <v>1.444725210062375E-74</v>
      </c>
      <c r="G36" s="2">
        <v>2.88945042012475E-74</v>
      </c>
      <c r="H36" s="2">
        <v>1</v>
      </c>
      <c r="I36" s="2">
        <v>2.8251563741603859E-72</v>
      </c>
      <c r="J36" s="2">
        <v>0</v>
      </c>
      <c r="K36" s="2" t="s">
        <v>2</v>
      </c>
    </row>
    <row r="37" spans="1:11" x14ac:dyDescent="0.35">
      <c r="A37" s="2" t="s">
        <v>47</v>
      </c>
      <c r="B37" s="2">
        <v>339</v>
      </c>
      <c r="C37" s="2">
        <v>1294</v>
      </c>
      <c r="D37" s="2">
        <v>0.20759338640538891</v>
      </c>
      <c r="E37" s="2">
        <v>1</v>
      </c>
      <c r="F37" s="2">
        <v>1.4509042313489029E-131</v>
      </c>
      <c r="G37" s="2">
        <v>2.9018084626978058E-131</v>
      </c>
      <c r="H37" s="2">
        <v>1</v>
      </c>
      <c r="I37" s="2">
        <v>8.9253018259158637E-124</v>
      </c>
      <c r="J37" s="2">
        <v>0</v>
      </c>
      <c r="K37" s="2" t="s">
        <v>2</v>
      </c>
    </row>
    <row r="38" spans="1:11" x14ac:dyDescent="0.35">
      <c r="A38" s="2" t="s">
        <v>48</v>
      </c>
      <c r="B38" s="2">
        <v>400</v>
      </c>
      <c r="C38" s="2">
        <v>1233</v>
      </c>
      <c r="D38" s="2">
        <v>0.2449479485609308</v>
      </c>
      <c r="E38" s="2">
        <v>1</v>
      </c>
      <c r="F38" s="2">
        <v>5.9374684735098627E-99</v>
      </c>
      <c r="G38" s="2">
        <v>1.187493694701973E-98</v>
      </c>
      <c r="H38" s="2">
        <v>1</v>
      </c>
      <c r="I38" s="2">
        <v>1.03812380431755E-94</v>
      </c>
      <c r="J38" s="2">
        <v>0</v>
      </c>
      <c r="K38" s="2" t="s">
        <v>2</v>
      </c>
    </row>
    <row r="39" spans="1:11" x14ac:dyDescent="0.35">
      <c r="A39" s="2" t="s">
        <v>49</v>
      </c>
      <c r="B39" s="2">
        <v>585</v>
      </c>
      <c r="C39" s="2">
        <v>1048</v>
      </c>
      <c r="D39" s="2">
        <v>0.3582363747703613</v>
      </c>
      <c r="E39" s="2">
        <v>1</v>
      </c>
      <c r="F39" s="2">
        <v>5.8301162638677667E-31</v>
      </c>
      <c r="G39" s="2">
        <v>1.166023252773553E-30</v>
      </c>
      <c r="H39" s="2">
        <v>1</v>
      </c>
      <c r="I39" s="2">
        <v>1.0788956387877641E-30</v>
      </c>
      <c r="J39" s="2">
        <v>0</v>
      </c>
      <c r="K39" s="2" t="s">
        <v>2</v>
      </c>
    </row>
    <row r="40" spans="1:11" x14ac:dyDescent="0.35">
      <c r="A40" s="2" t="s">
        <v>50</v>
      </c>
      <c r="B40" s="2">
        <v>495</v>
      </c>
      <c r="C40" s="2">
        <v>1138</v>
      </c>
      <c r="D40" s="2">
        <v>0.30312308634415192</v>
      </c>
      <c r="E40" s="2">
        <v>1</v>
      </c>
      <c r="F40" s="2">
        <v>1.212936265157326E-58</v>
      </c>
      <c r="G40" s="2">
        <v>2.425872530314652E-58</v>
      </c>
      <c r="H40" s="2">
        <v>1</v>
      </c>
      <c r="I40" s="2">
        <v>2.6263293028866382E-57</v>
      </c>
      <c r="J40" s="2">
        <v>0</v>
      </c>
      <c r="K40" s="2" t="s">
        <v>2</v>
      </c>
    </row>
    <row r="41" spans="1:11" x14ac:dyDescent="0.35">
      <c r="A41" s="2" t="s">
        <v>51</v>
      </c>
      <c r="B41" s="2">
        <v>363</v>
      </c>
      <c r="C41" s="2">
        <v>1270</v>
      </c>
      <c r="D41" s="2">
        <v>0.2222902633190447</v>
      </c>
      <c r="E41" s="2">
        <v>1</v>
      </c>
      <c r="F41" s="2">
        <v>4.6653417237740486E-118</v>
      </c>
      <c r="G41" s="2">
        <v>9.330683447548099E-118</v>
      </c>
      <c r="H41" s="2">
        <v>1</v>
      </c>
      <c r="I41" s="2">
        <v>7.2053947340652078E-112</v>
      </c>
      <c r="J41" s="2">
        <v>0</v>
      </c>
      <c r="K41" s="2" t="s">
        <v>2</v>
      </c>
    </row>
    <row r="42" spans="1:11" x14ac:dyDescent="0.35">
      <c r="A42" s="2" t="s">
        <v>52</v>
      </c>
      <c r="B42" s="2">
        <v>252</v>
      </c>
      <c r="C42" s="2">
        <v>1381</v>
      </c>
      <c r="D42" s="2">
        <v>0.15431720759338641</v>
      </c>
      <c r="E42" s="2">
        <v>1</v>
      </c>
      <c r="F42" s="2">
        <v>9.7238306562092447E-189</v>
      </c>
      <c r="G42" s="2">
        <v>1.9447661312418489E-188</v>
      </c>
      <c r="H42" s="2">
        <v>1</v>
      </c>
      <c r="I42" s="2">
        <v>4.5655877157574139E-172</v>
      </c>
      <c r="J42" s="2">
        <v>0</v>
      </c>
      <c r="K42" s="2" t="s">
        <v>2</v>
      </c>
    </row>
    <row r="43" spans="1:11" x14ac:dyDescent="0.35">
      <c r="A43" s="2" t="s">
        <v>53</v>
      </c>
      <c r="B43" s="2">
        <v>688</v>
      </c>
      <c r="C43" s="2">
        <v>945</v>
      </c>
      <c r="D43" s="2">
        <v>0.421310471524801</v>
      </c>
      <c r="E43" s="2">
        <v>0.99999999992106481</v>
      </c>
      <c r="F43" s="2">
        <v>1.0923062958144E-10</v>
      </c>
      <c r="G43" s="2">
        <v>2.1846125916288E-10</v>
      </c>
      <c r="H43" s="2">
        <v>0.99999999989895871</v>
      </c>
      <c r="I43" s="2">
        <v>1.01041314807201E-10</v>
      </c>
      <c r="J43" s="2">
        <v>2.0208257289766609E-10</v>
      </c>
      <c r="K43" s="2" t="s">
        <v>2</v>
      </c>
    </row>
    <row r="44" spans="1:11" x14ac:dyDescent="0.35">
      <c r="A44" s="2" t="s">
        <v>54</v>
      </c>
      <c r="B44" s="2">
        <v>679</v>
      </c>
      <c r="C44" s="2">
        <v>954</v>
      </c>
      <c r="D44" s="2">
        <v>0.41579914268217999</v>
      </c>
      <c r="E44" s="2">
        <v>0.99999999999620293</v>
      </c>
      <c r="F44" s="2">
        <v>5.372390887680575E-12</v>
      </c>
      <c r="G44" s="2">
        <v>1.074478177536115E-11</v>
      </c>
      <c r="H44" s="2">
        <v>0.99999999999495381</v>
      </c>
      <c r="I44" s="2">
        <v>5.046157054578966E-12</v>
      </c>
      <c r="J44" s="2">
        <v>1.009237138305252E-11</v>
      </c>
      <c r="K44" s="2" t="s">
        <v>2</v>
      </c>
    </row>
    <row r="45" spans="1:11" x14ac:dyDescent="0.35">
      <c r="A45" s="2" t="s">
        <v>55</v>
      </c>
      <c r="B45" s="2">
        <v>521</v>
      </c>
      <c r="C45" s="2">
        <v>1112</v>
      </c>
      <c r="D45" s="2">
        <v>0.31904470300061238</v>
      </c>
      <c r="E45" s="2">
        <v>1</v>
      </c>
      <c r="F45" s="2">
        <v>1.2093976646164061E-49</v>
      </c>
      <c r="G45" s="2">
        <v>2.4187953292328129E-49</v>
      </c>
      <c r="H45" s="2">
        <v>1</v>
      </c>
      <c r="I45" s="2">
        <v>9.7357008958109309E-49</v>
      </c>
      <c r="J45" s="2">
        <v>0</v>
      </c>
      <c r="K45" s="2" t="s">
        <v>2</v>
      </c>
    </row>
    <row r="46" spans="1:11" x14ac:dyDescent="0.35">
      <c r="A46" s="2" t="s">
        <v>56</v>
      </c>
      <c r="B46" s="2">
        <v>1003</v>
      </c>
      <c r="C46" s="2">
        <v>630</v>
      </c>
      <c r="D46" s="2">
        <v>0.61420698101653404</v>
      </c>
      <c r="E46" s="2">
        <v>1.169119997634099E-20</v>
      </c>
      <c r="F46" s="2">
        <v>1</v>
      </c>
      <c r="G46" s="2">
        <v>2.3382399952681989E-20</v>
      </c>
      <c r="H46" s="2">
        <v>0</v>
      </c>
      <c r="I46" s="2">
        <v>1</v>
      </c>
      <c r="J46" s="2">
        <v>0</v>
      </c>
      <c r="K46" s="2" t="s">
        <v>1</v>
      </c>
    </row>
    <row r="47" spans="1:11" x14ac:dyDescent="0.35">
      <c r="A47" s="2" t="s">
        <v>57</v>
      </c>
      <c r="B47" s="2">
        <v>1428</v>
      </c>
      <c r="C47" s="2">
        <v>205</v>
      </c>
      <c r="D47" s="2">
        <v>0.87446417636252294</v>
      </c>
      <c r="E47" s="2">
        <v>8.020482411746195E-226</v>
      </c>
      <c r="F47" s="2">
        <v>1</v>
      </c>
      <c r="G47" s="2">
        <v>1.604096482349239E-225</v>
      </c>
      <c r="H47" s="2">
        <v>0</v>
      </c>
      <c r="I47" s="2">
        <v>1</v>
      </c>
      <c r="J47" s="2">
        <v>0</v>
      </c>
      <c r="K47" s="2" t="s">
        <v>1</v>
      </c>
    </row>
    <row r="48" spans="1:11" x14ac:dyDescent="0.35">
      <c r="A48" s="2" t="s">
        <v>58</v>
      </c>
      <c r="B48" s="2">
        <v>1602</v>
      </c>
      <c r="C48" s="2">
        <v>31</v>
      </c>
      <c r="D48" s="2">
        <v>0.98101653398652788</v>
      </c>
      <c r="E48" s="2">
        <v>0</v>
      </c>
      <c r="F48" s="2">
        <v>1</v>
      </c>
      <c r="G48" s="2">
        <v>0</v>
      </c>
      <c r="H48" s="2">
        <v>0</v>
      </c>
      <c r="I48" s="2">
        <v>1</v>
      </c>
      <c r="J48" s="2">
        <v>0</v>
      </c>
      <c r="K48" s="2" t="s">
        <v>1</v>
      </c>
    </row>
    <row r="49" spans="1:11" x14ac:dyDescent="0.35">
      <c r="A49" s="2" t="s">
        <v>59</v>
      </c>
      <c r="B49" s="2">
        <v>1059</v>
      </c>
      <c r="C49" s="2">
        <v>574</v>
      </c>
      <c r="D49" s="2">
        <v>0.64849969381506434</v>
      </c>
      <c r="E49" s="2">
        <v>7.8832504818009139E-34</v>
      </c>
      <c r="F49" s="2">
        <v>1</v>
      </c>
      <c r="G49" s="2">
        <v>1.5766500963601831E-33</v>
      </c>
      <c r="H49" s="2">
        <v>0</v>
      </c>
      <c r="I49" s="2">
        <v>1</v>
      </c>
      <c r="J49" s="2">
        <v>0</v>
      </c>
      <c r="K49" s="2" t="s">
        <v>1</v>
      </c>
    </row>
    <row r="50" spans="1:11" x14ac:dyDescent="0.35">
      <c r="A50" s="2" t="s">
        <v>60</v>
      </c>
      <c r="B50" s="2">
        <v>751</v>
      </c>
      <c r="C50" s="2">
        <v>882</v>
      </c>
      <c r="D50" s="2">
        <v>0.45988977342314757</v>
      </c>
      <c r="E50" s="2">
        <v>0.99945864322578803</v>
      </c>
      <c r="F50" s="2">
        <v>6.4424218952854613E-4</v>
      </c>
      <c r="G50" s="2">
        <v>1.288484379057092E-3</v>
      </c>
      <c r="H50" s="2">
        <v>0.99940598859328844</v>
      </c>
      <c r="I50" s="2">
        <v>5.940114067115894E-4</v>
      </c>
      <c r="J50" s="2">
        <v>1.188022813423117E-3</v>
      </c>
      <c r="K50" s="2" t="s">
        <v>2</v>
      </c>
    </row>
    <row r="51" spans="1:11" x14ac:dyDescent="0.35">
      <c r="A51" s="2" t="s">
        <v>61</v>
      </c>
      <c r="B51" s="2">
        <v>477</v>
      </c>
      <c r="C51" s="2">
        <v>1156</v>
      </c>
      <c r="D51" s="2">
        <v>0.29210042865891001</v>
      </c>
      <c r="E51" s="2">
        <v>1</v>
      </c>
      <c r="F51" s="2">
        <v>2.284081870274708E-65</v>
      </c>
      <c r="G51" s="2">
        <v>4.5681637405494159E-65</v>
      </c>
      <c r="H51" s="2">
        <v>1</v>
      </c>
      <c r="I51" s="2">
        <v>1.1677375384758389E-63</v>
      </c>
      <c r="J51" s="2">
        <v>0</v>
      </c>
      <c r="K51" s="2" t="s">
        <v>2</v>
      </c>
    </row>
    <row r="52" spans="1:11" x14ac:dyDescent="0.35">
      <c r="A52" s="2" t="s">
        <v>62</v>
      </c>
      <c r="B52" s="2">
        <v>1593</v>
      </c>
      <c r="C52" s="2">
        <v>40</v>
      </c>
      <c r="D52" s="2">
        <v>0.97550520514390693</v>
      </c>
      <c r="E52" s="2">
        <v>0</v>
      </c>
      <c r="F52" s="2">
        <v>1</v>
      </c>
      <c r="G52" s="2">
        <v>0</v>
      </c>
      <c r="H52" s="2">
        <v>0</v>
      </c>
      <c r="I52" s="2">
        <v>1</v>
      </c>
      <c r="J52" s="2">
        <v>0</v>
      </c>
      <c r="K52" s="2" t="s">
        <v>1</v>
      </c>
    </row>
    <row r="53" spans="1:11" x14ac:dyDescent="0.35">
      <c r="A53" s="2" t="s">
        <v>63</v>
      </c>
      <c r="B53" s="2">
        <v>504</v>
      </c>
      <c r="C53" s="2">
        <v>1129</v>
      </c>
      <c r="D53" s="2">
        <v>0.30863441518677281</v>
      </c>
      <c r="E53" s="2">
        <v>1</v>
      </c>
      <c r="F53" s="2">
        <v>1.9654896879821679E-55</v>
      </c>
      <c r="G53" s="2">
        <v>3.9309793759643351E-55</v>
      </c>
      <c r="H53" s="2">
        <v>1</v>
      </c>
      <c r="I53" s="2">
        <v>2.928129176771024E-54</v>
      </c>
      <c r="J53" s="2">
        <v>0</v>
      </c>
      <c r="K53" s="2" t="s">
        <v>2</v>
      </c>
    </row>
    <row r="54" spans="1:11" x14ac:dyDescent="0.35">
      <c r="A54" s="2" t="s">
        <v>64</v>
      </c>
      <c r="B54" s="2">
        <v>741</v>
      </c>
      <c r="C54" s="2">
        <v>892</v>
      </c>
      <c r="D54" s="2">
        <v>0.45376607470912428</v>
      </c>
      <c r="E54" s="2">
        <v>0.99991637152609636</v>
      </c>
      <c r="F54" s="2">
        <v>1.018657055634177E-4</v>
      </c>
      <c r="G54" s="2">
        <v>2.0373141112683531E-4</v>
      </c>
      <c r="H54" s="2">
        <v>0.9999067604642492</v>
      </c>
      <c r="I54" s="2">
        <v>9.323953575075903E-5</v>
      </c>
      <c r="J54" s="2">
        <v>1.8647907150159959E-4</v>
      </c>
      <c r="K54" s="2" t="s">
        <v>2</v>
      </c>
    </row>
    <row r="55" spans="1:11" x14ac:dyDescent="0.35">
      <c r="A55" s="2" t="s">
        <v>65</v>
      </c>
      <c r="B55" s="2">
        <v>1633</v>
      </c>
      <c r="C55" s="2">
        <v>0</v>
      </c>
      <c r="D55" s="2">
        <v>1</v>
      </c>
      <c r="E55" s="2">
        <v>0</v>
      </c>
      <c r="F55" s="2">
        <v>1</v>
      </c>
      <c r="G55" s="2">
        <v>0</v>
      </c>
      <c r="H55" s="2">
        <v>0</v>
      </c>
      <c r="I55" s="2">
        <v>1</v>
      </c>
      <c r="J55" s="2">
        <v>0</v>
      </c>
      <c r="K55" s="2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rnet50_Class_0_all</vt:lpstr>
      <vt:lpstr>rnet50_Class_1_all</vt:lpstr>
      <vt:lpstr>rnet50_Class_2_all</vt:lpstr>
      <vt:lpstr>Summary</vt:lpstr>
      <vt:lpstr>PValue</vt:lpstr>
      <vt:lpstr>rnet50_Class_0_bg</vt:lpstr>
      <vt:lpstr>rnet50_Class_1_bg</vt:lpstr>
      <vt:lpstr>rnet50_Class_2_bg</vt:lpstr>
      <vt:lpstr>rnet50_Class_0_coat</vt:lpstr>
      <vt:lpstr>rnet50_Class_1_coat</vt:lpstr>
      <vt:lpstr>rnet50_Class_2_coat</vt:lpstr>
      <vt:lpstr>rnet50_Class_0_face</vt:lpstr>
      <vt:lpstr>rnet50_Class_1_face</vt:lpstr>
      <vt:lpstr>rnet50_Class_2_face</vt:lpstr>
      <vt:lpstr>rnet50_Class_0_legs</vt:lpstr>
      <vt:lpstr>rnet50_Class_1_legs</vt:lpstr>
      <vt:lpstr>rnet50_Class_2_legs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Srinivasan, Srikanth Kaniyanoor</cp:lastModifiedBy>
  <dcterms:created xsi:type="dcterms:W3CDTF">2026-02-01T13:51:11Z</dcterms:created>
  <dcterms:modified xsi:type="dcterms:W3CDTF">2026-02-21T18:37:19Z</dcterms:modified>
</cp:coreProperties>
</file>