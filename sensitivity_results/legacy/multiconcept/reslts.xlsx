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nt1\Downloads\"/>
    </mc:Choice>
  </mc:AlternateContent>
  <xr:revisionPtr revIDLastSave="0" documentId="8_{4825699D-4BF2-417F-82AE-F0B942A70A23}" xr6:coauthVersionLast="47" xr6:coauthVersionMax="47" xr10:uidLastSave="{00000000-0000-0000-0000-000000000000}"/>
  <bookViews>
    <workbookView xWindow="28680" yWindow="-120" windowWidth="29040" windowHeight="15720" xr2:uid="{7DA69D50-EDF2-4E80-AF74-D73652559D93}"/>
  </bookViews>
  <sheets>
    <sheet name="CSI _CP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7" i="1" l="1"/>
  <c r="AC97" i="1"/>
  <c r="X97" i="1"/>
  <c r="R97" i="1"/>
  <c r="Q97" i="1"/>
  <c r="L97" i="1"/>
  <c r="K97" i="1"/>
  <c r="F97" i="1"/>
  <c r="E97" i="1"/>
  <c r="AD96" i="1"/>
  <c r="AC96" i="1"/>
  <c r="X96" i="1"/>
  <c r="R96" i="1"/>
  <c r="Q96" i="1"/>
  <c r="L96" i="1"/>
  <c r="K96" i="1"/>
  <c r="F96" i="1"/>
  <c r="E96" i="1"/>
  <c r="AD95" i="1"/>
  <c r="AC95" i="1"/>
  <c r="X95" i="1"/>
  <c r="R95" i="1"/>
  <c r="Q95" i="1"/>
  <c r="L95" i="1"/>
  <c r="K95" i="1"/>
  <c r="F95" i="1"/>
  <c r="E95" i="1"/>
  <c r="AD94" i="1"/>
  <c r="AC94" i="1"/>
  <c r="X94" i="1"/>
  <c r="R94" i="1"/>
  <c r="Q94" i="1"/>
  <c r="L94" i="1"/>
  <c r="K94" i="1"/>
  <c r="F94" i="1"/>
  <c r="E94" i="1"/>
  <c r="AD93" i="1"/>
  <c r="AC93" i="1"/>
  <c r="X93" i="1"/>
  <c r="R93" i="1"/>
  <c r="Q93" i="1"/>
  <c r="L93" i="1"/>
  <c r="K93" i="1"/>
  <c r="F93" i="1"/>
  <c r="E93" i="1"/>
  <c r="AD92" i="1"/>
  <c r="AC92" i="1"/>
  <c r="X92" i="1"/>
  <c r="R92" i="1"/>
  <c r="Q92" i="1"/>
  <c r="L92" i="1"/>
  <c r="K92" i="1"/>
  <c r="F92" i="1"/>
  <c r="E92" i="1"/>
  <c r="AD91" i="1"/>
  <c r="AC91" i="1"/>
  <c r="X91" i="1"/>
  <c r="R91" i="1"/>
  <c r="Q91" i="1"/>
  <c r="L91" i="1"/>
  <c r="K91" i="1"/>
  <c r="F91" i="1"/>
  <c r="E91" i="1"/>
  <c r="AD90" i="1"/>
  <c r="AC90" i="1"/>
  <c r="X90" i="1"/>
  <c r="U90" i="1"/>
  <c r="W97" i="1" s="1"/>
  <c r="R90" i="1"/>
  <c r="Q90" i="1"/>
  <c r="L90" i="1"/>
  <c r="K90" i="1"/>
  <c r="F90" i="1"/>
  <c r="E90" i="1"/>
  <c r="AD89" i="1"/>
  <c r="AC89" i="1"/>
  <c r="X89" i="1"/>
  <c r="U89" i="1"/>
  <c r="W96" i="1" s="1"/>
  <c r="R89" i="1"/>
  <c r="Q89" i="1"/>
  <c r="L89" i="1"/>
  <c r="K89" i="1"/>
  <c r="F89" i="1"/>
  <c r="E89" i="1"/>
  <c r="AD88" i="1"/>
  <c r="AC88" i="1"/>
  <c r="X88" i="1"/>
  <c r="U88" i="1"/>
  <c r="W92" i="1" s="1"/>
  <c r="R88" i="1"/>
  <c r="Q88" i="1"/>
  <c r="L88" i="1"/>
  <c r="K88" i="1"/>
  <c r="F88" i="1"/>
  <c r="E88" i="1"/>
  <c r="AD87" i="1"/>
  <c r="AC87" i="1"/>
  <c r="X87" i="1"/>
  <c r="U87" i="1"/>
  <c r="W91" i="1" s="1"/>
  <c r="R87" i="1"/>
  <c r="Q87" i="1"/>
  <c r="L87" i="1"/>
  <c r="K87" i="1"/>
  <c r="F87" i="1"/>
  <c r="E87" i="1"/>
  <c r="AD86" i="1"/>
  <c r="AC86" i="1"/>
  <c r="X86" i="1"/>
  <c r="U86" i="1"/>
  <c r="W94" i="1" s="1"/>
  <c r="R86" i="1"/>
  <c r="Q86" i="1"/>
  <c r="L86" i="1"/>
  <c r="K86" i="1"/>
  <c r="F86" i="1"/>
  <c r="E86" i="1"/>
  <c r="Q52" i="1"/>
  <c r="O52" i="1"/>
  <c r="Q51" i="1"/>
  <c r="O51" i="1"/>
  <c r="Q50" i="1"/>
  <c r="O50" i="1"/>
  <c r="N50" i="1"/>
  <c r="W90" i="1" l="1"/>
  <c r="W93" i="1"/>
  <c r="W89" i="1"/>
  <c r="W88" i="1"/>
  <c r="W95" i="1"/>
  <c r="W87" i="1"/>
  <c r="W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tc={ED7B4587-6858-404C-95FD-EA07DD99C9F1}</author>
    <author>tc={E0579B8A-F64B-46EF-BC8D-4AC63DC4C8CB}</author>
    <author>tc={54B80457-0C5F-4ACC-BECE-C9B73D557AE6}</author>
    <author>tc={2FB1D977-B51E-40DA-9D92-2608968A777F}</author>
    <author>tc={80AF4B46-FE0A-41C2-8832-62443AE3964C}</author>
  </authors>
  <commentList>
    <comment ref="F85" authorId="0" shapeId="0" xr:uid="{ED7B4587-6858-404C-95FD-EA07DD99C9F1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L85" authorId="1" shapeId="0" xr:uid="{E0579B8A-F64B-46EF-BC8D-4AC63DC4C8C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R85" authorId="2" shapeId="0" xr:uid="{54B80457-0C5F-4ACC-BECE-C9B73D557AE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X85" authorId="3" shapeId="0" xr:uid="{2FB1D977-B51E-40DA-9D92-2608968A777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AD85" authorId="4" shapeId="0" xr:uid="{80AF4B46-FE0A-41C2-8832-62443AE3964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</commentList>
</comments>
</file>

<file path=xl/sharedStrings.xml><?xml version="1.0" encoding="utf-8"?>
<sst xmlns="http://schemas.openxmlformats.org/spreadsheetml/2006/main" count="352" uniqueCount="53">
  <si>
    <t>RESNET50</t>
  </si>
  <si>
    <t>Positive Sensitivity</t>
  </si>
  <si>
    <t>Negative Sensitivity</t>
  </si>
  <si>
    <t>Approximation sensitive</t>
  </si>
  <si>
    <t>Sum</t>
  </si>
  <si>
    <t>Rows</t>
  </si>
  <si>
    <t>Purity Index</t>
  </si>
  <si>
    <t>CSI</t>
  </si>
  <si>
    <t>Class 0 BG</t>
  </si>
  <si>
    <t>Class 1 BG</t>
  </si>
  <si>
    <t>Class 2 BG</t>
  </si>
  <si>
    <t>Class 0 Coat</t>
  </si>
  <si>
    <t>Class 1 Coat</t>
  </si>
  <si>
    <t>Class 2 Coat</t>
  </si>
  <si>
    <t>Class 0 Face</t>
  </si>
  <si>
    <t>Class 1 Face</t>
  </si>
  <si>
    <t>Class 2 Face</t>
  </si>
  <si>
    <t>Class 0 Legs</t>
  </si>
  <si>
    <t>Class 1 Legs</t>
  </si>
  <si>
    <t>Class 2 Legs</t>
  </si>
  <si>
    <t>IV3</t>
  </si>
  <si>
    <t>Mnet_Large</t>
  </si>
  <si>
    <t>Mnet_Small</t>
  </si>
  <si>
    <t>P</t>
  </si>
  <si>
    <t>N</t>
  </si>
  <si>
    <t>count of P</t>
  </si>
  <si>
    <t>CP</t>
  </si>
  <si>
    <t>VGG</t>
  </si>
  <si>
    <t>VGG16</t>
  </si>
  <si>
    <t>RNet50</t>
  </si>
  <si>
    <t>MNetSmall</t>
  </si>
  <si>
    <t>MNetLarge</t>
  </si>
  <si>
    <t>Rank  CP</t>
  </si>
  <si>
    <t>CSI Rank (Low rank = poor CSI)</t>
  </si>
  <si>
    <t>Marked X is CP &gt; 50%</t>
  </si>
  <si>
    <t>Marked X is CSI &gt; 0</t>
  </si>
  <si>
    <t>X</t>
  </si>
  <si>
    <t>-</t>
  </si>
  <si>
    <t>x</t>
  </si>
  <si>
    <t>BG</t>
  </si>
  <si>
    <t>C</t>
  </si>
  <si>
    <t>F</t>
  </si>
  <si>
    <t>L</t>
  </si>
  <si>
    <t>+ve CSI : I Use this</t>
  </si>
  <si>
    <t>C0</t>
  </si>
  <si>
    <t>xx</t>
  </si>
  <si>
    <t>++</t>
  </si>
  <si>
    <t>+</t>
  </si>
  <si>
    <t/>
  </si>
  <si>
    <t>-ve CSI I reject it</t>
  </si>
  <si>
    <t>C1</t>
  </si>
  <si>
    <t>--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</si>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</sst>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2" fontId="3" fillId="8" borderId="1" xfId="0" applyNumberFormat="1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" xfId="0" quotePrefix="1" applyNumberFormat="1" applyFont="1" applyFill="1" applyBorder="1" applyAlignment="1">
      <alignment horizontal="center"/>
    </xf>
    <xf numFmtId="2" fontId="3" fillId="3" borderId="1" xfId="0" quotePrefix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2" fillId="8" borderId="1" xfId="0" quotePrefix="1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quotePrefix="1"/>
    <xf numFmtId="0" fontId="0" fillId="8" borderId="1" xfId="0" applyFill="1" applyBorder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nivasan, Srikanth Kaniyanoor" id="{6ABBA2B7-2D77-46B0-9BDE-73DF0824ACF3}" userId="S::srikanth.kaniyanoor.srinivasan@intel.com::3b0d95b1-25cb-484e-856d-cdc973a23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5" dT="2026-02-20T08:44:28.48" personId="{6ABBA2B7-2D77-46B0-9BDE-73DF0824ACF3}" id="{ED7B4587-6858-404C-95FD-EA07DD99C9F1}">
    <text>Descending CSI
Low rank means poor CSI</text>
  </threadedComment>
  <threadedComment ref="L85" dT="2026-02-20T08:44:28.48" personId="{6ABBA2B7-2D77-46B0-9BDE-73DF0824ACF3}" id="{E0579B8A-F64B-46EF-BC8D-4AC63DC4C8CB}">
    <text>Descending CSI
Low rank means poor CSI</text>
  </threadedComment>
  <threadedComment ref="R85" dT="2026-02-20T08:44:28.48" personId="{6ABBA2B7-2D77-46B0-9BDE-73DF0824ACF3}" id="{54B80457-0C5F-4ACC-BECE-C9B73D557AE6}">
    <text>Descending CSI
Low rank means poor CSI</text>
  </threadedComment>
  <threadedComment ref="X85" dT="2026-02-20T08:44:28.48" personId="{6ABBA2B7-2D77-46B0-9BDE-73DF0824ACF3}" id="{2FB1D977-B51E-40DA-9D92-2608968A777F}">
    <text>Descending CSI
Low rank means poor CSI</text>
  </threadedComment>
  <threadedComment ref="AD85" dT="2026-02-20T08:44:28.48" personId="{6ABBA2B7-2D77-46B0-9BDE-73DF0824ACF3}" id="{80AF4B46-FE0A-41C2-8832-62443AE3964C}">
    <text>Descending CSI
Low rank means poor CSI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077A-A561-4264-9D9C-4D05344BF3F3}">
  <dimension ref="B1:AK113"/>
  <sheetViews>
    <sheetView tabSelected="1" zoomScale="130" zoomScaleNormal="130" workbookViewId="0">
      <selection activeCell="A98" sqref="A98"/>
    </sheetView>
  </sheetViews>
  <sheetFormatPr defaultRowHeight="14.5" x14ac:dyDescent="0.35"/>
  <cols>
    <col min="2" max="2" width="11.6328125" bestFit="1" customWidth="1"/>
    <col min="3" max="3" width="15.81640625" bestFit="1" customWidth="1"/>
    <col min="4" max="4" width="16.54296875" bestFit="1" customWidth="1"/>
    <col min="5" max="5" width="10" customWidth="1"/>
    <col min="6" max="6" width="10.26953125" style="8" bestFit="1" customWidth="1"/>
    <col min="7" max="7" width="9.7265625" customWidth="1"/>
    <col min="8" max="8" width="11.81640625" bestFit="1" customWidth="1"/>
    <col min="9" max="9" width="12.453125" bestFit="1" customWidth="1"/>
    <col min="10" max="10" width="5" bestFit="1" customWidth="1"/>
    <col min="11" max="11" width="7.90625" bestFit="1" customWidth="1"/>
    <col min="12" max="12" width="8.26953125" bestFit="1" customWidth="1"/>
    <col min="13" max="13" width="10.36328125" customWidth="1"/>
    <col min="14" max="14" width="8.81640625" bestFit="1" customWidth="1"/>
    <col min="15" max="15" width="11.81640625" bestFit="1" customWidth="1"/>
    <col min="16" max="16" width="5" bestFit="1" customWidth="1"/>
    <col min="17" max="17" width="12.453125" bestFit="1" customWidth="1"/>
    <col min="18" max="18" width="8.26953125" bestFit="1" customWidth="1"/>
    <col min="21" max="21" width="5.7265625" bestFit="1" customWidth="1"/>
    <col min="22" max="22" width="5" bestFit="1" customWidth="1"/>
    <col min="23" max="23" width="7.90625" bestFit="1" customWidth="1"/>
    <col min="24" max="24" width="8.26953125" bestFit="1" customWidth="1"/>
    <col min="27" max="27" width="5.7265625" bestFit="1" customWidth="1"/>
    <col min="28" max="28" width="5" bestFit="1" customWidth="1"/>
    <col min="29" max="29" width="7.90625" bestFit="1" customWidth="1"/>
    <col min="30" max="30" width="8.26953125" bestFit="1" customWidth="1"/>
    <col min="33" max="33" width="10.81640625" bestFit="1" customWidth="1"/>
  </cols>
  <sheetData>
    <row r="1" spans="2:9" x14ac:dyDescent="0.35">
      <c r="B1" s="1" t="s">
        <v>0</v>
      </c>
      <c r="C1" s="1"/>
      <c r="D1" s="1"/>
      <c r="E1" s="1"/>
      <c r="F1" s="1"/>
      <c r="G1" s="1"/>
      <c r="H1" s="1"/>
      <c r="I1" s="1"/>
    </row>
    <row r="3" spans="2:9" x14ac:dyDescent="0.35"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2:9" x14ac:dyDescent="0.35">
      <c r="B4" s="4" t="s">
        <v>8</v>
      </c>
      <c r="C4" s="3">
        <v>23</v>
      </c>
      <c r="D4" s="3">
        <v>23</v>
      </c>
      <c r="E4" s="3">
        <v>8</v>
      </c>
      <c r="F4" s="3">
        <v>54</v>
      </c>
      <c r="G4" s="3">
        <v>54</v>
      </c>
      <c r="H4" s="3">
        <v>50</v>
      </c>
      <c r="I4" s="3">
        <v>0</v>
      </c>
    </row>
    <row r="5" spans="2:9" x14ac:dyDescent="0.35">
      <c r="B5" s="5" t="s">
        <v>9</v>
      </c>
      <c r="C5" s="3">
        <v>33</v>
      </c>
      <c r="D5" s="3">
        <v>13</v>
      </c>
      <c r="E5" s="3">
        <v>8</v>
      </c>
      <c r="F5" s="3">
        <v>54</v>
      </c>
      <c r="G5" s="3">
        <v>54</v>
      </c>
      <c r="H5" s="3">
        <v>71.739130434782609</v>
      </c>
      <c r="I5" s="3">
        <v>0.37037037037037035</v>
      </c>
    </row>
    <row r="6" spans="2:9" x14ac:dyDescent="0.35">
      <c r="B6" s="4" t="s">
        <v>10</v>
      </c>
      <c r="C6" s="3">
        <v>12</v>
      </c>
      <c r="D6" s="3">
        <v>39</v>
      </c>
      <c r="E6" s="3">
        <v>3</v>
      </c>
      <c r="F6" s="3">
        <v>54</v>
      </c>
      <c r="G6" s="3">
        <v>54</v>
      </c>
      <c r="H6" s="3">
        <v>23.52941176470588</v>
      </c>
      <c r="I6" s="3">
        <v>-0.5</v>
      </c>
    </row>
    <row r="7" spans="2:9" x14ac:dyDescent="0.35">
      <c r="B7" s="4" t="s">
        <v>11</v>
      </c>
      <c r="C7" s="3">
        <v>17</v>
      </c>
      <c r="D7" s="3">
        <v>27</v>
      </c>
      <c r="E7" s="3">
        <v>10</v>
      </c>
      <c r="F7" s="3">
        <v>54</v>
      </c>
      <c r="G7" s="3">
        <v>54</v>
      </c>
      <c r="H7" s="3">
        <v>38.636363636363633</v>
      </c>
      <c r="I7" s="3">
        <v>-0.18518518518518517</v>
      </c>
    </row>
    <row r="8" spans="2:9" x14ac:dyDescent="0.35">
      <c r="B8" s="5" t="s">
        <v>12</v>
      </c>
      <c r="C8" s="3">
        <v>32</v>
      </c>
      <c r="D8" s="3">
        <v>13</v>
      </c>
      <c r="E8" s="3">
        <v>9</v>
      </c>
      <c r="F8" s="3">
        <v>54</v>
      </c>
      <c r="G8" s="3">
        <v>54</v>
      </c>
      <c r="H8" s="3">
        <v>71.111111111111114</v>
      </c>
      <c r="I8" s="3">
        <v>0.35185185185185186</v>
      </c>
    </row>
    <row r="9" spans="2:9" x14ac:dyDescent="0.35">
      <c r="B9" s="4" t="s">
        <v>13</v>
      </c>
      <c r="C9" s="3">
        <v>19</v>
      </c>
      <c r="D9" s="3">
        <v>25</v>
      </c>
      <c r="E9" s="3">
        <v>10</v>
      </c>
      <c r="F9" s="3">
        <v>54</v>
      </c>
      <c r="G9" s="3">
        <v>54</v>
      </c>
      <c r="H9" s="3">
        <v>43.18181818181818</v>
      </c>
      <c r="I9" s="3">
        <v>-0.1111111111111111</v>
      </c>
    </row>
    <row r="10" spans="2:9" x14ac:dyDescent="0.35">
      <c r="B10" s="6" t="s">
        <v>14</v>
      </c>
      <c r="C10" s="3">
        <v>29</v>
      </c>
      <c r="D10" s="3">
        <v>18</v>
      </c>
      <c r="E10" s="3">
        <v>7</v>
      </c>
      <c r="F10" s="3">
        <v>54</v>
      </c>
      <c r="G10" s="3">
        <v>54</v>
      </c>
      <c r="H10" s="3">
        <v>61.702127659574465</v>
      </c>
      <c r="I10" s="3">
        <v>0.20370370370370369</v>
      </c>
    </row>
    <row r="11" spans="2:9" x14ac:dyDescent="0.35">
      <c r="B11" s="5" t="s">
        <v>15</v>
      </c>
      <c r="C11" s="3">
        <v>43</v>
      </c>
      <c r="D11" s="3">
        <v>5</v>
      </c>
      <c r="E11" s="3">
        <v>6</v>
      </c>
      <c r="F11" s="3">
        <v>54</v>
      </c>
      <c r="G11" s="3">
        <v>54</v>
      </c>
      <c r="H11" s="3">
        <v>89.583333333333343</v>
      </c>
      <c r="I11" s="3">
        <v>0.70370370370370372</v>
      </c>
    </row>
    <row r="12" spans="2:9" x14ac:dyDescent="0.35">
      <c r="B12" s="4" t="s">
        <v>16</v>
      </c>
      <c r="C12" s="3">
        <v>11</v>
      </c>
      <c r="D12" s="3">
        <v>40</v>
      </c>
      <c r="E12" s="3">
        <v>3</v>
      </c>
      <c r="F12" s="3">
        <v>54</v>
      </c>
      <c r="G12" s="3">
        <v>54</v>
      </c>
      <c r="H12" s="3">
        <v>21.568627450980394</v>
      </c>
      <c r="I12" s="3">
        <v>-0.53703703703703709</v>
      </c>
    </row>
    <row r="13" spans="2:9" x14ac:dyDescent="0.35">
      <c r="B13" s="4" t="s">
        <v>17</v>
      </c>
      <c r="C13" s="3">
        <v>15</v>
      </c>
      <c r="D13" s="3">
        <v>28</v>
      </c>
      <c r="E13" s="3">
        <v>11</v>
      </c>
      <c r="F13" s="3">
        <v>54</v>
      </c>
      <c r="G13" s="3">
        <v>54</v>
      </c>
      <c r="H13" s="3">
        <v>34.883720930232556</v>
      </c>
      <c r="I13" s="3">
        <v>-0.24074074074074073</v>
      </c>
    </row>
    <row r="14" spans="2:9" x14ac:dyDescent="0.35">
      <c r="B14" s="5" t="s">
        <v>18</v>
      </c>
      <c r="C14" s="3">
        <v>42</v>
      </c>
      <c r="D14" s="3">
        <v>8</v>
      </c>
      <c r="E14" s="3">
        <v>4</v>
      </c>
      <c r="F14" s="3">
        <v>54</v>
      </c>
      <c r="G14" s="3">
        <v>54</v>
      </c>
      <c r="H14" s="3">
        <v>84</v>
      </c>
      <c r="I14" s="3">
        <v>0.62962962962962965</v>
      </c>
    </row>
    <row r="15" spans="2:9" x14ac:dyDescent="0.35">
      <c r="B15" s="4" t="s">
        <v>19</v>
      </c>
      <c r="C15" s="3">
        <v>6</v>
      </c>
      <c r="D15" s="3">
        <v>45</v>
      </c>
      <c r="E15" s="3">
        <v>3</v>
      </c>
      <c r="F15" s="3">
        <v>54</v>
      </c>
      <c r="G15" s="3">
        <v>54</v>
      </c>
      <c r="H15" s="3">
        <v>11.76470588235294</v>
      </c>
      <c r="I15" s="3">
        <v>-0.72222222222222221</v>
      </c>
    </row>
    <row r="17" spans="2:9" x14ac:dyDescent="0.35">
      <c r="B17" s="1" t="s">
        <v>20</v>
      </c>
      <c r="C17" s="1"/>
      <c r="D17" s="1"/>
      <c r="E17" s="1"/>
      <c r="F17" s="1"/>
      <c r="G17" s="1"/>
      <c r="H17" s="1"/>
      <c r="I17" s="1"/>
    </row>
    <row r="18" spans="2:9" x14ac:dyDescent="0.35">
      <c r="B18" s="2"/>
      <c r="C18" s="3" t="s">
        <v>1</v>
      </c>
      <c r="D18" s="3" t="s">
        <v>2</v>
      </c>
      <c r="E18" s="3" t="s">
        <v>3</v>
      </c>
      <c r="F18" s="3" t="s">
        <v>4</v>
      </c>
      <c r="G18" s="3" t="s">
        <v>5</v>
      </c>
      <c r="H18" s="3" t="s">
        <v>6</v>
      </c>
      <c r="I18" s="3" t="s">
        <v>7</v>
      </c>
    </row>
    <row r="19" spans="2:9" x14ac:dyDescent="0.35">
      <c r="B19" s="4" t="s">
        <v>8</v>
      </c>
      <c r="C19" s="2">
        <v>28</v>
      </c>
      <c r="D19" s="2">
        <v>41</v>
      </c>
      <c r="E19" s="2">
        <v>27</v>
      </c>
      <c r="F19" s="7">
        <v>96</v>
      </c>
      <c r="G19" s="2">
        <v>96</v>
      </c>
      <c r="H19" s="2">
        <v>40.579710144927539</v>
      </c>
      <c r="I19" s="2">
        <v>-0.13541666666666666</v>
      </c>
    </row>
    <row r="20" spans="2:9" x14ac:dyDescent="0.35">
      <c r="B20" s="5" t="s">
        <v>9</v>
      </c>
      <c r="C20" s="2">
        <v>24</v>
      </c>
      <c r="D20" s="2">
        <v>56</v>
      </c>
      <c r="E20" s="2">
        <v>16</v>
      </c>
      <c r="F20" s="7">
        <v>96</v>
      </c>
      <c r="G20" s="2">
        <v>96</v>
      </c>
      <c r="H20" s="2">
        <v>30</v>
      </c>
      <c r="I20" s="2">
        <v>-0.33333333333333331</v>
      </c>
    </row>
    <row r="21" spans="2:9" x14ac:dyDescent="0.35">
      <c r="B21" s="4" t="s">
        <v>10</v>
      </c>
      <c r="C21" s="2">
        <v>39</v>
      </c>
      <c r="D21" s="2">
        <v>38</v>
      </c>
      <c r="E21" s="2">
        <v>19</v>
      </c>
      <c r="F21" s="7">
        <v>96</v>
      </c>
      <c r="G21" s="2">
        <v>96</v>
      </c>
      <c r="H21" s="2">
        <v>50.649350649350644</v>
      </c>
      <c r="I21" s="2">
        <v>1.0416666666666666E-2</v>
      </c>
    </row>
    <row r="22" spans="2:9" x14ac:dyDescent="0.35">
      <c r="B22" s="4" t="s">
        <v>11</v>
      </c>
      <c r="C22" s="2">
        <v>48</v>
      </c>
      <c r="D22" s="2">
        <v>22</v>
      </c>
      <c r="E22" s="2">
        <v>26</v>
      </c>
      <c r="F22" s="7">
        <v>96</v>
      </c>
      <c r="G22" s="2">
        <v>96</v>
      </c>
      <c r="H22" s="2">
        <v>68.571428571428569</v>
      </c>
      <c r="I22" s="2">
        <v>0.27083333333333331</v>
      </c>
    </row>
    <row r="23" spans="2:9" x14ac:dyDescent="0.35">
      <c r="B23" s="5" t="s">
        <v>12</v>
      </c>
      <c r="C23" s="2">
        <v>37</v>
      </c>
      <c r="D23" s="2">
        <v>47</v>
      </c>
      <c r="E23" s="2">
        <v>12</v>
      </c>
      <c r="F23" s="7">
        <v>96</v>
      </c>
      <c r="G23" s="2">
        <v>96</v>
      </c>
      <c r="H23" s="2">
        <v>44.047619047619044</v>
      </c>
      <c r="I23" s="2">
        <v>-0.10416666666666667</v>
      </c>
    </row>
    <row r="24" spans="2:9" x14ac:dyDescent="0.35">
      <c r="B24" s="4" t="s">
        <v>13</v>
      </c>
      <c r="C24" s="2">
        <v>49</v>
      </c>
      <c r="D24" s="2">
        <v>23</v>
      </c>
      <c r="E24" s="2">
        <v>24</v>
      </c>
      <c r="F24" s="7">
        <v>96</v>
      </c>
      <c r="G24" s="2">
        <v>96</v>
      </c>
      <c r="H24" s="2">
        <v>68.055555555555557</v>
      </c>
      <c r="I24" s="2">
        <v>0.27083333333333331</v>
      </c>
    </row>
    <row r="25" spans="2:9" x14ac:dyDescent="0.35">
      <c r="B25" s="6" t="s">
        <v>14</v>
      </c>
      <c r="C25" s="2">
        <v>68</v>
      </c>
      <c r="D25" s="2">
        <v>6</v>
      </c>
      <c r="E25" s="2">
        <v>22</v>
      </c>
      <c r="F25" s="7">
        <v>96</v>
      </c>
      <c r="G25" s="2">
        <v>96</v>
      </c>
      <c r="H25" s="2">
        <v>91.891891891891902</v>
      </c>
      <c r="I25" s="2">
        <v>0.64583333333333337</v>
      </c>
    </row>
    <row r="26" spans="2:9" x14ac:dyDescent="0.35">
      <c r="B26" s="5" t="s">
        <v>15</v>
      </c>
      <c r="C26" s="2">
        <v>42</v>
      </c>
      <c r="D26" s="2">
        <v>41</v>
      </c>
      <c r="E26" s="2">
        <v>13</v>
      </c>
      <c r="F26" s="7">
        <v>96</v>
      </c>
      <c r="G26" s="2">
        <v>96</v>
      </c>
      <c r="H26" s="2">
        <v>50.602409638554214</v>
      </c>
      <c r="I26" s="2">
        <v>1.0416666666666666E-2</v>
      </c>
    </row>
    <row r="27" spans="2:9" x14ac:dyDescent="0.35">
      <c r="B27" s="4" t="s">
        <v>16</v>
      </c>
      <c r="C27" s="2">
        <v>65</v>
      </c>
      <c r="D27" s="2">
        <v>20</v>
      </c>
      <c r="E27" s="2">
        <v>11</v>
      </c>
      <c r="F27" s="7">
        <v>96</v>
      </c>
      <c r="G27" s="2">
        <v>96</v>
      </c>
      <c r="H27" s="2">
        <v>76.470588235294116</v>
      </c>
      <c r="I27" s="2">
        <v>0.46875</v>
      </c>
    </row>
    <row r="28" spans="2:9" x14ac:dyDescent="0.35">
      <c r="B28" s="4" t="s">
        <v>17</v>
      </c>
      <c r="C28" s="2">
        <v>45</v>
      </c>
      <c r="D28" s="2">
        <v>28</v>
      </c>
      <c r="E28" s="2">
        <v>23</v>
      </c>
      <c r="F28" s="7">
        <v>96</v>
      </c>
      <c r="G28" s="2">
        <v>96</v>
      </c>
      <c r="H28" s="2">
        <v>61.643835616438359</v>
      </c>
      <c r="I28" s="2">
        <v>0.17708333333333334</v>
      </c>
    </row>
    <row r="29" spans="2:9" x14ac:dyDescent="0.35">
      <c r="B29" s="5" t="s">
        <v>18</v>
      </c>
      <c r="C29" s="2">
        <v>42</v>
      </c>
      <c r="D29" s="2">
        <v>47</v>
      </c>
      <c r="E29" s="2">
        <v>7</v>
      </c>
      <c r="F29" s="7">
        <v>96</v>
      </c>
      <c r="G29" s="2">
        <v>96</v>
      </c>
      <c r="H29" s="2">
        <v>47.191011235955052</v>
      </c>
      <c r="I29" s="2">
        <v>-5.2083333333333336E-2</v>
      </c>
    </row>
    <row r="30" spans="2:9" x14ac:dyDescent="0.35">
      <c r="B30" s="4" t="s">
        <v>19</v>
      </c>
      <c r="C30" s="2">
        <v>48</v>
      </c>
      <c r="D30" s="2">
        <v>35</v>
      </c>
      <c r="E30" s="2">
        <v>13</v>
      </c>
      <c r="F30" s="7">
        <v>96</v>
      </c>
      <c r="G30" s="2">
        <v>96</v>
      </c>
      <c r="H30" s="2">
        <v>57.831325301204814</v>
      </c>
      <c r="I30" s="2">
        <v>0.13541666666666666</v>
      </c>
    </row>
    <row r="32" spans="2:9" x14ac:dyDescent="0.35">
      <c r="B32" s="1" t="s">
        <v>21</v>
      </c>
      <c r="C32" s="1"/>
      <c r="D32" s="1"/>
      <c r="E32" s="1"/>
      <c r="F32" s="1"/>
      <c r="G32" s="1"/>
      <c r="H32" s="1"/>
      <c r="I32" s="1"/>
    </row>
    <row r="33" spans="2:9" x14ac:dyDescent="0.35">
      <c r="B33" s="2"/>
      <c r="C33" s="3" t="s">
        <v>1</v>
      </c>
      <c r="D33" s="3" t="s">
        <v>2</v>
      </c>
      <c r="E33" s="3" t="s">
        <v>3</v>
      </c>
      <c r="F33" s="3" t="s">
        <v>4</v>
      </c>
      <c r="G33" s="3" t="s">
        <v>5</v>
      </c>
      <c r="H33" s="3" t="s">
        <v>6</v>
      </c>
      <c r="I33" s="3" t="s">
        <v>7</v>
      </c>
    </row>
    <row r="34" spans="2:9" x14ac:dyDescent="0.35">
      <c r="B34" s="4" t="s">
        <v>8</v>
      </c>
      <c r="C34" s="2">
        <v>33</v>
      </c>
      <c r="D34" s="2">
        <v>19</v>
      </c>
      <c r="E34" s="2">
        <v>10</v>
      </c>
      <c r="F34" s="7">
        <v>62</v>
      </c>
      <c r="G34" s="2">
        <v>62</v>
      </c>
      <c r="H34" s="2">
        <v>63.46153846153846</v>
      </c>
      <c r="I34" s="2">
        <v>0.22580645161290322</v>
      </c>
    </row>
    <row r="35" spans="2:9" x14ac:dyDescent="0.35">
      <c r="B35" s="5" t="s">
        <v>9</v>
      </c>
      <c r="C35" s="2">
        <v>18</v>
      </c>
      <c r="D35" s="2">
        <v>30</v>
      </c>
      <c r="E35" s="2">
        <v>14</v>
      </c>
      <c r="F35" s="7">
        <v>62</v>
      </c>
      <c r="G35" s="2">
        <v>62</v>
      </c>
      <c r="H35" s="2">
        <v>37.5</v>
      </c>
      <c r="I35" s="2">
        <v>-0.19354838709677419</v>
      </c>
    </row>
    <row r="36" spans="2:9" x14ac:dyDescent="0.35">
      <c r="B36" s="4" t="s">
        <v>10</v>
      </c>
      <c r="C36" s="2">
        <v>20</v>
      </c>
      <c r="D36" s="2">
        <v>29</v>
      </c>
      <c r="E36" s="2">
        <v>13</v>
      </c>
      <c r="F36" s="7">
        <v>62</v>
      </c>
      <c r="G36" s="2">
        <v>62</v>
      </c>
      <c r="H36" s="2">
        <v>40.816326530612244</v>
      </c>
      <c r="I36" s="2">
        <v>-0.14516129032258066</v>
      </c>
    </row>
    <row r="37" spans="2:9" x14ac:dyDescent="0.35">
      <c r="B37" s="4" t="s">
        <v>11</v>
      </c>
      <c r="C37" s="2">
        <v>24</v>
      </c>
      <c r="D37" s="2">
        <v>24</v>
      </c>
      <c r="E37" s="2">
        <v>14</v>
      </c>
      <c r="F37" s="7">
        <v>62</v>
      </c>
      <c r="G37" s="2">
        <v>62</v>
      </c>
      <c r="H37" s="2">
        <v>50</v>
      </c>
      <c r="I37" s="2">
        <v>0</v>
      </c>
    </row>
    <row r="38" spans="2:9" x14ac:dyDescent="0.35">
      <c r="B38" s="5" t="s">
        <v>12</v>
      </c>
      <c r="C38" s="2">
        <v>20</v>
      </c>
      <c r="D38" s="2">
        <v>29</v>
      </c>
      <c r="E38" s="2">
        <v>13</v>
      </c>
      <c r="F38" s="7">
        <v>62</v>
      </c>
      <c r="G38" s="2">
        <v>62</v>
      </c>
      <c r="H38" s="2">
        <v>40.816326530612244</v>
      </c>
      <c r="I38" s="2">
        <v>-0.14516129032258066</v>
      </c>
    </row>
    <row r="39" spans="2:9" x14ac:dyDescent="0.35">
      <c r="B39" s="4" t="s">
        <v>13</v>
      </c>
      <c r="C39" s="2">
        <v>30</v>
      </c>
      <c r="D39" s="2">
        <v>15</v>
      </c>
      <c r="E39" s="2">
        <v>17</v>
      </c>
      <c r="F39" s="7">
        <v>62</v>
      </c>
      <c r="G39" s="2">
        <v>62</v>
      </c>
      <c r="H39" s="2">
        <v>66.666666666666657</v>
      </c>
      <c r="I39" s="2">
        <v>0.24193548387096775</v>
      </c>
    </row>
    <row r="40" spans="2:9" x14ac:dyDescent="0.35">
      <c r="B40" s="6" t="s">
        <v>14</v>
      </c>
      <c r="C40" s="2">
        <v>29</v>
      </c>
      <c r="D40" s="2">
        <v>20</v>
      </c>
      <c r="E40" s="2">
        <v>13</v>
      </c>
      <c r="F40" s="7">
        <v>62</v>
      </c>
      <c r="G40" s="2">
        <v>62</v>
      </c>
      <c r="H40" s="2">
        <v>59.183673469387756</v>
      </c>
      <c r="I40" s="2">
        <v>0.14516129032258066</v>
      </c>
    </row>
    <row r="41" spans="2:9" x14ac:dyDescent="0.35">
      <c r="B41" s="5" t="s">
        <v>15</v>
      </c>
      <c r="C41" s="2">
        <v>19</v>
      </c>
      <c r="D41" s="2">
        <v>32</v>
      </c>
      <c r="E41" s="2">
        <v>11</v>
      </c>
      <c r="F41" s="7">
        <v>62</v>
      </c>
      <c r="G41" s="2">
        <v>62</v>
      </c>
      <c r="H41" s="2">
        <v>37.254901960784316</v>
      </c>
      <c r="I41" s="2">
        <v>-0.20967741935483872</v>
      </c>
    </row>
    <row r="42" spans="2:9" x14ac:dyDescent="0.35">
      <c r="B42" s="4" t="s">
        <v>16</v>
      </c>
      <c r="C42" s="2">
        <v>26</v>
      </c>
      <c r="D42" s="2">
        <v>26</v>
      </c>
      <c r="E42" s="2">
        <v>10</v>
      </c>
      <c r="F42" s="7">
        <v>62</v>
      </c>
      <c r="G42" s="2">
        <v>62</v>
      </c>
      <c r="H42" s="2">
        <v>50</v>
      </c>
      <c r="I42" s="2">
        <v>0</v>
      </c>
    </row>
    <row r="43" spans="2:9" x14ac:dyDescent="0.35">
      <c r="B43" s="4" t="s">
        <v>17</v>
      </c>
      <c r="C43" s="2">
        <v>33</v>
      </c>
      <c r="D43" s="2">
        <v>19</v>
      </c>
      <c r="E43" s="2">
        <v>10</v>
      </c>
      <c r="F43" s="7">
        <v>62</v>
      </c>
      <c r="G43" s="2">
        <v>62</v>
      </c>
      <c r="H43" s="2">
        <v>63.46153846153846</v>
      </c>
      <c r="I43" s="2">
        <v>0.22580645161290322</v>
      </c>
    </row>
    <row r="44" spans="2:9" x14ac:dyDescent="0.35">
      <c r="B44" s="5" t="s">
        <v>18</v>
      </c>
      <c r="C44" s="2">
        <v>20</v>
      </c>
      <c r="D44" s="2">
        <v>27</v>
      </c>
      <c r="E44" s="2">
        <v>15</v>
      </c>
      <c r="F44" s="7">
        <v>62</v>
      </c>
      <c r="G44" s="2">
        <v>62</v>
      </c>
      <c r="H44" s="2">
        <v>42.553191489361701</v>
      </c>
      <c r="I44" s="2">
        <v>-0.11290322580645161</v>
      </c>
    </row>
    <row r="45" spans="2:9" x14ac:dyDescent="0.35">
      <c r="B45" s="4" t="s">
        <v>19</v>
      </c>
      <c r="C45" s="2">
        <v>18</v>
      </c>
      <c r="D45" s="2">
        <v>33</v>
      </c>
      <c r="E45" s="2">
        <v>11</v>
      </c>
      <c r="F45" s="7">
        <v>62</v>
      </c>
      <c r="G45" s="2">
        <v>62</v>
      </c>
      <c r="H45" s="2">
        <v>35.294117647058826</v>
      </c>
      <c r="I45" s="2">
        <v>-0.24193548387096775</v>
      </c>
    </row>
    <row r="48" spans="2:9" x14ac:dyDescent="0.35">
      <c r="B48" s="1" t="s">
        <v>22</v>
      </c>
      <c r="C48" s="1"/>
      <c r="D48" s="1"/>
      <c r="E48" s="1"/>
      <c r="F48" s="1"/>
      <c r="G48" s="1"/>
      <c r="H48" s="1"/>
      <c r="I48" s="1"/>
    </row>
    <row r="49" spans="2:17" x14ac:dyDescent="0.35">
      <c r="B49" s="2"/>
      <c r="C49" s="3" t="s">
        <v>1</v>
      </c>
      <c r="D49" s="3" t="s">
        <v>2</v>
      </c>
      <c r="E49" s="3" t="s">
        <v>3</v>
      </c>
      <c r="F49" s="3" t="s">
        <v>4</v>
      </c>
      <c r="G49" s="3" t="s">
        <v>5</v>
      </c>
      <c r="H49" s="3" t="s">
        <v>6</v>
      </c>
      <c r="I49" s="3" t="s">
        <v>7</v>
      </c>
      <c r="L49" s="3" t="s">
        <v>23</v>
      </c>
      <c r="M49" s="3" t="s">
        <v>24</v>
      </c>
      <c r="N49" s="3" t="s">
        <v>25</v>
      </c>
      <c r="O49" s="3" t="s">
        <v>26</v>
      </c>
      <c r="P49" s="2"/>
      <c r="Q49" s="3" t="s">
        <v>7</v>
      </c>
    </row>
    <row r="50" spans="2:17" x14ac:dyDescent="0.35">
      <c r="B50" s="4" t="s">
        <v>8</v>
      </c>
      <c r="C50">
        <v>33</v>
      </c>
      <c r="D50">
        <v>9</v>
      </c>
      <c r="E50">
        <v>10</v>
      </c>
      <c r="F50" s="8">
        <v>42</v>
      </c>
      <c r="G50">
        <v>52</v>
      </c>
      <c r="H50">
        <v>0.7857142857142857</v>
      </c>
      <c r="I50">
        <v>0.5714285714285714</v>
      </c>
      <c r="L50" s="2">
        <v>4</v>
      </c>
      <c r="M50" s="2">
        <v>2</v>
      </c>
      <c r="N50" s="2">
        <f>L50-M50</f>
        <v>2</v>
      </c>
      <c r="O50" s="2">
        <f>L50/6</f>
        <v>0.66666666666666663</v>
      </c>
      <c r="P50" s="2"/>
      <c r="Q50" s="2">
        <f>2/6</f>
        <v>0.33333333333333331</v>
      </c>
    </row>
    <row r="51" spans="2:17" x14ac:dyDescent="0.35">
      <c r="B51" s="5" t="s">
        <v>9</v>
      </c>
      <c r="C51">
        <v>27</v>
      </c>
      <c r="D51">
        <v>17</v>
      </c>
      <c r="E51">
        <v>8</v>
      </c>
      <c r="F51" s="8">
        <v>44</v>
      </c>
      <c r="G51">
        <v>52</v>
      </c>
      <c r="H51">
        <v>0.61363636363636365</v>
      </c>
      <c r="I51">
        <v>0.22727272727272727</v>
      </c>
      <c r="L51" s="2">
        <v>2</v>
      </c>
      <c r="M51" s="2">
        <v>0</v>
      </c>
      <c r="N51" s="2">
        <v>2</v>
      </c>
      <c r="O51" s="2">
        <f>2/2</f>
        <v>1</v>
      </c>
      <c r="P51" s="2"/>
      <c r="Q51" s="2">
        <f>2/2</f>
        <v>1</v>
      </c>
    </row>
    <row r="52" spans="2:17" x14ac:dyDescent="0.35">
      <c r="B52" s="4" t="s">
        <v>10</v>
      </c>
      <c r="C52">
        <v>13</v>
      </c>
      <c r="D52">
        <v>33</v>
      </c>
      <c r="E52">
        <v>6</v>
      </c>
      <c r="F52" s="8">
        <v>46</v>
      </c>
      <c r="G52">
        <v>52</v>
      </c>
      <c r="H52">
        <v>0.28260869565217389</v>
      </c>
      <c r="I52">
        <v>-0.43478260869565216</v>
      </c>
      <c r="L52" s="2">
        <v>2</v>
      </c>
      <c r="M52" s="2">
        <v>4</v>
      </c>
      <c r="N52" s="2">
        <v>2</v>
      </c>
      <c r="O52" s="2">
        <f>L52/6</f>
        <v>0.33333333333333331</v>
      </c>
      <c r="P52" s="2"/>
      <c r="Q52" s="2">
        <f>-2/6</f>
        <v>-0.33333333333333331</v>
      </c>
    </row>
    <row r="53" spans="2:17" x14ac:dyDescent="0.35">
      <c r="B53" s="4" t="s">
        <v>11</v>
      </c>
      <c r="C53">
        <v>27</v>
      </c>
      <c r="D53">
        <v>12</v>
      </c>
      <c r="E53">
        <v>13</v>
      </c>
      <c r="F53" s="8">
        <v>39</v>
      </c>
      <c r="G53">
        <v>52</v>
      </c>
      <c r="H53">
        <v>0.69230769230769229</v>
      </c>
      <c r="I53">
        <v>0.38461538461538464</v>
      </c>
    </row>
    <row r="54" spans="2:17" x14ac:dyDescent="0.35">
      <c r="B54" s="5" t="s">
        <v>12</v>
      </c>
      <c r="C54">
        <v>26</v>
      </c>
      <c r="D54">
        <v>18</v>
      </c>
      <c r="E54">
        <v>8</v>
      </c>
      <c r="F54" s="8">
        <v>44</v>
      </c>
      <c r="G54">
        <v>52</v>
      </c>
      <c r="H54">
        <v>0.59090909090909094</v>
      </c>
      <c r="I54">
        <v>0.18181818181818182</v>
      </c>
    </row>
    <row r="55" spans="2:17" x14ac:dyDescent="0.35">
      <c r="B55" s="4" t="s">
        <v>13</v>
      </c>
      <c r="C55">
        <v>25</v>
      </c>
      <c r="D55">
        <v>22</v>
      </c>
      <c r="E55">
        <v>5</v>
      </c>
      <c r="F55" s="8">
        <v>47</v>
      </c>
      <c r="G55">
        <v>52</v>
      </c>
      <c r="H55">
        <v>0.53191489361702127</v>
      </c>
      <c r="I55">
        <v>6.3829787234042548E-2</v>
      </c>
    </row>
    <row r="56" spans="2:17" x14ac:dyDescent="0.35">
      <c r="B56" s="6" t="s">
        <v>14</v>
      </c>
      <c r="C56">
        <v>31</v>
      </c>
      <c r="D56">
        <v>11</v>
      </c>
      <c r="E56">
        <v>10</v>
      </c>
      <c r="F56" s="8">
        <v>42</v>
      </c>
      <c r="G56">
        <v>52</v>
      </c>
      <c r="H56">
        <v>0.73809523809523814</v>
      </c>
      <c r="I56">
        <v>0.47619047619047616</v>
      </c>
    </row>
    <row r="57" spans="2:17" x14ac:dyDescent="0.35">
      <c r="B57" s="5" t="s">
        <v>15</v>
      </c>
      <c r="C57">
        <v>25</v>
      </c>
      <c r="D57">
        <v>23</v>
      </c>
      <c r="E57">
        <v>4</v>
      </c>
      <c r="F57" s="8">
        <v>48</v>
      </c>
      <c r="G57">
        <v>52</v>
      </c>
      <c r="H57">
        <v>0.52083333333333337</v>
      </c>
      <c r="I57">
        <v>4.1666666666666664E-2</v>
      </c>
    </row>
    <row r="58" spans="2:17" x14ac:dyDescent="0.35">
      <c r="B58" s="4" t="s">
        <v>16</v>
      </c>
      <c r="C58">
        <v>12</v>
      </c>
      <c r="D58">
        <v>34</v>
      </c>
      <c r="E58">
        <v>6</v>
      </c>
      <c r="F58" s="8">
        <v>46</v>
      </c>
      <c r="G58">
        <v>52</v>
      </c>
      <c r="H58">
        <v>0.2608695652173913</v>
      </c>
      <c r="I58">
        <v>-0.47826086956521741</v>
      </c>
    </row>
    <row r="59" spans="2:17" x14ac:dyDescent="0.35">
      <c r="B59" s="4" t="s">
        <v>17</v>
      </c>
      <c r="C59">
        <v>33</v>
      </c>
      <c r="D59">
        <v>10</v>
      </c>
      <c r="E59">
        <v>9</v>
      </c>
      <c r="F59" s="8">
        <v>43</v>
      </c>
      <c r="G59">
        <v>52</v>
      </c>
      <c r="H59">
        <v>0.76744186046511631</v>
      </c>
      <c r="I59">
        <v>0.53488372093023251</v>
      </c>
    </row>
    <row r="60" spans="2:17" x14ac:dyDescent="0.35">
      <c r="B60" s="5" t="s">
        <v>18</v>
      </c>
      <c r="C60">
        <v>22</v>
      </c>
      <c r="D60">
        <v>22</v>
      </c>
      <c r="E60">
        <v>8</v>
      </c>
      <c r="F60" s="8">
        <v>44</v>
      </c>
      <c r="G60">
        <v>52</v>
      </c>
      <c r="H60">
        <v>0.5</v>
      </c>
      <c r="I60">
        <v>0</v>
      </c>
    </row>
    <row r="61" spans="2:17" x14ac:dyDescent="0.35">
      <c r="B61" s="4" t="s">
        <v>19</v>
      </c>
      <c r="C61">
        <v>12</v>
      </c>
      <c r="D61">
        <v>33</v>
      </c>
      <c r="E61">
        <v>7</v>
      </c>
      <c r="F61" s="8">
        <v>45</v>
      </c>
      <c r="G61">
        <v>52</v>
      </c>
      <c r="H61">
        <v>0.26666666666666666</v>
      </c>
      <c r="I61">
        <v>-0.46666666666666667</v>
      </c>
    </row>
    <row r="64" spans="2:17" x14ac:dyDescent="0.35">
      <c r="B64" s="1" t="s">
        <v>27</v>
      </c>
      <c r="C64" s="1"/>
      <c r="D64" s="1"/>
      <c r="E64" s="1"/>
      <c r="F64" s="1"/>
      <c r="G64" s="1"/>
      <c r="H64" s="1"/>
      <c r="I64" s="1"/>
    </row>
    <row r="65" spans="2:9" x14ac:dyDescent="0.35">
      <c r="B65" s="4" t="s">
        <v>8</v>
      </c>
      <c r="C65">
        <v>18</v>
      </c>
      <c r="D65">
        <v>0</v>
      </c>
      <c r="E65">
        <v>0</v>
      </c>
      <c r="F65" s="8">
        <v>18</v>
      </c>
      <c r="G65">
        <v>18</v>
      </c>
      <c r="H65">
        <v>100</v>
      </c>
      <c r="I65">
        <v>1</v>
      </c>
    </row>
    <row r="66" spans="2:9" x14ac:dyDescent="0.35">
      <c r="B66" s="5" t="s">
        <v>9</v>
      </c>
      <c r="C66">
        <v>18</v>
      </c>
      <c r="D66">
        <v>0</v>
      </c>
      <c r="E66">
        <v>0</v>
      </c>
      <c r="F66" s="8">
        <v>18</v>
      </c>
      <c r="G66">
        <v>18</v>
      </c>
      <c r="H66">
        <v>100</v>
      </c>
      <c r="I66">
        <v>1</v>
      </c>
    </row>
    <row r="67" spans="2:9" x14ac:dyDescent="0.35">
      <c r="B67" s="4" t="s">
        <v>10</v>
      </c>
      <c r="C67">
        <v>13</v>
      </c>
      <c r="D67">
        <v>4</v>
      </c>
      <c r="E67">
        <v>1</v>
      </c>
      <c r="F67" s="8">
        <v>18</v>
      </c>
      <c r="G67">
        <v>18</v>
      </c>
      <c r="H67">
        <v>76.470588235294116</v>
      </c>
      <c r="I67">
        <v>0.5</v>
      </c>
    </row>
    <row r="68" spans="2:9" x14ac:dyDescent="0.35">
      <c r="B68" s="4" t="s">
        <v>11</v>
      </c>
      <c r="C68">
        <v>18</v>
      </c>
      <c r="D68">
        <v>0</v>
      </c>
      <c r="E68">
        <v>0</v>
      </c>
      <c r="F68" s="8">
        <v>18</v>
      </c>
      <c r="G68">
        <v>18</v>
      </c>
      <c r="H68">
        <v>100</v>
      </c>
      <c r="I68">
        <v>1</v>
      </c>
    </row>
    <row r="69" spans="2:9" x14ac:dyDescent="0.35">
      <c r="B69" s="5" t="s">
        <v>12</v>
      </c>
      <c r="C69">
        <v>18</v>
      </c>
      <c r="D69">
        <v>0</v>
      </c>
      <c r="E69">
        <v>0</v>
      </c>
      <c r="F69" s="8">
        <v>18</v>
      </c>
      <c r="G69">
        <v>18</v>
      </c>
      <c r="H69">
        <v>100</v>
      </c>
      <c r="I69">
        <v>1</v>
      </c>
    </row>
    <row r="70" spans="2:9" x14ac:dyDescent="0.35">
      <c r="B70" s="4" t="s">
        <v>13</v>
      </c>
      <c r="C70">
        <v>6</v>
      </c>
      <c r="D70">
        <v>11</v>
      </c>
      <c r="E70">
        <v>1</v>
      </c>
      <c r="F70" s="8">
        <v>18</v>
      </c>
      <c r="G70">
        <v>18</v>
      </c>
      <c r="H70">
        <v>35.294117647058826</v>
      </c>
      <c r="I70">
        <v>-0.27777777777777779</v>
      </c>
    </row>
    <row r="71" spans="2:9" x14ac:dyDescent="0.35">
      <c r="B71" s="6" t="s">
        <v>14</v>
      </c>
      <c r="C71">
        <v>18</v>
      </c>
      <c r="D71">
        <v>0</v>
      </c>
      <c r="E71">
        <v>0</v>
      </c>
      <c r="F71" s="8">
        <v>18</v>
      </c>
      <c r="G71">
        <v>18</v>
      </c>
      <c r="H71">
        <v>100</v>
      </c>
      <c r="I71">
        <v>1</v>
      </c>
    </row>
    <row r="72" spans="2:9" x14ac:dyDescent="0.35">
      <c r="B72" s="5" t="s">
        <v>15</v>
      </c>
      <c r="C72">
        <v>18</v>
      </c>
      <c r="D72">
        <v>0</v>
      </c>
      <c r="E72">
        <v>0</v>
      </c>
      <c r="F72" s="8">
        <v>18</v>
      </c>
      <c r="G72">
        <v>18</v>
      </c>
      <c r="H72">
        <v>100</v>
      </c>
      <c r="I72">
        <v>1</v>
      </c>
    </row>
    <row r="73" spans="2:9" x14ac:dyDescent="0.35">
      <c r="B73" s="4" t="s">
        <v>16</v>
      </c>
      <c r="C73">
        <v>9</v>
      </c>
      <c r="D73">
        <v>9</v>
      </c>
      <c r="E73">
        <v>0</v>
      </c>
      <c r="F73" s="8">
        <v>18</v>
      </c>
      <c r="G73">
        <v>18</v>
      </c>
      <c r="H73">
        <v>50</v>
      </c>
      <c r="I73">
        <v>0</v>
      </c>
    </row>
    <row r="74" spans="2:9" x14ac:dyDescent="0.35">
      <c r="B74" s="4" t="s">
        <v>17</v>
      </c>
      <c r="C74">
        <v>18</v>
      </c>
      <c r="D74">
        <v>0</v>
      </c>
      <c r="E74">
        <v>0</v>
      </c>
      <c r="F74" s="8">
        <v>18</v>
      </c>
      <c r="G74">
        <v>18</v>
      </c>
      <c r="H74">
        <v>100</v>
      </c>
      <c r="I74">
        <v>1</v>
      </c>
    </row>
    <row r="75" spans="2:9" x14ac:dyDescent="0.35">
      <c r="B75" s="5" t="s">
        <v>18</v>
      </c>
      <c r="C75">
        <v>17</v>
      </c>
      <c r="D75">
        <v>0</v>
      </c>
      <c r="E75">
        <v>1</v>
      </c>
      <c r="F75" s="8">
        <v>18</v>
      </c>
      <c r="G75">
        <v>18</v>
      </c>
      <c r="H75">
        <v>100</v>
      </c>
      <c r="I75">
        <v>0.94444444444444442</v>
      </c>
    </row>
    <row r="76" spans="2:9" x14ac:dyDescent="0.35">
      <c r="B76" s="4" t="s">
        <v>19</v>
      </c>
      <c r="C76">
        <v>7</v>
      </c>
      <c r="D76">
        <v>11</v>
      </c>
      <c r="E76">
        <v>0</v>
      </c>
      <c r="F76" s="8">
        <v>18</v>
      </c>
      <c r="G76">
        <v>18</v>
      </c>
      <c r="H76">
        <v>38.888888888888893</v>
      </c>
      <c r="I76">
        <v>-0.22222222222222221</v>
      </c>
    </row>
    <row r="84" spans="2:33" x14ac:dyDescent="0.35">
      <c r="B84" s="7"/>
      <c r="C84" s="9" t="s">
        <v>28</v>
      </c>
      <c r="D84" s="9"/>
      <c r="E84" s="9"/>
      <c r="F84" s="9"/>
      <c r="G84" s="9"/>
      <c r="H84" s="9"/>
      <c r="I84" s="10" t="s">
        <v>20</v>
      </c>
      <c r="J84" s="10"/>
      <c r="K84" s="10"/>
      <c r="L84" s="10"/>
      <c r="M84" s="10"/>
      <c r="N84" s="10"/>
      <c r="O84" s="11" t="s">
        <v>29</v>
      </c>
      <c r="P84" s="11"/>
      <c r="Q84" s="11"/>
      <c r="R84" s="11"/>
      <c r="S84" s="11"/>
      <c r="T84" s="11"/>
      <c r="U84" s="12" t="s">
        <v>30</v>
      </c>
      <c r="V84" s="12"/>
      <c r="W84" s="12"/>
      <c r="X84" s="12"/>
      <c r="Y84" s="12"/>
      <c r="Z84" s="12"/>
      <c r="AA84" s="13" t="s">
        <v>31</v>
      </c>
      <c r="AB84" s="13"/>
      <c r="AC84" s="13"/>
      <c r="AD84" s="13"/>
      <c r="AE84" s="13"/>
      <c r="AF84" s="13"/>
    </row>
    <row r="85" spans="2:33" ht="58" x14ac:dyDescent="0.35">
      <c r="B85" s="7"/>
      <c r="C85" s="7" t="s">
        <v>26</v>
      </c>
      <c r="D85" s="7" t="s">
        <v>7</v>
      </c>
      <c r="E85" s="7" t="s">
        <v>32</v>
      </c>
      <c r="F85" s="14" t="s">
        <v>33</v>
      </c>
      <c r="G85" s="14" t="s">
        <v>34</v>
      </c>
      <c r="H85" s="14" t="s">
        <v>35</v>
      </c>
      <c r="I85" s="7" t="s">
        <v>26</v>
      </c>
      <c r="J85" s="7" t="s">
        <v>7</v>
      </c>
      <c r="K85" s="7" t="s">
        <v>32</v>
      </c>
      <c r="L85" s="14" t="s">
        <v>33</v>
      </c>
      <c r="M85" s="14" t="s">
        <v>34</v>
      </c>
      <c r="N85" s="14" t="s">
        <v>35</v>
      </c>
      <c r="O85" s="7" t="s">
        <v>26</v>
      </c>
      <c r="P85" s="7" t="s">
        <v>7</v>
      </c>
      <c r="Q85" s="7" t="s">
        <v>32</v>
      </c>
      <c r="R85" s="14" t="s">
        <v>33</v>
      </c>
      <c r="S85" s="14" t="s">
        <v>34</v>
      </c>
      <c r="T85" s="14" t="s">
        <v>35</v>
      </c>
      <c r="U85" s="7" t="s">
        <v>26</v>
      </c>
      <c r="V85" s="7" t="s">
        <v>7</v>
      </c>
      <c r="W85" s="7" t="s">
        <v>32</v>
      </c>
      <c r="X85" s="14" t="s">
        <v>33</v>
      </c>
      <c r="Y85" s="14" t="s">
        <v>34</v>
      </c>
      <c r="Z85" s="14" t="s">
        <v>35</v>
      </c>
      <c r="AA85" s="7" t="s">
        <v>26</v>
      </c>
      <c r="AB85" s="7" t="s">
        <v>7</v>
      </c>
      <c r="AC85" s="7" t="s">
        <v>32</v>
      </c>
      <c r="AD85" s="14" t="s">
        <v>33</v>
      </c>
      <c r="AE85" s="14" t="s">
        <v>34</v>
      </c>
      <c r="AF85" s="14" t="s">
        <v>35</v>
      </c>
      <c r="AG85" s="7"/>
    </row>
    <row r="86" spans="2:33" x14ac:dyDescent="0.35">
      <c r="B86" s="15" t="s">
        <v>8</v>
      </c>
      <c r="C86" s="16">
        <v>100</v>
      </c>
      <c r="D86" s="16">
        <v>1</v>
      </c>
      <c r="E86" s="17">
        <f>_xlfn.RANK.EQ(C86,$C$86:$C$97,1)</f>
        <v>5</v>
      </c>
      <c r="F86" s="17">
        <f>_xlfn.RANK.EQ(D86,$D$86:$D$97,1)</f>
        <v>6</v>
      </c>
      <c r="G86" s="18" t="s">
        <v>36</v>
      </c>
      <c r="H86" s="19" t="s">
        <v>36</v>
      </c>
      <c r="I86" s="16">
        <v>40.579710144927539</v>
      </c>
      <c r="J86" s="20">
        <v>-0.13541666666666666</v>
      </c>
      <c r="K86" s="17">
        <f>_xlfn.RANK.EQ(I86,$I$86:$I$97)</f>
        <v>11</v>
      </c>
      <c r="L86" s="17">
        <f>_xlfn.RANK.EQ(J86,$J$86:$J$97,1)</f>
        <v>2</v>
      </c>
      <c r="M86" s="19" t="s">
        <v>37</v>
      </c>
      <c r="N86" s="19" t="s">
        <v>37</v>
      </c>
      <c r="O86" s="16">
        <v>50</v>
      </c>
      <c r="P86" s="16">
        <v>0</v>
      </c>
      <c r="Q86" s="17">
        <f>_xlfn.RANK.EQ(O86,$O$86:$O$97)</f>
        <v>6</v>
      </c>
      <c r="R86" s="17">
        <f>_xlfn.RANK.EQ(P86,$P$86:$P$97,1)</f>
        <v>7</v>
      </c>
      <c r="S86" s="18" t="s">
        <v>38</v>
      </c>
      <c r="T86" s="18" t="s">
        <v>38</v>
      </c>
      <c r="U86" s="16">
        <f>0.785714285714286*100</f>
        <v>78.571428571428598</v>
      </c>
      <c r="V86" s="16">
        <v>0.5714285714285714</v>
      </c>
      <c r="W86" s="17">
        <f>_xlfn.RANK.EQ(U86,$U$86:$U$97)</f>
        <v>1</v>
      </c>
      <c r="X86" s="17">
        <f>_xlfn.RANK.EQ(V86,$V$86:$V$97,1)</f>
        <v>12</v>
      </c>
      <c r="Y86" s="16" t="s">
        <v>38</v>
      </c>
      <c r="Z86" s="16" t="s">
        <v>38</v>
      </c>
      <c r="AA86" s="16">
        <v>63.46153846153846</v>
      </c>
      <c r="AB86" s="16">
        <v>0.22580645161290322</v>
      </c>
      <c r="AC86" s="17">
        <f>_xlfn.RANK.EQ(AA86,$AA$86:$AA$97)</f>
        <v>2</v>
      </c>
      <c r="AD86" s="17">
        <f>_xlfn.RANK.EQ(AB86,$AB$86:$AB$97,1)</f>
        <v>10</v>
      </c>
      <c r="AE86" s="16" t="s">
        <v>38</v>
      </c>
      <c r="AF86" s="16" t="s">
        <v>38</v>
      </c>
      <c r="AG86" s="15" t="s">
        <v>8</v>
      </c>
    </row>
    <row r="87" spans="2:33" x14ac:dyDescent="0.35">
      <c r="B87" s="21" t="s">
        <v>9</v>
      </c>
      <c r="C87" s="22">
        <v>100</v>
      </c>
      <c r="D87" s="22">
        <v>1</v>
      </c>
      <c r="E87" s="23">
        <f t="shared" ref="E87:E97" si="0">_xlfn.RANK.EQ(C87,$C$86:$C$97,1)</f>
        <v>5</v>
      </c>
      <c r="F87" s="23">
        <f t="shared" ref="F87:F97" si="1">_xlfn.RANK.EQ(D87,$D$86:$D$97,1)</f>
        <v>6</v>
      </c>
      <c r="G87" s="24" t="s">
        <v>36</v>
      </c>
      <c r="H87" s="25" t="s">
        <v>38</v>
      </c>
      <c r="I87" s="22">
        <v>30</v>
      </c>
      <c r="J87" s="22">
        <v>-0.33333333333333331</v>
      </c>
      <c r="K87" s="23">
        <f>_xlfn.RANK.EQ(I87,$I$86:$I$97)</f>
        <v>12</v>
      </c>
      <c r="L87" s="23">
        <f t="shared" ref="L87:L97" si="2">_xlfn.RANK.EQ(J87,$J$86:$J$97,1)</f>
        <v>1</v>
      </c>
      <c r="M87" s="26" t="s">
        <v>37</v>
      </c>
      <c r="N87" s="26" t="s">
        <v>37</v>
      </c>
      <c r="O87" s="22">
        <v>71.739130434782609</v>
      </c>
      <c r="P87" s="22">
        <v>0.37037037037037035</v>
      </c>
      <c r="Q87" s="23">
        <f>_xlfn.RANK.EQ(O87,$O$86:$O$97)</f>
        <v>3</v>
      </c>
      <c r="R87" s="23">
        <f t="shared" ref="R87:R97" si="3">_xlfn.RANK.EQ(P87,$P$86:$P$97,1)</f>
        <v>10</v>
      </c>
      <c r="S87" s="24" t="s">
        <v>38</v>
      </c>
      <c r="T87" s="24" t="s">
        <v>38</v>
      </c>
      <c r="U87" s="22">
        <f>0.613636363636364*100</f>
        <v>61.363636363636395</v>
      </c>
      <c r="V87" s="22">
        <v>0.22727272727272727</v>
      </c>
      <c r="W87" s="23">
        <f>_xlfn.RANK.EQ(U87,$U$86:$U$97)</f>
        <v>5</v>
      </c>
      <c r="X87" s="23">
        <f t="shared" ref="X87:X97" si="4">_xlfn.RANK.EQ(V87,$V$86:$V$97,1)</f>
        <v>8</v>
      </c>
      <c r="Y87" s="22" t="s">
        <v>38</v>
      </c>
      <c r="Z87" s="22"/>
      <c r="AA87" s="22">
        <v>37.5</v>
      </c>
      <c r="AB87" s="22">
        <v>-0.19354838709677419</v>
      </c>
      <c r="AC87" s="23">
        <f>_xlfn.RANK.EQ(AA87,$AA$86:$AA$97)</f>
        <v>10</v>
      </c>
      <c r="AD87" s="23">
        <f t="shared" ref="AD87:AD97" si="5">_xlfn.RANK.EQ(AB87,$AB$86:$AB$97,1)</f>
        <v>3</v>
      </c>
      <c r="AE87" s="27" t="s">
        <v>37</v>
      </c>
      <c r="AF87" s="27" t="s">
        <v>37</v>
      </c>
      <c r="AG87" s="21" t="s">
        <v>9</v>
      </c>
    </row>
    <row r="88" spans="2:33" x14ac:dyDescent="0.35">
      <c r="B88" s="28" t="s">
        <v>10</v>
      </c>
      <c r="C88" s="29">
        <v>76.470588235294116</v>
      </c>
      <c r="D88" s="29">
        <v>0.5</v>
      </c>
      <c r="E88" s="30">
        <f t="shared" si="0"/>
        <v>4</v>
      </c>
      <c r="F88" s="30">
        <f t="shared" si="1"/>
        <v>4</v>
      </c>
      <c r="G88" s="29" t="s">
        <v>36</v>
      </c>
      <c r="H88" s="29" t="s">
        <v>38</v>
      </c>
      <c r="I88" s="29">
        <v>50.649350649350644</v>
      </c>
      <c r="J88" s="29">
        <v>1.0416666666666666E-2</v>
      </c>
      <c r="K88" s="30">
        <f>_xlfn.RANK.EQ(I88,$I$86:$I$97)</f>
        <v>7</v>
      </c>
      <c r="L88" s="30">
        <f t="shared" si="2"/>
        <v>5</v>
      </c>
      <c r="M88" s="31" t="s">
        <v>37</v>
      </c>
      <c r="N88" s="31" t="s">
        <v>37</v>
      </c>
      <c r="O88" s="29">
        <v>23.52941176470588</v>
      </c>
      <c r="P88" s="29">
        <v>-0.5</v>
      </c>
      <c r="Q88" s="30">
        <f>_xlfn.RANK.EQ(O88,$O$86:$O$97)</f>
        <v>10</v>
      </c>
      <c r="R88" s="30">
        <f t="shared" si="3"/>
        <v>3</v>
      </c>
      <c r="S88" s="31" t="s">
        <v>37</v>
      </c>
      <c r="T88" s="31" t="s">
        <v>37</v>
      </c>
      <c r="U88" s="29">
        <f>0.282608695652174*100</f>
        <v>28.260869565217401</v>
      </c>
      <c r="V88" s="29">
        <v>-0.43478260869565216</v>
      </c>
      <c r="W88" s="30">
        <f>_xlfn.RANK.EQ(U88,$U$86:$U$97)</f>
        <v>10</v>
      </c>
      <c r="X88" s="30">
        <f t="shared" si="4"/>
        <v>3</v>
      </c>
      <c r="Y88" s="31" t="s">
        <v>37</v>
      </c>
      <c r="Z88" s="31" t="s">
        <v>37</v>
      </c>
      <c r="AA88" s="29">
        <v>40.816326530612244</v>
      </c>
      <c r="AB88" s="29">
        <v>-0.14516129032258066</v>
      </c>
      <c r="AC88" s="30">
        <f>_xlfn.RANK.EQ(AA88,$AA$86:$AA$97)</f>
        <v>8</v>
      </c>
      <c r="AD88" s="30">
        <f t="shared" si="5"/>
        <v>4</v>
      </c>
      <c r="AE88" s="31" t="s">
        <v>37</v>
      </c>
      <c r="AF88" s="31" t="s">
        <v>37</v>
      </c>
      <c r="AG88" s="28" t="s">
        <v>10</v>
      </c>
    </row>
    <row r="89" spans="2:33" x14ac:dyDescent="0.35">
      <c r="B89" s="15" t="s">
        <v>11</v>
      </c>
      <c r="C89" s="16">
        <v>100</v>
      </c>
      <c r="D89" s="16">
        <v>1</v>
      </c>
      <c r="E89" s="17">
        <f t="shared" si="0"/>
        <v>5</v>
      </c>
      <c r="F89" s="17">
        <f t="shared" si="1"/>
        <v>6</v>
      </c>
      <c r="G89" s="18" t="s">
        <v>36</v>
      </c>
      <c r="H89" s="19" t="s">
        <v>38</v>
      </c>
      <c r="I89" s="16">
        <v>68.571428571428569</v>
      </c>
      <c r="J89" s="16">
        <v>0.27083333333333331</v>
      </c>
      <c r="K89" s="17">
        <f>_xlfn.RANK.EQ(I89,$I$86:$I$97)</f>
        <v>3</v>
      </c>
      <c r="L89" s="17">
        <f t="shared" si="2"/>
        <v>9</v>
      </c>
      <c r="M89" s="18" t="s">
        <v>38</v>
      </c>
      <c r="N89" s="18" t="s">
        <v>38</v>
      </c>
      <c r="O89" s="16">
        <v>38.636363636363633</v>
      </c>
      <c r="P89" s="32">
        <v>-0.18518518518518517</v>
      </c>
      <c r="Q89" s="17">
        <f>_xlfn.RANK.EQ(O89,$O$86:$O$97)</f>
        <v>8</v>
      </c>
      <c r="R89" s="17">
        <f t="shared" si="3"/>
        <v>5</v>
      </c>
      <c r="S89" s="33" t="s">
        <v>37</v>
      </c>
      <c r="T89" s="33" t="s">
        <v>37</v>
      </c>
      <c r="U89" s="16">
        <f>0.692307692307692*100</f>
        <v>69.230769230769198</v>
      </c>
      <c r="V89" s="16">
        <v>0.38461538461538464</v>
      </c>
      <c r="W89" s="17">
        <f>_xlfn.RANK.EQ(U89,$U$86:$U$97)</f>
        <v>4</v>
      </c>
      <c r="X89" s="17">
        <f t="shared" si="4"/>
        <v>9</v>
      </c>
      <c r="Y89" s="16" t="s">
        <v>38</v>
      </c>
      <c r="Z89" s="16" t="s">
        <v>38</v>
      </c>
      <c r="AA89" s="16">
        <v>50</v>
      </c>
      <c r="AB89" s="16">
        <v>0</v>
      </c>
      <c r="AC89" s="17">
        <f>_xlfn.RANK.EQ(AA89,$AA$86:$AA$97)</f>
        <v>5</v>
      </c>
      <c r="AD89" s="17">
        <f t="shared" si="5"/>
        <v>7</v>
      </c>
      <c r="AE89" s="16" t="s">
        <v>38</v>
      </c>
      <c r="AF89" s="16" t="s">
        <v>38</v>
      </c>
      <c r="AG89" s="15" t="s">
        <v>11</v>
      </c>
    </row>
    <row r="90" spans="2:33" x14ac:dyDescent="0.35">
      <c r="B90" s="21" t="s">
        <v>12</v>
      </c>
      <c r="C90" s="22">
        <v>100</v>
      </c>
      <c r="D90" s="22">
        <v>1</v>
      </c>
      <c r="E90" s="23">
        <f t="shared" si="0"/>
        <v>5</v>
      </c>
      <c r="F90" s="23">
        <f t="shared" si="1"/>
        <v>6</v>
      </c>
      <c r="G90" s="24" t="s">
        <v>36</v>
      </c>
      <c r="H90" s="25" t="s">
        <v>38</v>
      </c>
      <c r="I90" s="22">
        <v>44.047619047619044</v>
      </c>
      <c r="J90" s="22">
        <v>-0.10416666666666667</v>
      </c>
      <c r="K90" s="23">
        <f>_xlfn.RANK.EQ(I90,$I$86:$I$97)</f>
        <v>10</v>
      </c>
      <c r="L90" s="23">
        <f t="shared" si="2"/>
        <v>3</v>
      </c>
      <c r="M90" s="26" t="s">
        <v>37</v>
      </c>
      <c r="N90" s="26" t="s">
        <v>37</v>
      </c>
      <c r="O90" s="22">
        <v>71.111111111111114</v>
      </c>
      <c r="P90" s="22">
        <v>0.35185185185185186</v>
      </c>
      <c r="Q90" s="23">
        <f>_xlfn.RANK.EQ(O90,$O$86:$O$97)</f>
        <v>4</v>
      </c>
      <c r="R90" s="23">
        <f t="shared" si="3"/>
        <v>9</v>
      </c>
      <c r="S90" s="24" t="s">
        <v>38</v>
      </c>
      <c r="T90" s="24" t="s">
        <v>38</v>
      </c>
      <c r="U90" s="22">
        <f>0.590909090909091*100</f>
        <v>59.090909090909108</v>
      </c>
      <c r="V90" s="22">
        <v>0.18181818181818182</v>
      </c>
      <c r="W90" s="23">
        <f>_xlfn.RANK.EQ(U90,$U$86:$U$97)</f>
        <v>6</v>
      </c>
      <c r="X90" s="23">
        <f t="shared" si="4"/>
        <v>7</v>
      </c>
      <c r="Y90" s="22"/>
      <c r="Z90" s="22"/>
      <c r="AA90" s="22">
        <v>40.816326530612244</v>
      </c>
      <c r="AB90" s="22">
        <v>-0.14516129032258066</v>
      </c>
      <c r="AC90" s="23">
        <f>_xlfn.RANK.EQ(AA90,$AA$86:$AA$97)</f>
        <v>8</v>
      </c>
      <c r="AD90" s="23">
        <f t="shared" si="5"/>
        <v>4</v>
      </c>
      <c r="AE90" s="27" t="s">
        <v>37</v>
      </c>
      <c r="AF90" s="27" t="s">
        <v>37</v>
      </c>
      <c r="AG90" s="21" t="s">
        <v>12</v>
      </c>
    </row>
    <row r="91" spans="2:33" x14ac:dyDescent="0.35">
      <c r="B91" s="28" t="s">
        <v>13</v>
      </c>
      <c r="C91" s="29">
        <v>35.294117647058826</v>
      </c>
      <c r="D91" s="29">
        <v>-0.27777777777777779</v>
      </c>
      <c r="E91" s="30">
        <f t="shared" si="0"/>
        <v>1</v>
      </c>
      <c r="F91" s="30">
        <f t="shared" si="1"/>
        <v>1</v>
      </c>
      <c r="G91" s="29" t="s">
        <v>37</v>
      </c>
      <c r="H91" s="29" t="s">
        <v>37</v>
      </c>
      <c r="I91" s="29">
        <v>68.055555555555557</v>
      </c>
      <c r="J91" s="29">
        <v>0.27083333333333331</v>
      </c>
      <c r="K91" s="30">
        <f>_xlfn.RANK.EQ(I91,$I$86:$I$97)</f>
        <v>4</v>
      </c>
      <c r="L91" s="30">
        <f t="shared" si="2"/>
        <v>9</v>
      </c>
      <c r="M91" s="29" t="s">
        <v>38</v>
      </c>
      <c r="N91" s="29" t="s">
        <v>38</v>
      </c>
      <c r="O91" s="29">
        <v>43.18181818181818</v>
      </c>
      <c r="P91" s="29">
        <v>-0.1111111111111111</v>
      </c>
      <c r="Q91" s="30">
        <f>_xlfn.RANK.EQ(O91,$O$86:$O$97)</f>
        <v>7</v>
      </c>
      <c r="R91" s="30">
        <f t="shared" si="3"/>
        <v>6</v>
      </c>
      <c r="S91" s="31" t="s">
        <v>37</v>
      </c>
      <c r="T91" s="31" t="s">
        <v>37</v>
      </c>
      <c r="U91" s="29">
        <v>53.191489361702104</v>
      </c>
      <c r="V91" s="29">
        <v>6.3829787234042548E-2</v>
      </c>
      <c r="W91" s="30">
        <f>_xlfn.RANK.EQ(U91,$U$86:$U$97)</f>
        <v>7</v>
      </c>
      <c r="X91" s="30">
        <f t="shared" si="4"/>
        <v>6</v>
      </c>
      <c r="Y91" s="29" t="s">
        <v>38</v>
      </c>
      <c r="Z91" s="29" t="s">
        <v>38</v>
      </c>
      <c r="AA91" s="29">
        <v>66.666666666666657</v>
      </c>
      <c r="AB91" s="29">
        <v>0.24193548387096775</v>
      </c>
      <c r="AC91" s="30">
        <f>_xlfn.RANK.EQ(AA91,$AA$86:$AA$97)</f>
        <v>1</v>
      </c>
      <c r="AD91" s="30">
        <f t="shared" si="5"/>
        <v>12</v>
      </c>
      <c r="AE91" s="29" t="s">
        <v>38</v>
      </c>
      <c r="AF91" s="29" t="s">
        <v>38</v>
      </c>
      <c r="AG91" s="28" t="s">
        <v>13</v>
      </c>
    </row>
    <row r="92" spans="2:33" x14ac:dyDescent="0.35">
      <c r="B92" s="15" t="s">
        <v>14</v>
      </c>
      <c r="C92" s="16">
        <v>100</v>
      </c>
      <c r="D92" s="16">
        <v>1</v>
      </c>
      <c r="E92" s="17">
        <f t="shared" si="0"/>
        <v>5</v>
      </c>
      <c r="F92" s="17">
        <f t="shared" si="1"/>
        <v>6</v>
      </c>
      <c r="G92" s="18" t="s">
        <v>36</v>
      </c>
      <c r="H92" s="19" t="s">
        <v>38</v>
      </c>
      <c r="I92" s="16">
        <v>91.891891891891902</v>
      </c>
      <c r="J92" s="16">
        <v>0.64583333333333337</v>
      </c>
      <c r="K92" s="17">
        <f>_xlfn.RANK.EQ(I92,$I$86:$I$97)</f>
        <v>1</v>
      </c>
      <c r="L92" s="17">
        <f t="shared" si="2"/>
        <v>12</v>
      </c>
      <c r="M92" s="18" t="s">
        <v>38</v>
      </c>
      <c r="N92" s="18" t="s">
        <v>38</v>
      </c>
      <c r="O92" s="16">
        <v>61.702127659574465</v>
      </c>
      <c r="P92" s="16">
        <v>0.20370370370370369</v>
      </c>
      <c r="Q92" s="17">
        <f>_xlfn.RANK.EQ(O92,$O$86:$O$97)</f>
        <v>5</v>
      </c>
      <c r="R92" s="17">
        <f t="shared" si="3"/>
        <v>8</v>
      </c>
      <c r="S92" s="18" t="s">
        <v>38</v>
      </c>
      <c r="T92" s="18" t="s">
        <v>38</v>
      </c>
      <c r="U92" s="16">
        <v>73.80952380952381</v>
      </c>
      <c r="V92" s="16">
        <v>0.47619047619047616</v>
      </c>
      <c r="W92" s="17">
        <f>_xlfn.RANK.EQ(U92,$U$86:$U$97)</f>
        <v>3</v>
      </c>
      <c r="X92" s="17">
        <f t="shared" si="4"/>
        <v>10</v>
      </c>
      <c r="Y92" s="16" t="s">
        <v>38</v>
      </c>
      <c r="Z92" s="16" t="s">
        <v>38</v>
      </c>
      <c r="AA92" s="16">
        <v>59.183673469387756</v>
      </c>
      <c r="AB92" s="16">
        <v>0.14516129032258066</v>
      </c>
      <c r="AC92" s="17">
        <f>_xlfn.RANK.EQ(AA92,$AA$86:$AA$97)</f>
        <v>4</v>
      </c>
      <c r="AD92" s="17">
        <f t="shared" si="5"/>
        <v>9</v>
      </c>
      <c r="AE92" s="16" t="s">
        <v>38</v>
      </c>
      <c r="AF92" s="16" t="s">
        <v>38</v>
      </c>
      <c r="AG92" s="15" t="s">
        <v>14</v>
      </c>
    </row>
    <row r="93" spans="2:33" x14ac:dyDescent="0.35">
      <c r="B93" s="21" t="s">
        <v>15</v>
      </c>
      <c r="C93" s="22">
        <v>100</v>
      </c>
      <c r="D93" s="22">
        <v>1</v>
      </c>
      <c r="E93" s="23">
        <f t="shared" si="0"/>
        <v>5</v>
      </c>
      <c r="F93" s="23">
        <f t="shared" si="1"/>
        <v>6</v>
      </c>
      <c r="G93" s="24" t="s">
        <v>36</v>
      </c>
      <c r="H93" s="25" t="s">
        <v>38</v>
      </c>
      <c r="I93" s="22">
        <v>50.602409638554214</v>
      </c>
      <c r="J93" s="22">
        <v>1.0416666666666666E-2</v>
      </c>
      <c r="K93" s="23">
        <f>_xlfn.RANK.EQ(I93,$I$86:$I$97)</f>
        <v>8</v>
      </c>
      <c r="L93" s="23">
        <f t="shared" si="2"/>
        <v>5</v>
      </c>
      <c r="M93" s="24" t="s">
        <v>38</v>
      </c>
      <c r="N93" s="24" t="s">
        <v>38</v>
      </c>
      <c r="O93" s="22">
        <v>89.583333333333343</v>
      </c>
      <c r="P93" s="22">
        <v>0.70370370370370372</v>
      </c>
      <c r="Q93" s="23">
        <f>_xlfn.RANK.EQ(O93,$O$86:$O$97)</f>
        <v>1</v>
      </c>
      <c r="R93" s="23">
        <f t="shared" si="3"/>
        <v>12</v>
      </c>
      <c r="S93" s="24" t="s">
        <v>38</v>
      </c>
      <c r="T93" s="24" t="s">
        <v>38</v>
      </c>
      <c r="U93" s="22">
        <v>52.083333333333336</v>
      </c>
      <c r="V93" s="22">
        <v>4.1666666666666664E-2</v>
      </c>
      <c r="W93" s="23">
        <f>_xlfn.RANK.EQ(U93,$U$86:$U$97)</f>
        <v>8</v>
      </c>
      <c r="X93" s="23">
        <f t="shared" si="4"/>
        <v>5</v>
      </c>
      <c r="Y93" s="22"/>
      <c r="Z93" s="22"/>
      <c r="AA93" s="22">
        <v>37.254901960784316</v>
      </c>
      <c r="AB93" s="22">
        <v>-0.20967741935483872</v>
      </c>
      <c r="AC93" s="23">
        <f>_xlfn.RANK.EQ(AA93,$AA$86:$AA$97)</f>
        <v>11</v>
      </c>
      <c r="AD93" s="23">
        <f t="shared" si="5"/>
        <v>2</v>
      </c>
      <c r="AE93" s="27" t="s">
        <v>37</v>
      </c>
      <c r="AF93" s="27" t="s">
        <v>37</v>
      </c>
      <c r="AG93" s="21" t="s">
        <v>15</v>
      </c>
    </row>
    <row r="94" spans="2:33" x14ac:dyDescent="0.35">
      <c r="B94" s="28" t="s">
        <v>16</v>
      </c>
      <c r="C94" s="29">
        <v>50</v>
      </c>
      <c r="D94" s="29">
        <v>0</v>
      </c>
      <c r="E94" s="30">
        <f t="shared" si="0"/>
        <v>3</v>
      </c>
      <c r="F94" s="30">
        <f t="shared" si="1"/>
        <v>3</v>
      </c>
      <c r="G94" s="29" t="s">
        <v>36</v>
      </c>
      <c r="H94" s="29"/>
      <c r="I94" s="29">
        <v>76.470588235294116</v>
      </c>
      <c r="J94" s="29">
        <v>0.46875</v>
      </c>
      <c r="K94" s="30">
        <f>_xlfn.RANK.EQ(I94,$I$86:$I$97)</f>
        <v>2</v>
      </c>
      <c r="L94" s="30">
        <f t="shared" si="2"/>
        <v>11</v>
      </c>
      <c r="M94" s="29" t="s">
        <v>38</v>
      </c>
      <c r="N94" s="29" t="s">
        <v>38</v>
      </c>
      <c r="O94" s="29">
        <v>21.568627450980394</v>
      </c>
      <c r="P94" s="29">
        <v>-0.53703703703703709</v>
      </c>
      <c r="Q94" s="30">
        <f>_xlfn.RANK.EQ(O94,$O$86:$O$97)</f>
        <v>11</v>
      </c>
      <c r="R94" s="30">
        <f t="shared" si="3"/>
        <v>2</v>
      </c>
      <c r="S94" s="31" t="s">
        <v>37</v>
      </c>
      <c r="T94" s="31" t="s">
        <v>37</v>
      </c>
      <c r="U94" s="29">
        <v>26.086956521739129</v>
      </c>
      <c r="V94" s="29">
        <v>-0.47826086956521741</v>
      </c>
      <c r="W94" s="30">
        <f>_xlfn.RANK.EQ(U94,$U$86:$U$97)</f>
        <v>12</v>
      </c>
      <c r="X94" s="30">
        <f t="shared" si="4"/>
        <v>1</v>
      </c>
      <c r="Y94" s="31" t="s">
        <v>37</v>
      </c>
      <c r="Z94" s="31" t="s">
        <v>37</v>
      </c>
      <c r="AA94" s="29">
        <v>50</v>
      </c>
      <c r="AB94" s="29">
        <v>0</v>
      </c>
      <c r="AC94" s="30">
        <f>_xlfn.RANK.EQ(AA94,$AA$86:$AA$97)</f>
        <v>5</v>
      </c>
      <c r="AD94" s="30">
        <f t="shared" si="5"/>
        <v>7</v>
      </c>
      <c r="AE94" s="29" t="s">
        <v>38</v>
      </c>
      <c r="AF94" s="29" t="s">
        <v>38</v>
      </c>
      <c r="AG94" s="28" t="s">
        <v>16</v>
      </c>
    </row>
    <row r="95" spans="2:33" x14ac:dyDescent="0.35">
      <c r="B95" s="15" t="s">
        <v>17</v>
      </c>
      <c r="C95" s="16">
        <v>100</v>
      </c>
      <c r="D95" s="16">
        <v>1</v>
      </c>
      <c r="E95" s="17">
        <f t="shared" si="0"/>
        <v>5</v>
      </c>
      <c r="F95" s="17">
        <f t="shared" si="1"/>
        <v>6</v>
      </c>
      <c r="G95" s="18" t="s">
        <v>36</v>
      </c>
      <c r="H95" s="19" t="s">
        <v>38</v>
      </c>
      <c r="I95" s="16">
        <v>61.643835616438359</v>
      </c>
      <c r="J95" s="16">
        <v>0.17708333333333334</v>
      </c>
      <c r="K95" s="17">
        <f>_xlfn.RANK.EQ(I95,$I$86:$I$97)</f>
        <v>5</v>
      </c>
      <c r="L95" s="17">
        <f t="shared" si="2"/>
        <v>8</v>
      </c>
      <c r="M95" s="18" t="s">
        <v>38</v>
      </c>
      <c r="N95" s="18" t="s">
        <v>38</v>
      </c>
      <c r="O95" s="16">
        <v>34.883720930232556</v>
      </c>
      <c r="P95" s="20">
        <v>-0.24074074074074073</v>
      </c>
      <c r="Q95" s="17">
        <f>_xlfn.RANK.EQ(O95,$O$86:$O$97)</f>
        <v>9</v>
      </c>
      <c r="R95" s="17">
        <f t="shared" si="3"/>
        <v>4</v>
      </c>
      <c r="S95" s="33" t="s">
        <v>37</v>
      </c>
      <c r="T95" s="33" t="s">
        <v>37</v>
      </c>
      <c r="U95" s="16">
        <v>76.744186046511629</v>
      </c>
      <c r="V95" s="16">
        <v>0.53488372093023251</v>
      </c>
      <c r="W95" s="17">
        <f>_xlfn.RANK.EQ(U95,$U$86:$U$97)</f>
        <v>2</v>
      </c>
      <c r="X95" s="17">
        <f t="shared" si="4"/>
        <v>11</v>
      </c>
      <c r="Y95" s="16" t="s">
        <v>38</v>
      </c>
      <c r="Z95" s="16" t="s">
        <v>38</v>
      </c>
      <c r="AA95" s="16">
        <v>63.46153846153846</v>
      </c>
      <c r="AB95" s="16">
        <v>0.22580645161290322</v>
      </c>
      <c r="AC95" s="17">
        <f>_xlfn.RANK.EQ(AA95,$AA$86:$AA$97)</f>
        <v>2</v>
      </c>
      <c r="AD95" s="17">
        <f t="shared" si="5"/>
        <v>10</v>
      </c>
      <c r="AE95" s="16" t="s">
        <v>38</v>
      </c>
      <c r="AF95" s="16" t="s">
        <v>38</v>
      </c>
      <c r="AG95" s="15" t="s">
        <v>17</v>
      </c>
    </row>
    <row r="96" spans="2:33" x14ac:dyDescent="0.35">
      <c r="B96" s="21" t="s">
        <v>18</v>
      </c>
      <c r="C96" s="22">
        <v>100</v>
      </c>
      <c r="D96" s="22">
        <v>0.94444444444444442</v>
      </c>
      <c r="E96" s="23">
        <f t="shared" si="0"/>
        <v>5</v>
      </c>
      <c r="F96" s="23">
        <f t="shared" si="1"/>
        <v>5</v>
      </c>
      <c r="G96" s="24" t="s">
        <v>36</v>
      </c>
      <c r="H96" s="25" t="s">
        <v>38</v>
      </c>
      <c r="I96" s="22">
        <v>47.191011235955052</v>
      </c>
      <c r="J96" s="22">
        <v>-5.2083333333333336E-2</v>
      </c>
      <c r="K96" s="23">
        <f>_xlfn.RANK.EQ(I96,$I$86:$I$97)</f>
        <v>9</v>
      </c>
      <c r="L96" s="23">
        <f t="shared" si="2"/>
        <v>4</v>
      </c>
      <c r="M96" s="26" t="s">
        <v>37</v>
      </c>
      <c r="N96" s="26" t="s">
        <v>37</v>
      </c>
      <c r="O96" s="22">
        <v>84</v>
      </c>
      <c r="P96" s="22">
        <v>0.62962962962962965</v>
      </c>
      <c r="Q96" s="23">
        <f>_xlfn.RANK.EQ(O96,$O$86:$O$97)</f>
        <v>2</v>
      </c>
      <c r="R96" s="23">
        <f t="shared" si="3"/>
        <v>11</v>
      </c>
      <c r="S96" s="24" t="s">
        <v>38</v>
      </c>
      <c r="T96" s="24" t="s">
        <v>38</v>
      </c>
      <c r="U96" s="22">
        <v>50</v>
      </c>
      <c r="V96" s="22">
        <v>0</v>
      </c>
      <c r="W96" s="23">
        <f>_xlfn.RANK.EQ(U96,$U$86:$U$97)</f>
        <v>9</v>
      </c>
      <c r="X96" s="23">
        <f t="shared" si="4"/>
        <v>4</v>
      </c>
      <c r="Y96" s="22"/>
      <c r="Z96" s="22"/>
      <c r="AA96" s="22">
        <v>42.553191489361701</v>
      </c>
      <c r="AB96" s="22">
        <v>-0.11290322580645161</v>
      </c>
      <c r="AC96" s="23">
        <f>_xlfn.RANK.EQ(AA96,$AA$86:$AA$97)</f>
        <v>7</v>
      </c>
      <c r="AD96" s="23">
        <f t="shared" si="5"/>
        <v>6</v>
      </c>
      <c r="AE96" s="27" t="s">
        <v>37</v>
      </c>
      <c r="AF96" s="27" t="s">
        <v>37</v>
      </c>
      <c r="AG96" s="21" t="s">
        <v>18</v>
      </c>
    </row>
    <row r="97" spans="2:37" x14ac:dyDescent="0.35">
      <c r="B97" s="28" t="s">
        <v>19</v>
      </c>
      <c r="C97" s="29">
        <v>38.888888888888893</v>
      </c>
      <c r="D97" s="29">
        <v>-0.22222222222222221</v>
      </c>
      <c r="E97" s="30">
        <f t="shared" si="0"/>
        <v>2</v>
      </c>
      <c r="F97" s="30">
        <f t="shared" si="1"/>
        <v>2</v>
      </c>
      <c r="G97" s="29" t="s">
        <v>37</v>
      </c>
      <c r="H97" s="29" t="s">
        <v>37</v>
      </c>
      <c r="I97" s="29">
        <v>57.831325301204814</v>
      </c>
      <c r="J97" s="29">
        <v>0.13541666666666666</v>
      </c>
      <c r="K97" s="30">
        <f>_xlfn.RANK.EQ(I97,$I$86:$I$97)</f>
        <v>6</v>
      </c>
      <c r="L97" s="30">
        <f t="shared" si="2"/>
        <v>7</v>
      </c>
      <c r="M97" s="29"/>
      <c r="N97" s="29"/>
      <c r="O97" s="29">
        <v>11.76470588235294</v>
      </c>
      <c r="P97" s="29">
        <v>-0.72222222222222221</v>
      </c>
      <c r="Q97" s="30">
        <f>_xlfn.RANK.EQ(O97,$O$86:$O$97)</f>
        <v>12</v>
      </c>
      <c r="R97" s="30">
        <f t="shared" si="3"/>
        <v>1</v>
      </c>
      <c r="S97" s="29"/>
      <c r="T97" s="29"/>
      <c r="U97" s="29">
        <v>26.666666666666668</v>
      </c>
      <c r="V97" s="29">
        <v>-0.46666666666666667</v>
      </c>
      <c r="W97" s="30">
        <f>_xlfn.RANK.EQ(U97,$U$86:$U$97)</f>
        <v>11</v>
      </c>
      <c r="X97" s="30">
        <f t="shared" si="4"/>
        <v>2</v>
      </c>
      <c r="Y97" s="31" t="s">
        <v>37</v>
      </c>
      <c r="Z97" s="31" t="s">
        <v>37</v>
      </c>
      <c r="AA97" s="29">
        <v>35.294117647058826</v>
      </c>
      <c r="AB97" s="29">
        <v>-0.24193548387096775</v>
      </c>
      <c r="AC97" s="30">
        <f>_xlfn.RANK.EQ(AA97,$AA$86:$AA$97)</f>
        <v>12</v>
      </c>
      <c r="AD97" s="30">
        <f t="shared" si="5"/>
        <v>1</v>
      </c>
      <c r="AE97" s="31" t="s">
        <v>37</v>
      </c>
      <c r="AF97" s="31" t="s">
        <v>37</v>
      </c>
      <c r="AG97" s="28" t="s">
        <v>19</v>
      </c>
    </row>
    <row r="98" spans="2:37" x14ac:dyDescent="0.35">
      <c r="J98" s="34" t="s">
        <v>39</v>
      </c>
      <c r="K98" s="34" t="s">
        <v>40</v>
      </c>
      <c r="L98" s="34" t="s">
        <v>41</v>
      </c>
      <c r="M98" s="34" t="s">
        <v>42</v>
      </c>
      <c r="P98" s="34" t="s">
        <v>39</v>
      </c>
      <c r="Q98" s="34" t="s">
        <v>40</v>
      </c>
      <c r="R98" s="34" t="s">
        <v>41</v>
      </c>
      <c r="S98" s="34" t="s">
        <v>42</v>
      </c>
      <c r="V98" s="34" t="s">
        <v>39</v>
      </c>
      <c r="W98" s="34" t="s">
        <v>40</v>
      </c>
      <c r="X98" s="34" t="s">
        <v>41</v>
      </c>
      <c r="Y98" s="34" t="s">
        <v>42</v>
      </c>
      <c r="AB98" s="34" t="s">
        <v>39</v>
      </c>
      <c r="AC98" s="34" t="s">
        <v>40</v>
      </c>
      <c r="AD98" s="34" t="s">
        <v>41</v>
      </c>
      <c r="AE98" s="34" t="s">
        <v>42</v>
      </c>
    </row>
    <row r="99" spans="2:37" x14ac:dyDescent="0.35">
      <c r="B99" s="35" t="s">
        <v>43</v>
      </c>
      <c r="I99" s="36" t="s">
        <v>44</v>
      </c>
      <c r="J99" s="37" t="s">
        <v>37</v>
      </c>
      <c r="K99" s="37" t="s">
        <v>38</v>
      </c>
      <c r="L99" s="37" t="s">
        <v>45</v>
      </c>
      <c r="M99" s="37" t="s">
        <v>38</v>
      </c>
      <c r="O99" s="36" t="s">
        <v>44</v>
      </c>
      <c r="P99" s="37"/>
      <c r="Q99" s="37" t="s">
        <v>37</v>
      </c>
      <c r="R99" s="37" t="s">
        <v>38</v>
      </c>
      <c r="S99" s="37" t="s">
        <v>37</v>
      </c>
      <c r="U99" s="36" t="s">
        <v>44</v>
      </c>
      <c r="V99" s="37" t="s">
        <v>46</v>
      </c>
      <c r="W99" s="37" t="s">
        <v>47</v>
      </c>
      <c r="X99" s="37" t="s">
        <v>47</v>
      </c>
      <c r="Y99" s="37" t="s">
        <v>46</v>
      </c>
      <c r="AA99" s="36" t="s">
        <v>44</v>
      </c>
      <c r="AB99" s="37" t="s">
        <v>46</v>
      </c>
      <c r="AC99" s="37"/>
      <c r="AD99" s="37" t="s">
        <v>47</v>
      </c>
      <c r="AE99" s="37" t="s">
        <v>46</v>
      </c>
      <c r="AK99" s="35" t="s">
        <v>48</v>
      </c>
    </row>
    <row r="100" spans="2:37" x14ac:dyDescent="0.35">
      <c r="B100" s="35" t="s">
        <v>49</v>
      </c>
      <c r="I100" s="36" t="s">
        <v>50</v>
      </c>
      <c r="J100" s="37" t="s">
        <v>37</v>
      </c>
      <c r="K100" s="38" t="s">
        <v>37</v>
      </c>
      <c r="L100" s="38" t="s">
        <v>37</v>
      </c>
      <c r="M100" s="37" t="s">
        <v>51</v>
      </c>
      <c r="O100" s="36" t="s">
        <v>50</v>
      </c>
      <c r="P100" s="37" t="s">
        <v>38</v>
      </c>
      <c r="Q100" s="38" t="s">
        <v>38</v>
      </c>
      <c r="R100" s="38" t="s">
        <v>45</v>
      </c>
      <c r="S100" s="38" t="s">
        <v>45</v>
      </c>
      <c r="U100" s="36" t="s">
        <v>50</v>
      </c>
      <c r="V100" s="37" t="s">
        <v>47</v>
      </c>
      <c r="W100" s="37" t="s">
        <v>47</v>
      </c>
      <c r="X100" s="37" t="s">
        <v>47</v>
      </c>
      <c r="Y100" s="38"/>
      <c r="AA100" s="36" t="s">
        <v>50</v>
      </c>
      <c r="AB100" s="37" t="s">
        <v>37</v>
      </c>
      <c r="AC100" s="37" t="s">
        <v>37</v>
      </c>
      <c r="AD100" s="37" t="s">
        <v>37</v>
      </c>
      <c r="AE100" s="37" t="s">
        <v>37</v>
      </c>
    </row>
    <row r="101" spans="2:37" x14ac:dyDescent="0.35">
      <c r="I101" s="36" t="s">
        <v>52</v>
      </c>
      <c r="J101" s="38" t="s">
        <v>37</v>
      </c>
      <c r="K101" s="38" t="s">
        <v>38</v>
      </c>
      <c r="L101" s="38" t="s">
        <v>45</v>
      </c>
      <c r="M101" s="38" t="s">
        <v>38</v>
      </c>
      <c r="O101" s="36" t="s">
        <v>52</v>
      </c>
      <c r="P101" s="37" t="s">
        <v>37</v>
      </c>
      <c r="Q101" s="37" t="s">
        <v>37</v>
      </c>
      <c r="R101" s="37" t="s">
        <v>51</v>
      </c>
      <c r="S101" s="37" t="s">
        <v>51</v>
      </c>
      <c r="U101" s="36" t="s">
        <v>52</v>
      </c>
      <c r="V101" s="37" t="s">
        <v>37</v>
      </c>
      <c r="W101" s="37" t="s">
        <v>46</v>
      </c>
      <c r="X101" s="37" t="s">
        <v>37</v>
      </c>
      <c r="Y101" s="37" t="s">
        <v>51</v>
      </c>
      <c r="AA101" s="36" t="s">
        <v>52</v>
      </c>
      <c r="AB101" s="37" t="s">
        <v>37</v>
      </c>
      <c r="AC101" s="37" t="s">
        <v>46</v>
      </c>
      <c r="AD101" s="37"/>
      <c r="AE101" s="37" t="s">
        <v>37</v>
      </c>
    </row>
    <row r="102" spans="2:37" x14ac:dyDescent="0.35">
      <c r="B102" s="4" t="s">
        <v>8</v>
      </c>
    </row>
    <row r="103" spans="2:37" x14ac:dyDescent="0.35">
      <c r="B103" s="5" t="s">
        <v>9</v>
      </c>
    </row>
    <row r="104" spans="2:37" x14ac:dyDescent="0.35">
      <c r="B104" s="4" t="s">
        <v>10</v>
      </c>
    </row>
    <row r="105" spans="2:37" x14ac:dyDescent="0.35">
      <c r="B105" s="4" t="s">
        <v>11</v>
      </c>
    </row>
    <row r="106" spans="2:37" x14ac:dyDescent="0.35">
      <c r="B106" s="5" t="s">
        <v>12</v>
      </c>
    </row>
    <row r="107" spans="2:37" x14ac:dyDescent="0.35">
      <c r="B107" s="4" t="s">
        <v>13</v>
      </c>
    </row>
    <row r="108" spans="2:37" x14ac:dyDescent="0.35">
      <c r="B108" s="6" t="s">
        <v>14</v>
      </c>
    </row>
    <row r="109" spans="2:37" x14ac:dyDescent="0.35">
      <c r="B109" s="5" t="s">
        <v>15</v>
      </c>
    </row>
    <row r="110" spans="2:37" x14ac:dyDescent="0.35">
      <c r="B110" s="4" t="s">
        <v>16</v>
      </c>
    </row>
    <row r="111" spans="2:37" x14ac:dyDescent="0.35">
      <c r="B111" s="4" t="s">
        <v>17</v>
      </c>
    </row>
    <row r="112" spans="2:37" x14ac:dyDescent="0.35">
      <c r="B112" s="5" t="s">
        <v>18</v>
      </c>
    </row>
    <row r="113" spans="2:2" x14ac:dyDescent="0.35">
      <c r="B113" s="4" t="s">
        <v>19</v>
      </c>
    </row>
  </sheetData>
  <mergeCells count="10">
    <mergeCell ref="O84:T84"/>
    <mergeCell ref="U84:Z84"/>
    <mergeCell ref="AA84:AF84"/>
    <mergeCell ref="B1:I1"/>
    <mergeCell ref="B17:I17"/>
    <mergeCell ref="B32:I32"/>
    <mergeCell ref="B48:I48"/>
    <mergeCell ref="B64:I64"/>
    <mergeCell ref="C84:H84"/>
    <mergeCell ref="I84:N84"/>
  </mergeCells>
  <conditionalFormatting sqref="D87:D88 D90:D91 D93:D94 D96:D97">
    <cfRule type="cellIs" dxfId="4" priority="5" operator="lessThan">
      <formula>0</formula>
    </cfRule>
  </conditionalFormatting>
  <conditionalFormatting sqref="J87:J88 J90:J91 J93:J94 J96:J97">
    <cfRule type="cellIs" dxfId="3" priority="4" operator="lessThan">
      <formula>0</formula>
    </cfRule>
  </conditionalFormatting>
  <conditionalFormatting sqref="P93:P94 P96:P97 P87:P91">
    <cfRule type="cellIs" dxfId="2" priority="3" operator="lessThan">
      <formula>0</formula>
    </cfRule>
  </conditionalFormatting>
  <conditionalFormatting sqref="V87:V88 V90:V91 V93:V94 V96:V97">
    <cfRule type="cellIs" dxfId="1" priority="2" operator="lessThan">
      <formula>0</formula>
    </cfRule>
  </conditionalFormatting>
  <conditionalFormatting sqref="AB87:AB88 AB90:AB91 AB93:AB94 AB96:AB97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 _CPeet1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2026-02-20T13:31:51Z</dcterms:created>
  <dcterms:modified xsi:type="dcterms:W3CDTF">2026-02-20T13:32:09Z</dcterms:modified>
</cp:coreProperties>
</file>