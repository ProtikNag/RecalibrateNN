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rikant1\ONEDRI~1\DOCUME~1\MobaXterm\slash\srikant1_soc5cg44242y1\RemoteFiles\3084800_2_4\"/>
    </mc:Choice>
  </mc:AlternateContent>
  <xr:revisionPtr revIDLastSave="0" documentId="13_ncr:1_{78192740-BA91-4080-955F-A9D1370AE972}" xr6:coauthVersionLast="47" xr6:coauthVersionMax="47" xr10:uidLastSave="{00000000-0000-0000-0000-000000000000}"/>
  <bookViews>
    <workbookView xWindow="-110" yWindow="-110" windowWidth="19420" windowHeight="11500" firstSheet="13" activeTab="15" xr2:uid="{00000000-000D-0000-FFFF-FFFF00000000}"/>
  </bookViews>
  <sheets>
    <sheet name="mnet_v3_large_Class_0_all" sheetId="1" r:id="rId1"/>
    <sheet name="mnet_v3_large_Class_1_all" sheetId="2" r:id="rId2"/>
    <sheet name="mnet_v3_large_Class_2_all" sheetId="3" r:id="rId3"/>
    <sheet name="mnet_v3_large_Class_0_bg" sheetId="4" r:id="rId4"/>
    <sheet name="mnet_v3_large_Class_1_bg" sheetId="5" r:id="rId5"/>
    <sheet name="mnet_v3_large_Class_2_bg" sheetId="6" r:id="rId6"/>
    <sheet name="mnet_v3_large_Class_0_coat" sheetId="7" r:id="rId7"/>
    <sheet name="mnet_v3_large_Class_1_coat" sheetId="8" r:id="rId8"/>
    <sheet name="mnet_v3_large_Class_2_coat" sheetId="9" r:id="rId9"/>
    <sheet name="mnet_v3_large_Class_0_face" sheetId="10" r:id="rId10"/>
    <sheet name="mnet_v3_large_Class_1_face" sheetId="11" r:id="rId11"/>
    <sheet name="mnet_v3_large_Class_2_face" sheetId="12" r:id="rId12"/>
    <sheet name="mnet_v3_large_Class_0_legs" sheetId="13" r:id="rId13"/>
    <sheet name="mnet_v3_large_Class_1_legs" sheetId="14" r:id="rId14"/>
    <sheet name="mnet_v3_large_Class_2_legs" sheetId="15" r:id="rId15"/>
    <sheet name="Summary" sheetId="16" r:id="rId16"/>
    <sheet name="PValue" sheetId="17" r:id="rId17"/>
  </sheets>
  <definedNames>
    <definedName name="_xlnm._FilterDatabase" localSheetId="15" hidden="1">Summary!$B$1:$P$192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3" i="16" l="1"/>
  <c r="R62" i="16"/>
  <c r="R61" i="16"/>
  <c r="R60" i="16"/>
  <c r="R59" i="16"/>
  <c r="R58" i="16"/>
  <c r="R57" i="16"/>
  <c r="R56" i="16"/>
  <c r="R55" i="16"/>
  <c r="R54" i="16"/>
  <c r="R53" i="16"/>
  <c r="R52" i="16"/>
  <c r="R51" i="16"/>
  <c r="R50" i="16"/>
  <c r="R49" i="16"/>
  <c r="R48" i="16"/>
  <c r="R47" i="16"/>
  <c r="R46" i="16"/>
  <c r="R45" i="16"/>
  <c r="R44" i="16"/>
  <c r="R43" i="16"/>
  <c r="R42" i="16"/>
  <c r="R41" i="16"/>
  <c r="R40" i="16"/>
  <c r="R39" i="16"/>
  <c r="R38" i="16"/>
  <c r="R37" i="16"/>
  <c r="R36" i="16"/>
  <c r="R35" i="16"/>
  <c r="R34" i="16"/>
  <c r="R33" i="16"/>
  <c r="R32" i="16"/>
  <c r="R31" i="16"/>
  <c r="R30" i="16"/>
  <c r="R29" i="16"/>
  <c r="R28" i="16"/>
  <c r="R27" i="16"/>
  <c r="R26" i="16"/>
  <c r="R25" i="16"/>
  <c r="R24" i="16"/>
  <c r="R23" i="16"/>
  <c r="R22" i="16"/>
  <c r="R21" i="16"/>
  <c r="R20" i="16"/>
  <c r="R19" i="16"/>
  <c r="R18" i="16"/>
  <c r="R17" i="16"/>
  <c r="R16" i="16"/>
  <c r="R15" i="16"/>
  <c r="R14" i="16"/>
  <c r="R13" i="16"/>
  <c r="R12" i="16"/>
  <c r="R11" i="16"/>
  <c r="R10" i="16"/>
  <c r="R9" i="16"/>
  <c r="R8" i="16"/>
  <c r="R7" i="16"/>
  <c r="R6" i="16"/>
  <c r="R5" i="16"/>
  <c r="R4" i="16"/>
  <c r="R3" i="16"/>
  <c r="R2" i="16"/>
  <c r="P71" i="16"/>
  <c r="O71" i="16"/>
  <c r="N71" i="16"/>
  <c r="M71" i="16"/>
  <c r="L71" i="16"/>
  <c r="K71" i="16"/>
  <c r="J71" i="16"/>
  <c r="I71" i="16"/>
  <c r="H71" i="16"/>
  <c r="G71" i="16"/>
  <c r="F71" i="16"/>
  <c r="E71" i="16"/>
  <c r="D71" i="16"/>
  <c r="C71" i="16"/>
  <c r="P70" i="16"/>
  <c r="O70" i="16"/>
  <c r="N70" i="16"/>
  <c r="M70" i="16"/>
  <c r="L70" i="16"/>
  <c r="K70" i="16"/>
  <c r="J70" i="16"/>
  <c r="I70" i="16"/>
  <c r="H70" i="16"/>
  <c r="G70" i="16"/>
  <c r="F70" i="16"/>
  <c r="E70" i="16"/>
  <c r="D70" i="16"/>
  <c r="C70" i="16"/>
  <c r="B71" i="16"/>
  <c r="B70" i="16"/>
  <c r="C69" i="16"/>
  <c r="C68" i="16"/>
  <c r="C67" i="16"/>
  <c r="C66" i="16"/>
  <c r="C65" i="16"/>
  <c r="P69" i="16"/>
  <c r="O69" i="16"/>
  <c r="N69" i="16"/>
  <c r="M69" i="16"/>
  <c r="L69" i="16"/>
  <c r="K69" i="16"/>
  <c r="J69" i="16"/>
  <c r="I69" i="16"/>
  <c r="H69" i="16"/>
  <c r="G69" i="16"/>
  <c r="F69" i="16"/>
  <c r="E69" i="16"/>
  <c r="D69" i="16"/>
  <c r="P67" i="16"/>
  <c r="O67" i="16"/>
  <c r="N67" i="16"/>
  <c r="M67" i="16"/>
  <c r="L67" i="16"/>
  <c r="K67" i="16"/>
  <c r="J67" i="16"/>
  <c r="I67" i="16"/>
  <c r="H67" i="16"/>
  <c r="G67" i="16"/>
  <c r="F67" i="16"/>
  <c r="E67" i="16"/>
  <c r="D67" i="16"/>
  <c r="P66" i="16"/>
  <c r="O66" i="16"/>
  <c r="N66" i="16"/>
  <c r="M66" i="16"/>
  <c r="L66" i="16"/>
  <c r="K66" i="16"/>
  <c r="J66" i="16"/>
  <c r="I66" i="16"/>
  <c r="H66" i="16"/>
  <c r="G66" i="16"/>
  <c r="F66" i="16"/>
  <c r="E66" i="16"/>
  <c r="D66" i="16"/>
  <c r="P65" i="16"/>
  <c r="P68" i="16" s="1"/>
  <c r="O65" i="16"/>
  <c r="O68" i="16" s="1"/>
  <c r="N65" i="16"/>
  <c r="N68" i="16" s="1"/>
  <c r="M65" i="16"/>
  <c r="M68" i="16" s="1"/>
  <c r="L65" i="16"/>
  <c r="L68" i="16" s="1"/>
  <c r="K65" i="16"/>
  <c r="K68" i="16" s="1"/>
  <c r="J65" i="16"/>
  <c r="J68" i="16" s="1"/>
  <c r="I65" i="16"/>
  <c r="I68" i="16" s="1"/>
  <c r="H65" i="16"/>
  <c r="H68" i="16" s="1"/>
  <c r="G65" i="16"/>
  <c r="G68" i="16" s="1"/>
  <c r="F65" i="16"/>
  <c r="F68" i="16" s="1"/>
  <c r="E65" i="16"/>
  <c r="E68" i="16" s="1"/>
  <c r="D65" i="16"/>
  <c r="D68" i="16" s="1"/>
  <c r="B68" i="16"/>
  <c r="B69" i="16"/>
  <c r="B67" i="16"/>
  <c r="B66" i="16"/>
  <c r="B65" i="16"/>
</calcChain>
</file>

<file path=xl/sharedStrings.xml><?xml version="1.0" encoding="utf-8"?>
<sst xmlns="http://schemas.openxmlformats.org/spreadsheetml/2006/main" count="3798" uniqueCount="310">
  <si>
    <t>Layer</t>
  </si>
  <si>
    <t>Positive Sensitivity</t>
  </si>
  <si>
    <t>Negative Sensitivity</t>
  </si>
  <si>
    <t>Proportion of Positive Sensitivity</t>
  </si>
  <si>
    <t>Binomial P-value (Positive)</t>
  </si>
  <si>
    <t>Binomial P-value (Negative)</t>
  </si>
  <si>
    <t>Binomial P-value (Two-sided)</t>
  </si>
  <si>
    <t>Z-test P-value (Positive)</t>
  </si>
  <si>
    <t>Z-test P-value (Negative)</t>
  </si>
  <si>
    <t>Z-test P-value (Two-sided)</t>
  </si>
  <si>
    <t>Hypothesis Test Result</t>
  </si>
  <si>
    <t>features.0.0</t>
  </si>
  <si>
    <t>Approximation sensitive</t>
  </si>
  <si>
    <t>features.1.block.0.0</t>
  </si>
  <si>
    <t>features.1.block.1.0</t>
  </si>
  <si>
    <t>features.2.block.0.0</t>
  </si>
  <si>
    <t>features.2.block.1.0</t>
  </si>
  <si>
    <t>features.2.block.2.0</t>
  </si>
  <si>
    <t>features.3.block.0.0</t>
  </si>
  <si>
    <t>features.3.block.1.0</t>
  </si>
  <si>
    <t>features.3.block.2.0</t>
  </si>
  <si>
    <t>features.4.block.0.0</t>
  </si>
  <si>
    <t>features.4.block.1.0</t>
  </si>
  <si>
    <t>features.4.block.2.fc1</t>
  </si>
  <si>
    <t>features.4.block.2.fc2</t>
  </si>
  <si>
    <t>features.4.block.3.0</t>
  </si>
  <si>
    <t>features.5.block.0.0</t>
  </si>
  <si>
    <t>features.5.block.1.0</t>
  </si>
  <si>
    <t>features.5.block.2.fc1</t>
  </si>
  <si>
    <t>features.5.block.2.fc2</t>
  </si>
  <si>
    <t>features.5.block.3.0</t>
  </si>
  <si>
    <t>features.6.block.0.0</t>
  </si>
  <si>
    <t>features.6.block.1.0</t>
  </si>
  <si>
    <t>features.6.block.2.fc1</t>
  </si>
  <si>
    <t>features.6.block.2.fc2</t>
  </si>
  <si>
    <t>features.6.block.3.0</t>
  </si>
  <si>
    <t>features.7.block.0.0</t>
  </si>
  <si>
    <t>features.7.block.1.0</t>
  </si>
  <si>
    <t>features.7.block.2.0</t>
  </si>
  <si>
    <t>features.8.block.0.0</t>
  </si>
  <si>
    <t>features.8.block.1.0</t>
  </si>
  <si>
    <t>features.8.block.2.0</t>
  </si>
  <si>
    <t>features.9.block.0.0</t>
  </si>
  <si>
    <t>features.9.block.1.0</t>
  </si>
  <si>
    <t>features.9.block.2.0</t>
  </si>
  <si>
    <t>features.10.block.0.0</t>
  </si>
  <si>
    <t>features.10.block.1.0</t>
  </si>
  <si>
    <t>features.10.block.2.0</t>
  </si>
  <si>
    <t>features.11.block.0.0</t>
  </si>
  <si>
    <t>features.11.block.1.0</t>
  </si>
  <si>
    <t>features.11.block.2.fc1</t>
  </si>
  <si>
    <t>features.11.block.2.fc2</t>
  </si>
  <si>
    <t>features.11.block.3.0</t>
  </si>
  <si>
    <t>features.12.block.0.0</t>
  </si>
  <si>
    <t>features.12.block.1.0</t>
  </si>
  <si>
    <t>features.12.block.2.fc1</t>
  </si>
  <si>
    <t>features.12.block.2.fc2</t>
  </si>
  <si>
    <t>features.12.block.3.0</t>
  </si>
  <si>
    <t>features.13.block.0.0</t>
  </si>
  <si>
    <t>features.13.block.1.0</t>
  </si>
  <si>
    <t>features.13.block.2.fc1</t>
  </si>
  <si>
    <t>features.13.block.2.fc2</t>
  </si>
  <si>
    <t>features.13.block.3.0</t>
  </si>
  <si>
    <t>features.14.block.0.0</t>
  </si>
  <si>
    <t>features.14.block.1.0</t>
  </si>
  <si>
    <t>features.14.block.2.fc1</t>
  </si>
  <si>
    <t>features.14.block.2.fc2</t>
  </si>
  <si>
    <t>features.14.block.3.0</t>
  </si>
  <si>
    <t>features.15.block.0.0</t>
  </si>
  <si>
    <t>features.15.block.1.0</t>
  </si>
  <si>
    <t>features.15.block.2.fc1</t>
  </si>
  <si>
    <t>features.15.block.2.fc2</t>
  </si>
  <si>
    <t>features.15.block.3.0</t>
  </si>
  <si>
    <t>features.16.0</t>
  </si>
  <si>
    <t>Class_0_all_Hypothesis Test Result</t>
  </si>
  <si>
    <t>Class_1_all_Hypothesis Test Result</t>
  </si>
  <si>
    <t>Class_2_all_Hypothesis Test Result</t>
  </si>
  <si>
    <t>Class_0_bg_Hypothesis Test Result</t>
  </si>
  <si>
    <t>Class_1_bg_Hypothesis Test Result</t>
  </si>
  <si>
    <t>Class_2_bg_Hypothesis Test Result</t>
  </si>
  <si>
    <t>Class_0_coat_Hypothesis Test Result</t>
  </si>
  <si>
    <t>Class_1_coat_Hypothesis Test Result</t>
  </si>
  <si>
    <t>Class_2_coat_Hypothesis Test Result</t>
  </si>
  <si>
    <t>Class_0_face_Hypothesis Test Result</t>
  </si>
  <si>
    <t>Class_1_face_Hypothesis Test Result</t>
  </si>
  <si>
    <t>Class_2_face_Hypothesis Test Result</t>
  </si>
  <si>
    <t>Class_0_legs_Hypothesis Test Result</t>
  </si>
  <si>
    <t>Class_1_legs_Hypothesis Test Result</t>
  </si>
  <si>
    <t>Class_2_legs_Hypothesis Test Result</t>
  </si>
  <si>
    <t>Class_0_all_Binomial P-value (Positive)</t>
  </si>
  <si>
    <t>Class_0_all_Binomial P-value (Negative)</t>
  </si>
  <si>
    <t>Class_0_all_Z-test P-value (Positive)</t>
  </si>
  <si>
    <t>Class_0_all_Z-test P-value (Negative)</t>
  </si>
  <si>
    <t>Class_1_all_Binomial P-value (Positive)</t>
  </si>
  <si>
    <t>Class_1_all_Binomial P-value (Negative)</t>
  </si>
  <si>
    <t>Class_1_all_Z-test P-value (Positive)</t>
  </si>
  <si>
    <t>Class_1_all_Z-test P-value (Negative)</t>
  </si>
  <si>
    <t>Class_2_all_Binomial P-value (Positive)</t>
  </si>
  <si>
    <t>Class_2_all_Binomial P-value (Negative)</t>
  </si>
  <si>
    <t>Class_2_all_Z-test P-value (Positive)</t>
  </si>
  <si>
    <t>Class_2_all_Z-test P-value (Negative)</t>
  </si>
  <si>
    <t>Class_0_bg_Binomial P-value (Positive)</t>
  </si>
  <si>
    <t>Class_0_bg_Binomial P-value (Negative)</t>
  </si>
  <si>
    <t>Class_0_bg_Z-test P-value (Positive)</t>
  </si>
  <si>
    <t>Class_0_bg_Z-test P-value (Negative)</t>
  </si>
  <si>
    <t>Class_1_bg_Binomial P-value (Positive)</t>
  </si>
  <si>
    <t>Class_1_bg_Binomial P-value (Negative)</t>
  </si>
  <si>
    <t>Class_1_bg_Z-test P-value (Positive)</t>
  </si>
  <si>
    <t>Class_1_bg_Z-test P-value (Negative)</t>
  </si>
  <si>
    <t>Class_2_bg_Binomial P-value (Positive)</t>
  </si>
  <si>
    <t>Class_2_bg_Binomial P-value (Negative)</t>
  </si>
  <si>
    <t>Class_2_bg_Z-test P-value (Positive)</t>
  </si>
  <si>
    <t>Class_2_bg_Z-test P-value (Negative)</t>
  </si>
  <si>
    <t>Class_0_coat_Binomial P-value (Positive)</t>
  </si>
  <si>
    <t>Class_0_coat_Binomial P-value (Negative)</t>
  </si>
  <si>
    <t>Class_0_coat_Z-test P-value (Positive)</t>
  </si>
  <si>
    <t>Class_0_coat_Z-test P-value (Negative)</t>
  </si>
  <si>
    <t>Class_1_coat_Binomial P-value (Positive)</t>
  </si>
  <si>
    <t>Class_1_coat_Binomial P-value (Negative)</t>
  </si>
  <si>
    <t>Class_1_coat_Z-test P-value (Positive)</t>
  </si>
  <si>
    <t>Class_1_coat_Z-test P-value (Negative)</t>
  </si>
  <si>
    <t>Class_2_coat_Binomial P-value (Positive)</t>
  </si>
  <si>
    <t>Class_2_coat_Binomial P-value (Negative)</t>
  </si>
  <si>
    <t>Class_2_coat_Z-test P-value (Positive)</t>
  </si>
  <si>
    <t>Class_2_coat_Z-test P-value (Negative)</t>
  </si>
  <si>
    <t>Class_0_face_Binomial P-value (Positive)</t>
  </si>
  <si>
    <t>Class_0_face_Binomial P-value (Negative)</t>
  </si>
  <si>
    <t>Class_0_face_Z-test P-value (Positive)</t>
  </si>
  <si>
    <t>Class_0_face_Z-test P-value (Negative)</t>
  </si>
  <si>
    <t>Class_1_face_Binomial P-value (Positive)</t>
  </si>
  <si>
    <t>Class_1_face_Binomial P-value (Negative)</t>
  </si>
  <si>
    <t>Class_1_face_Z-test P-value (Positive)</t>
  </si>
  <si>
    <t>Class_1_face_Z-test P-value (Negative)</t>
  </si>
  <si>
    <t>Class_2_face_Binomial P-value (Positive)</t>
  </si>
  <si>
    <t>Class_2_face_Binomial P-value (Negative)</t>
  </si>
  <si>
    <t>Class_2_face_Z-test P-value (Positive)</t>
  </si>
  <si>
    <t>Class_2_face_Z-test P-value (Negative)</t>
  </si>
  <si>
    <t>Class_0_legs_Binomial P-value (Positive)</t>
  </si>
  <si>
    <t>Class_0_legs_Binomial P-value (Negative)</t>
  </si>
  <si>
    <t>Class_0_legs_Z-test P-value (Positive)</t>
  </si>
  <si>
    <t>Class_0_legs_Z-test P-value (Negative)</t>
  </si>
  <si>
    <t>Class_1_legs_Binomial P-value (Positive)</t>
  </si>
  <si>
    <t>Class_1_legs_Binomial P-value (Negative)</t>
  </si>
  <si>
    <t>Class_1_legs_Z-test P-value (Positive)</t>
  </si>
  <si>
    <t>Class_1_legs_Z-test P-value (Negative)</t>
  </si>
  <si>
    <t>Class_2_legs_Binomial P-value (Positive)</t>
  </si>
  <si>
    <t>Class_2_legs_Binomial P-value (Negative)</t>
  </si>
  <si>
    <t>Class_2_legs_Z-test P-value (Positive)</t>
  </si>
  <si>
    <t>Class_2_legs_Z-test P-value (Negative)</t>
  </si>
  <si>
    <t>Row count</t>
  </si>
  <si>
    <t>Sum</t>
  </si>
  <si>
    <t>Purity Index</t>
  </si>
  <si>
    <t>CSI</t>
  </si>
  <si>
    <t>Stem</t>
  </si>
  <si>
    <t xml:space="preserve"> (Conv2d)</t>
  </si>
  <si>
    <t>features.0.1</t>
  </si>
  <si>
    <t xml:space="preserve"> (BatchNorm2d)</t>
  </si>
  <si>
    <t>features.0.2</t>
  </si>
  <si>
    <t xml:space="preserve"> (Hardswish)</t>
  </si>
  <si>
    <t>Inverted Residue1</t>
  </si>
  <si>
    <t>features.1.block.0.1</t>
  </si>
  <si>
    <t>features.1.block.0.2</t>
  </si>
  <si>
    <t xml:space="preserve"> (ReLU)</t>
  </si>
  <si>
    <t>features.1.block.1.1</t>
  </si>
  <si>
    <t>features.1</t>
  </si>
  <si>
    <t xml:space="preserve"> (InvertedResidual)</t>
  </si>
  <si>
    <t>Inverted Residue2</t>
  </si>
  <si>
    <t>features.2.block.0.1</t>
  </si>
  <si>
    <t>features.2.block.0.2</t>
  </si>
  <si>
    <t>features.2.block.1.1</t>
  </si>
  <si>
    <t>features.2.block.1.2</t>
  </si>
  <si>
    <t>features.2.block.2.1</t>
  </si>
  <si>
    <t>features.2</t>
  </si>
  <si>
    <t>Inverted Residue3</t>
  </si>
  <si>
    <t>features.3.block.0.1</t>
  </si>
  <si>
    <t>features.3.block.0.2</t>
  </si>
  <si>
    <t>features.3.block.1.1</t>
  </si>
  <si>
    <t>features.3.block.1.2</t>
  </si>
  <si>
    <t>features.3.block.2.1</t>
  </si>
  <si>
    <t>features.3</t>
  </si>
  <si>
    <t>Inverted Residue4</t>
  </si>
  <si>
    <t>features.4.block.0.1</t>
  </si>
  <si>
    <t>features.4.block.0.2</t>
  </si>
  <si>
    <t>features.4.block.1.1</t>
  </si>
  <si>
    <t>features.4.block.1.2</t>
  </si>
  <si>
    <t>features.4.block.2.avgpool</t>
  </si>
  <si>
    <t xml:space="preserve"> (AdaptiveAvgPool2d)</t>
  </si>
  <si>
    <t>features.4.block.2.activation</t>
  </si>
  <si>
    <t>features.4.block.2.scale_activation</t>
  </si>
  <si>
    <t xml:space="preserve"> (Hardsigmoid)</t>
  </si>
  <si>
    <t>features.4.block.2</t>
  </si>
  <si>
    <t xml:space="preserve"> (SqueezeExcitation)</t>
  </si>
  <si>
    <t>features.4.block.3.1</t>
  </si>
  <si>
    <t>features.4</t>
  </si>
  <si>
    <t>Inverted Residue5</t>
  </si>
  <si>
    <t>features.5.block.0.1</t>
  </si>
  <si>
    <t>features.5.block.0.2</t>
  </si>
  <si>
    <t>features.5.block.1.1</t>
  </si>
  <si>
    <t>features.5.block.1.2</t>
  </si>
  <si>
    <t>features.5.block.2.avgpool</t>
  </si>
  <si>
    <t>features.5.block.2.activation</t>
  </si>
  <si>
    <t>features.5.block.2.scale_activation</t>
  </si>
  <si>
    <t>features.5.block.2</t>
  </si>
  <si>
    <t>features.5.block.3.1</t>
  </si>
  <si>
    <t>features.5</t>
  </si>
  <si>
    <t>Inverted Residue6</t>
  </si>
  <si>
    <t>features.6.block.0.1</t>
  </si>
  <si>
    <t>features.6.block.0.2</t>
  </si>
  <si>
    <t>features.6.block.1.1</t>
  </si>
  <si>
    <t>features.6.block.1.2</t>
  </si>
  <si>
    <t>features.6.block.2.avgpool</t>
  </si>
  <si>
    <t>features.6.block.2.activation</t>
  </si>
  <si>
    <t>features.6.block.2.scale_activation</t>
  </si>
  <si>
    <t>features.6.block.2</t>
  </si>
  <si>
    <t>features.6.block.3.1</t>
  </si>
  <si>
    <t>features.6</t>
  </si>
  <si>
    <t>Inverted Residue7</t>
  </si>
  <si>
    <t>features.7.block.0.1</t>
  </si>
  <si>
    <t>features.7.block.0.2</t>
  </si>
  <si>
    <t>features.7.block.1.1</t>
  </si>
  <si>
    <t>features.7.block.1.2</t>
  </si>
  <si>
    <t>features.7.block.2.1</t>
  </si>
  <si>
    <t>features.7</t>
  </si>
  <si>
    <t>Inverted Residue8</t>
  </si>
  <si>
    <t>features.8.block.0.1</t>
  </si>
  <si>
    <t>features.8.block.0.2</t>
  </si>
  <si>
    <t>features.8.block.1.1</t>
  </si>
  <si>
    <t>features.8.block.1.2</t>
  </si>
  <si>
    <t>features.8.block.2.1</t>
  </si>
  <si>
    <t>features.8</t>
  </si>
  <si>
    <t>Inverted Residue9</t>
  </si>
  <si>
    <t>features.9.block.0.1</t>
  </si>
  <si>
    <t>features.9.block.0.2</t>
  </si>
  <si>
    <t>features.9.block.1.1</t>
  </si>
  <si>
    <t>features.9.block.1.2</t>
  </si>
  <si>
    <t>features.9.block.2.1</t>
  </si>
  <si>
    <t>features.9</t>
  </si>
  <si>
    <t>Inverted Residue10</t>
  </si>
  <si>
    <t>features.10.block.0.1</t>
  </si>
  <si>
    <t>features.10.block.0.2</t>
  </si>
  <si>
    <t>features.10.block.1.1</t>
  </si>
  <si>
    <t>features.10.block.1.2</t>
  </si>
  <si>
    <t>features.10.block.2.1</t>
  </si>
  <si>
    <t>features.10</t>
  </si>
  <si>
    <t>Inverted Residue11</t>
  </si>
  <si>
    <t>features.11.block.0.1</t>
  </si>
  <si>
    <t>features.11.block.0.2</t>
  </si>
  <si>
    <t>features.11.block.1.1</t>
  </si>
  <si>
    <t>features.11.block.1.2</t>
  </si>
  <si>
    <t>features.11.block.2.avgpool</t>
  </si>
  <si>
    <t>features.11.block.2.activation</t>
  </si>
  <si>
    <t>features.11.block.2.scale_activation</t>
  </si>
  <si>
    <t>features.11.block.2</t>
  </si>
  <si>
    <t>features.11.block.3.1</t>
  </si>
  <si>
    <t>features.11</t>
  </si>
  <si>
    <t>Inverted Residue12</t>
  </si>
  <si>
    <t>features.12.block.0.1</t>
  </si>
  <si>
    <t>features.12.block.0.2</t>
  </si>
  <si>
    <t>features.12.block.1.1</t>
  </si>
  <si>
    <t>features.12.block.1.2</t>
  </si>
  <si>
    <t>features.12.block.2.avgpool</t>
  </si>
  <si>
    <t>features.12.block.2.activation</t>
  </si>
  <si>
    <t>features.12.block.2.scale_activation</t>
  </si>
  <si>
    <t>features.12.block.2</t>
  </si>
  <si>
    <t>features.12.block.3.1</t>
  </si>
  <si>
    <t>features.12</t>
  </si>
  <si>
    <t>Inverted Residue13</t>
  </si>
  <si>
    <t>features.13.block.0.1</t>
  </si>
  <si>
    <t>features.13.block.0.2</t>
  </si>
  <si>
    <t>features.13.block.1.1</t>
  </si>
  <si>
    <t>features.13.block.1.2</t>
  </si>
  <si>
    <t>features.13.block.2.avgpool</t>
  </si>
  <si>
    <t>features.13.block.2.activation</t>
  </si>
  <si>
    <t>features.13.block.2.scale_activation</t>
  </si>
  <si>
    <t>features.13.block.2</t>
  </si>
  <si>
    <t>features.13.block.3.1</t>
  </si>
  <si>
    <t>features.13</t>
  </si>
  <si>
    <t>Inverted Residue14</t>
  </si>
  <si>
    <t>features.14.block.0.1</t>
  </si>
  <si>
    <t>features.14.block.0.2</t>
  </si>
  <si>
    <t>features.14.block.1.1</t>
  </si>
  <si>
    <t>features.14.block.1.2</t>
  </si>
  <si>
    <t>features.14.block.2.avgpool</t>
  </si>
  <si>
    <t>features.14.block.2.activation</t>
  </si>
  <si>
    <t>features.14.block.2.scale_activation</t>
  </si>
  <si>
    <t>features.14.block.2</t>
  </si>
  <si>
    <t>features.14.block.3.1</t>
  </si>
  <si>
    <t>features.14</t>
  </si>
  <si>
    <t>Inverted Residue15</t>
  </si>
  <si>
    <t>features.15.block.0.1</t>
  </si>
  <si>
    <t>features.15.block.0.2</t>
  </si>
  <si>
    <t>features.15.block.1.1</t>
  </si>
  <si>
    <t>features.15.block.1.2</t>
  </si>
  <si>
    <t>features.15.block.2.avgpool</t>
  </si>
  <si>
    <t>features.15.block.2.activation</t>
  </si>
  <si>
    <t>features.15.block.2.scale_activation</t>
  </si>
  <si>
    <t>features.15.block.2</t>
  </si>
  <si>
    <t>features.15.block.3.1</t>
  </si>
  <si>
    <t>features.15</t>
  </si>
  <si>
    <t>Inverted Residue16</t>
  </si>
  <si>
    <t>features.16.1</t>
  </si>
  <si>
    <t>features.16.2</t>
  </si>
  <si>
    <t>Averagepool</t>
  </si>
  <si>
    <t>avgpool</t>
  </si>
  <si>
    <t xml:space="preserve"> (Linear)</t>
  </si>
  <si>
    <t>classifier.0</t>
  </si>
  <si>
    <t>classifier.1</t>
  </si>
  <si>
    <t xml:space="preserve"> (Dropout)</t>
  </si>
  <si>
    <t>classifier.2</t>
  </si>
  <si>
    <t>classifier.3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</si>
</sst>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CCFF"/>
        <bgColor indexed="64"/>
      </patternFill>
    </fill>
    <fill>
      <patternFill patternType="solid">
        <fgColor rgb="FFFFFFCC"/>
        <bgColor indexed="64"/>
      </patternFill>
    </fill>
    <fill>
      <patternFill patternType="solid">
        <fgColor rgb="FF66FFCC"/>
        <bgColor indexed="64"/>
      </patternFill>
    </fill>
    <fill>
      <patternFill patternType="solid">
        <fgColor theme="8" tint="0.79998168889431442"/>
        <bgColor indexed="64"/>
      </patternFill>
    </fill>
    <fill>
      <patternFill patternType="solid">
        <fgColor rgb="FF66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1" fillId="0" borderId="1" xfId="0" applyFont="1" applyBorder="1" applyAlignment="1">
      <alignment horizontal="left"/>
    </xf>
    <xf numFmtId="0" fontId="0" fillId="0" borderId="0" xfId="0" applyAlignment="1">
      <alignment horizontal="left"/>
    </xf>
    <xf numFmtId="0" fontId="0" fillId="0" borderId="0" xfId="0" applyAlignment="1">
      <alignment horizontal="center"/>
    </xf>
    <xf numFmtId="0" fontId="1" fillId="2" borderId="1" xfId="0" applyFont="1" applyFill="1" applyBorder="1" applyAlignment="1">
      <alignment horizontal="left"/>
    </xf>
    <xf numFmtId="0" fontId="1" fillId="3" borderId="1" xfId="0" applyFont="1" applyFill="1" applyBorder="1" applyAlignment="1">
      <alignment horizontal="left"/>
    </xf>
    <xf numFmtId="0" fontId="0" fillId="4" borderId="0" xfId="0" applyFill="1" applyAlignment="1">
      <alignment horizontal="left"/>
    </xf>
    <xf numFmtId="0" fontId="0" fillId="4" borderId="0" xfId="0" applyFill="1"/>
    <xf numFmtId="0" fontId="0" fillId="5" borderId="0" xfId="0" applyFill="1" applyAlignment="1">
      <alignment horizontal="left"/>
    </xf>
    <xf numFmtId="0" fontId="0" fillId="5" borderId="0" xfId="0" applyFill="1"/>
    <xf numFmtId="0" fontId="0" fillId="6" borderId="0" xfId="0" applyFill="1" applyAlignment="1">
      <alignment horizontal="left"/>
    </xf>
    <xf numFmtId="0" fontId="0" fillId="6" borderId="0" xfId="0" applyFill="1"/>
    <xf numFmtId="0" fontId="0" fillId="7" borderId="0" xfId="0" applyFill="1" applyAlignment="1">
      <alignment horizontal="left"/>
    </xf>
    <xf numFmtId="0" fontId="0" fillId="7" borderId="0" xfId="0" applyFill="1"/>
    <xf numFmtId="0" fontId="0" fillId="8" borderId="0" xfId="0" applyFill="1" applyAlignment="1">
      <alignment horizontal="left"/>
    </xf>
    <xf numFmtId="0" fontId="0" fillId="8" borderId="0" xfId="0" applyFill="1"/>
    <xf numFmtId="0" fontId="0" fillId="9" borderId="0" xfId="0" applyFill="1" applyAlignment="1">
      <alignment horizontal="left"/>
    </xf>
    <xf numFmtId="0" fontId="0" fillId="9" borderId="0" xfId="0" applyFill="1"/>
    <xf numFmtId="0" fontId="0" fillId="10" borderId="0" xfId="0" applyFill="1" applyAlignment="1">
      <alignment horizontal="left"/>
    </xf>
    <xf numFmtId="0" fontId="0" fillId="10" borderId="0" xfId="0" applyFill="1"/>
    <xf numFmtId="0" fontId="0" fillId="11" borderId="0" xfId="0" applyFill="1" applyAlignment="1">
      <alignment horizontal="left"/>
    </xf>
    <xf numFmtId="0" fontId="0" fillId="11" borderId="0" xfId="0" applyFill="1"/>
    <xf numFmtId="0" fontId="0" fillId="12" borderId="0" xfId="0" applyFill="1" applyAlignment="1">
      <alignment horizontal="left"/>
    </xf>
    <xf numFmtId="0" fontId="0" fillId="12" borderId="0" xfId="0" applyFill="1"/>
    <xf numFmtId="0" fontId="0" fillId="13" borderId="0" xfId="0" applyFill="1" applyAlignment="1">
      <alignment horizontal="left"/>
    </xf>
    <xf numFmtId="0" fontId="0" fillId="13" borderId="0" xfId="0" applyFill="1"/>
    <xf numFmtId="0" fontId="0" fillId="14" borderId="0" xfId="0" applyFill="1" applyAlignment="1">
      <alignment horizontal="left"/>
    </xf>
    <xf numFmtId="0" fontId="0" fillId="14" borderId="0" xfId="0" applyFill="1"/>
    <xf numFmtId="0" fontId="0" fillId="15" borderId="0" xfId="0" applyFill="1" applyAlignment="1">
      <alignment horizontal="left"/>
    </xf>
    <xf numFmtId="0" fontId="0" fillId="15" borderId="0" xfId="0" applyFill="1"/>
    <xf numFmtId="0" fontId="0" fillId="16" borderId="0" xfId="0" applyFill="1" applyAlignment="1">
      <alignment horizontal="left"/>
    </xf>
    <xf numFmtId="0" fontId="0" fillId="16" borderId="0" xfId="0" applyFill="1"/>
    <xf numFmtId="0" fontId="0" fillId="17" borderId="0" xfId="0" applyFill="1" applyAlignment="1">
      <alignment horizontal="left"/>
    </xf>
    <xf numFmtId="0" fontId="0" fillId="17" borderId="0" xfId="0" applyFill="1"/>
    <xf numFmtId="0" fontId="1" fillId="0" borderId="1" xfId="0" applyFont="1" applyBorder="1" applyAlignment="1">
      <alignment horizontal="left" wrapText="1"/>
    </xf>
    <xf numFmtId="0" fontId="0" fillId="4" borderId="0" xfId="0" applyFill="1" applyAlignment="1">
      <alignment horizontal="left" wrapText="1"/>
    </xf>
    <xf numFmtId="0" fontId="0" fillId="5" borderId="0" xfId="0" applyFill="1" applyAlignment="1">
      <alignment horizontal="left" wrapText="1"/>
    </xf>
    <xf numFmtId="0" fontId="0" fillId="6" borderId="0" xfId="0" applyFill="1" applyAlignment="1">
      <alignment horizontal="left" wrapText="1"/>
    </xf>
    <xf numFmtId="0" fontId="0" fillId="2" borderId="0" xfId="0" applyFill="1" applyAlignment="1">
      <alignment horizontal="left" wrapText="1"/>
    </xf>
    <xf numFmtId="0" fontId="0" fillId="7" borderId="0" xfId="0" applyFill="1" applyAlignment="1">
      <alignment horizontal="left" wrapText="1"/>
    </xf>
    <xf numFmtId="0" fontId="0" fillId="8" borderId="0" xfId="0" applyFill="1" applyAlignment="1">
      <alignment horizontal="left" wrapText="1"/>
    </xf>
    <xf numFmtId="0" fontId="0" fillId="9" borderId="0" xfId="0" applyFill="1" applyAlignment="1">
      <alignment horizontal="left" wrapText="1"/>
    </xf>
    <xf numFmtId="0" fontId="0" fillId="10" borderId="0" xfId="0" applyFill="1" applyAlignment="1">
      <alignment horizontal="left" wrapText="1"/>
    </xf>
    <xf numFmtId="0" fontId="0" fillId="11" borderId="0" xfId="0" applyFill="1" applyAlignment="1">
      <alignment horizontal="left" wrapText="1"/>
    </xf>
    <xf numFmtId="0" fontId="0" fillId="12" borderId="0" xfId="0" applyFill="1" applyAlignment="1">
      <alignment horizontal="left" wrapText="1"/>
    </xf>
    <xf numFmtId="0" fontId="0" fillId="13" borderId="0" xfId="0" applyFill="1" applyAlignment="1">
      <alignment horizontal="left" wrapText="1"/>
    </xf>
    <xf numFmtId="0" fontId="2" fillId="2" borderId="0" xfId="0" applyFont="1" applyFill="1" applyAlignment="1">
      <alignment horizontal="left" wrapText="1"/>
    </xf>
    <xf numFmtId="0" fontId="0" fillId="14" borderId="0" xfId="0" applyFill="1" applyAlignment="1">
      <alignment horizontal="left" wrapText="1"/>
    </xf>
    <xf numFmtId="0" fontId="0" fillId="15" borderId="0" xfId="0" applyFill="1" applyAlignment="1">
      <alignment horizontal="left" wrapText="1"/>
    </xf>
    <xf numFmtId="0" fontId="0" fillId="16" borderId="0" xfId="0" applyFill="1" applyAlignment="1">
      <alignment horizontal="left" wrapText="1"/>
    </xf>
    <xf numFmtId="0" fontId="0" fillId="17" borderId="0" xfId="0" applyFill="1" applyAlignment="1">
      <alignment horizontal="left" wrapText="1"/>
    </xf>
    <xf numFmtId="0" fontId="0" fillId="0" borderId="0" xfId="0" applyAlignment="1">
      <alignment wrapText="1"/>
    </xf>
  </cellXfs>
  <cellStyles count="1">
    <cellStyle name="Normal" xfId="0" builtinId="0"/>
  </cellStyles>
  <dxfs count="0"/>
  <tableStyles count="0" defaultTableStyle="TableStyleMedium9" defaultPivotStyle="PivotStyleLight16"/>
  <colors>
    <mruColors>
      <color rgb="FF66FFFF"/>
      <color rgb="FF66FFCC"/>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336</v>
      </c>
      <c r="C2" s="2">
        <v>368</v>
      </c>
      <c r="D2" s="2">
        <v>0.47727272727272729</v>
      </c>
      <c r="E2" s="2">
        <v>0.8932160997258477</v>
      </c>
      <c r="F2" s="2">
        <v>0.12132136960569349</v>
      </c>
      <c r="G2" s="2">
        <v>0.24264273921138699</v>
      </c>
      <c r="H2" s="2">
        <v>0.88610000300588521</v>
      </c>
      <c r="I2" s="2">
        <v>0.1138999969941147</v>
      </c>
      <c r="J2" s="2">
        <v>0.22779999398822959</v>
      </c>
      <c r="K2" s="2" t="s">
        <v>12</v>
      </c>
    </row>
    <row r="3" spans="1:11" x14ac:dyDescent="0.35">
      <c r="A3" s="2" t="s">
        <v>13</v>
      </c>
      <c r="B3" s="2">
        <v>346</v>
      </c>
      <c r="C3" s="2">
        <v>358</v>
      </c>
      <c r="D3" s="2">
        <v>0.49147727272727271</v>
      </c>
      <c r="E3" s="2">
        <v>0.68790182259992472</v>
      </c>
      <c r="F3" s="2">
        <v>0.33924030681285811</v>
      </c>
      <c r="G3" s="2">
        <v>0.6784806136257161</v>
      </c>
      <c r="H3" s="2">
        <v>0.67446168296108322</v>
      </c>
      <c r="I3" s="2">
        <v>0.32553831703891678</v>
      </c>
      <c r="J3" s="2">
        <v>0.65107663407783356</v>
      </c>
      <c r="K3" s="2" t="s">
        <v>12</v>
      </c>
    </row>
    <row r="4" spans="1:11" x14ac:dyDescent="0.35">
      <c r="A4" s="2" t="s">
        <v>14</v>
      </c>
      <c r="B4" s="2">
        <v>305</v>
      </c>
      <c r="C4" s="2">
        <v>399</v>
      </c>
      <c r="D4" s="2">
        <v>0.43323863636363641</v>
      </c>
      <c r="E4" s="2">
        <v>0.99983177687150404</v>
      </c>
      <c r="F4" s="2">
        <v>2.2423766932352069E-4</v>
      </c>
      <c r="G4" s="2">
        <v>4.4847533864704139E-4</v>
      </c>
      <c r="H4" s="2">
        <v>0.99980201728178342</v>
      </c>
      <c r="I4" s="2">
        <v>1.979827182166197E-4</v>
      </c>
      <c r="J4" s="2">
        <v>3.9596543643316551E-4</v>
      </c>
      <c r="K4" s="2" t="s">
        <v>2</v>
      </c>
    </row>
    <row r="5" spans="1:11" x14ac:dyDescent="0.35">
      <c r="A5" s="2" t="s">
        <v>15</v>
      </c>
      <c r="B5" s="2">
        <v>380</v>
      </c>
      <c r="C5" s="2">
        <v>324</v>
      </c>
      <c r="D5" s="2">
        <v>0.53977272727272729</v>
      </c>
      <c r="E5" s="2">
        <v>1.9053548193704001E-2</v>
      </c>
      <c r="F5" s="2">
        <v>0.98419030824746367</v>
      </c>
      <c r="G5" s="2">
        <v>3.8107096387408002E-2</v>
      </c>
      <c r="H5" s="2">
        <v>1.7404239405933501E-2</v>
      </c>
      <c r="I5" s="2">
        <v>0.9825957605940665</v>
      </c>
      <c r="J5" s="2">
        <v>3.4808478811866987E-2</v>
      </c>
      <c r="K5" s="2" t="s">
        <v>1</v>
      </c>
    </row>
    <row r="6" spans="1:11" x14ac:dyDescent="0.35">
      <c r="A6" s="2" t="s">
        <v>16</v>
      </c>
      <c r="B6" s="2">
        <v>377</v>
      </c>
      <c r="C6" s="2">
        <v>327</v>
      </c>
      <c r="D6" s="2">
        <v>0.53551136363636365</v>
      </c>
      <c r="E6" s="2">
        <v>3.2352956527301337E-2</v>
      </c>
      <c r="F6" s="2">
        <v>0.9727441946983314</v>
      </c>
      <c r="G6" s="2">
        <v>6.4705913054602687E-2</v>
      </c>
      <c r="H6" s="2">
        <v>2.975234282021488E-2</v>
      </c>
      <c r="I6" s="2">
        <v>0.97024765717978512</v>
      </c>
      <c r="J6" s="2">
        <v>5.9504685640429773E-2</v>
      </c>
      <c r="K6" s="2" t="s">
        <v>1</v>
      </c>
    </row>
    <row r="7" spans="1:11" x14ac:dyDescent="0.35">
      <c r="A7" s="2" t="s">
        <v>17</v>
      </c>
      <c r="B7" s="2">
        <v>422</v>
      </c>
      <c r="C7" s="2">
        <v>282</v>
      </c>
      <c r="D7" s="2">
        <v>0.59943181818181823</v>
      </c>
      <c r="E7" s="2">
        <v>7.3853968232725039E-8</v>
      </c>
      <c r="F7" s="2">
        <v>0.99999995130455599</v>
      </c>
      <c r="G7" s="2">
        <v>1.477079364654501E-7</v>
      </c>
      <c r="H7" s="2">
        <v>6.5855741970821668E-8</v>
      </c>
      <c r="I7" s="2">
        <v>0.99999993414425803</v>
      </c>
      <c r="J7" s="2">
        <v>1.3171148394164331E-7</v>
      </c>
      <c r="K7" s="2" t="s">
        <v>1</v>
      </c>
    </row>
    <row r="8" spans="1:11" x14ac:dyDescent="0.35">
      <c r="A8" s="2" t="s">
        <v>18</v>
      </c>
      <c r="B8" s="2">
        <v>340</v>
      </c>
      <c r="C8" s="2">
        <v>364</v>
      </c>
      <c r="D8" s="2">
        <v>0.48295454545454553</v>
      </c>
      <c r="E8" s="2">
        <v>0.82695748928708979</v>
      </c>
      <c r="F8" s="2">
        <v>0.19302048399242741</v>
      </c>
      <c r="G8" s="2">
        <v>0.38604096798485482</v>
      </c>
      <c r="H8" s="2">
        <v>0.8171438518592431</v>
      </c>
      <c r="I8" s="2">
        <v>0.18285614814075679</v>
      </c>
      <c r="J8" s="2">
        <v>0.3657122962815138</v>
      </c>
      <c r="K8" s="2" t="s">
        <v>12</v>
      </c>
    </row>
    <row r="9" spans="1:11" x14ac:dyDescent="0.35">
      <c r="A9" s="2" t="s">
        <v>19</v>
      </c>
      <c r="B9" s="2">
        <v>393</v>
      </c>
      <c r="C9" s="2">
        <v>311</v>
      </c>
      <c r="D9" s="2">
        <v>0.55823863636363635</v>
      </c>
      <c r="E9" s="2">
        <v>1.122218591755879E-3</v>
      </c>
      <c r="F9" s="2">
        <v>0.99913027169606761</v>
      </c>
      <c r="G9" s="2">
        <v>2.244437183511758E-3</v>
      </c>
      <c r="H9" s="2">
        <v>9.9912835415094658E-4</v>
      </c>
      <c r="I9" s="2">
        <v>0.99900087164584905</v>
      </c>
      <c r="J9" s="2">
        <v>1.9982567083018932E-3</v>
      </c>
      <c r="K9" s="2" t="s">
        <v>1</v>
      </c>
    </row>
    <row r="10" spans="1:11" x14ac:dyDescent="0.35">
      <c r="A10" s="2" t="s">
        <v>20</v>
      </c>
      <c r="B10" s="2">
        <v>335</v>
      </c>
      <c r="C10" s="2">
        <v>369</v>
      </c>
      <c r="D10" s="2">
        <v>0.47585227272727271</v>
      </c>
      <c r="E10" s="2">
        <v>0.90645347017408007</v>
      </c>
      <c r="F10" s="2">
        <v>0.1067839002741523</v>
      </c>
      <c r="G10" s="2">
        <v>0.21356780054830449</v>
      </c>
      <c r="H10" s="2">
        <v>0.89997747274533557</v>
      </c>
      <c r="I10" s="2">
        <v>0.1000225272546645</v>
      </c>
      <c r="J10" s="2">
        <v>0.20004505450932891</v>
      </c>
      <c r="K10" s="2" t="s">
        <v>12</v>
      </c>
    </row>
    <row r="11" spans="1:11" x14ac:dyDescent="0.35">
      <c r="A11" s="2" t="s">
        <v>21</v>
      </c>
      <c r="B11" s="2">
        <v>345</v>
      </c>
      <c r="C11" s="2">
        <v>359</v>
      </c>
      <c r="D11" s="2">
        <v>0.49005681818181818</v>
      </c>
      <c r="E11" s="2">
        <v>0.71406108938773216</v>
      </c>
      <c r="F11" s="2">
        <v>0.31209817740007528</v>
      </c>
      <c r="G11" s="2">
        <v>0.62419635480015057</v>
      </c>
      <c r="H11" s="2">
        <v>0.70112707214848013</v>
      </c>
      <c r="I11" s="2">
        <v>0.29887292785151992</v>
      </c>
      <c r="J11" s="2">
        <v>0.59774585570303973</v>
      </c>
      <c r="K11" s="2" t="s">
        <v>12</v>
      </c>
    </row>
    <row r="12" spans="1:11" x14ac:dyDescent="0.35">
      <c r="A12" s="2" t="s">
        <v>22</v>
      </c>
      <c r="B12" s="2">
        <v>428</v>
      </c>
      <c r="C12" s="2">
        <v>276</v>
      </c>
      <c r="D12" s="2">
        <v>0.60795454545454541</v>
      </c>
      <c r="E12" s="2">
        <v>5.5654150471749074E-9</v>
      </c>
      <c r="F12" s="2">
        <v>0.99999999645551363</v>
      </c>
      <c r="G12" s="2">
        <v>1.113083009434981E-8</v>
      </c>
      <c r="H12" s="2">
        <v>5.0596956624460176E-9</v>
      </c>
      <c r="I12" s="2">
        <v>0.99999999494030434</v>
      </c>
      <c r="J12" s="2">
        <v>1.011939132489204E-8</v>
      </c>
      <c r="K12" s="2" t="s">
        <v>1</v>
      </c>
    </row>
    <row r="13" spans="1:11" x14ac:dyDescent="0.35">
      <c r="A13" s="2" t="s">
        <v>23</v>
      </c>
      <c r="B13" s="2">
        <v>396</v>
      </c>
      <c r="C13" s="2">
        <v>308</v>
      </c>
      <c r="D13" s="2">
        <v>0.5625</v>
      </c>
      <c r="E13" s="2">
        <v>5.140143795173258E-4</v>
      </c>
      <c r="F13" s="2">
        <v>0.99960803532611964</v>
      </c>
      <c r="G13" s="2">
        <v>1.028028759034652E-3</v>
      </c>
      <c r="H13" s="2">
        <v>4.555594385768913E-4</v>
      </c>
      <c r="I13" s="2">
        <v>0.99954444056142311</v>
      </c>
      <c r="J13" s="2">
        <v>9.1111887715378259E-4</v>
      </c>
      <c r="K13" s="2" t="s">
        <v>1</v>
      </c>
    </row>
    <row r="14" spans="1:11" x14ac:dyDescent="0.35">
      <c r="A14" s="2" t="s">
        <v>24</v>
      </c>
      <c r="B14" s="2">
        <v>276</v>
      </c>
      <c r="C14" s="2">
        <v>428</v>
      </c>
      <c r="D14" s="2">
        <v>0.39204545454545447</v>
      </c>
      <c r="E14" s="2">
        <v>0.99999999645551363</v>
      </c>
      <c r="F14" s="2">
        <v>5.5654150471749074E-9</v>
      </c>
      <c r="G14" s="2">
        <v>1.113083009434981E-8</v>
      </c>
      <c r="H14" s="2">
        <v>0.99999999494030434</v>
      </c>
      <c r="I14" s="2">
        <v>5.0596957075444564E-9</v>
      </c>
      <c r="J14" s="2">
        <v>1.011939132489204E-8</v>
      </c>
      <c r="K14" s="2" t="s">
        <v>2</v>
      </c>
    </row>
    <row r="15" spans="1:11" x14ac:dyDescent="0.35">
      <c r="A15" s="2" t="s">
        <v>25</v>
      </c>
      <c r="B15" s="2">
        <v>452</v>
      </c>
      <c r="C15" s="2">
        <v>252</v>
      </c>
      <c r="D15" s="2">
        <v>0.64204545454545459</v>
      </c>
      <c r="E15" s="2">
        <v>2.1659689066834469E-14</v>
      </c>
      <c r="F15" s="2">
        <v>0.99999999999998801</v>
      </c>
      <c r="G15" s="2">
        <v>4.3319378133668937E-14</v>
      </c>
      <c r="H15" s="2">
        <v>2.3869795029440869E-14</v>
      </c>
      <c r="I15" s="2">
        <v>0.99999999999997613</v>
      </c>
      <c r="J15" s="2">
        <v>4.7739590058881731E-14</v>
      </c>
      <c r="K15" s="2" t="s">
        <v>1</v>
      </c>
    </row>
    <row r="16" spans="1:11" x14ac:dyDescent="0.35">
      <c r="A16" s="2" t="s">
        <v>26</v>
      </c>
      <c r="B16" s="2">
        <v>332</v>
      </c>
      <c r="C16" s="2">
        <v>372</v>
      </c>
      <c r="D16" s="2">
        <v>0.47159090909090912</v>
      </c>
      <c r="E16" s="2">
        <v>0.93888725506558557</v>
      </c>
      <c r="F16" s="2">
        <v>7.0771444478710852E-2</v>
      </c>
      <c r="G16" s="2">
        <v>0.1415428889574217</v>
      </c>
      <c r="H16" s="2">
        <v>0.93416599198859274</v>
      </c>
      <c r="I16" s="2">
        <v>6.5834008011407277E-2</v>
      </c>
      <c r="J16" s="2">
        <v>0.1316680160228145</v>
      </c>
      <c r="K16" s="2" t="s">
        <v>12</v>
      </c>
    </row>
    <row r="17" spans="1:11" x14ac:dyDescent="0.35">
      <c r="A17" s="2" t="s">
        <v>27</v>
      </c>
      <c r="B17" s="2">
        <v>300</v>
      </c>
      <c r="C17" s="2">
        <v>404</v>
      </c>
      <c r="D17" s="2">
        <v>0.42613636363636359</v>
      </c>
      <c r="E17" s="2">
        <v>0.99996318795309103</v>
      </c>
      <c r="F17" s="2">
        <v>5.0438205584933382E-5</v>
      </c>
      <c r="G17" s="2">
        <v>1.008764111698668E-4</v>
      </c>
      <c r="H17" s="2">
        <v>0.99995566070850206</v>
      </c>
      <c r="I17" s="2">
        <v>4.4339291497947962E-5</v>
      </c>
      <c r="J17" s="2">
        <v>8.8678582995882493E-5</v>
      </c>
      <c r="K17" s="2" t="s">
        <v>2</v>
      </c>
    </row>
    <row r="18" spans="1:11" x14ac:dyDescent="0.35">
      <c r="A18" s="2" t="s">
        <v>28</v>
      </c>
      <c r="B18" s="2">
        <v>302</v>
      </c>
      <c r="C18" s="2">
        <v>402</v>
      </c>
      <c r="D18" s="2">
        <v>0.42897727272727271</v>
      </c>
      <c r="E18" s="2">
        <v>0.99993127286383343</v>
      </c>
      <c r="F18" s="2">
        <v>9.3132563399741616E-5</v>
      </c>
      <c r="G18" s="2">
        <v>1.8626512679948321E-4</v>
      </c>
      <c r="H18" s="2">
        <v>0.99991801303050887</v>
      </c>
      <c r="I18" s="2">
        <v>8.1986969491158737E-5</v>
      </c>
      <c r="J18" s="2">
        <v>1.6397393898226481E-4</v>
      </c>
      <c r="K18" s="2" t="s">
        <v>2</v>
      </c>
    </row>
    <row r="19" spans="1:11" x14ac:dyDescent="0.35">
      <c r="A19" s="2" t="s">
        <v>29</v>
      </c>
      <c r="B19" s="2">
        <v>248</v>
      </c>
      <c r="C19" s="2">
        <v>456</v>
      </c>
      <c r="D19" s="2">
        <v>0.35227272727272729</v>
      </c>
      <c r="E19" s="2">
        <v>0.999999999999999</v>
      </c>
      <c r="F19" s="2">
        <v>1.9408233207544449E-15</v>
      </c>
      <c r="G19" s="2">
        <v>3.8816466415088891E-15</v>
      </c>
      <c r="H19" s="2">
        <v>0.99999999999999778</v>
      </c>
      <c r="I19" s="2">
        <v>2.2654156712888781E-15</v>
      </c>
      <c r="J19" s="2">
        <v>4.4408920985006262E-15</v>
      </c>
      <c r="K19" s="2" t="s">
        <v>2</v>
      </c>
    </row>
    <row r="20" spans="1:11" x14ac:dyDescent="0.35">
      <c r="A20" s="2" t="s">
        <v>30</v>
      </c>
      <c r="B20" s="2">
        <v>258</v>
      </c>
      <c r="C20" s="2">
        <v>446</v>
      </c>
      <c r="D20" s="2">
        <v>0.36647727272727271</v>
      </c>
      <c r="E20" s="2">
        <v>0.99999999999961464</v>
      </c>
      <c r="F20" s="2">
        <v>6.7296703835153783E-13</v>
      </c>
      <c r="G20" s="2">
        <v>1.3459340767030761E-12</v>
      </c>
      <c r="H20" s="2">
        <v>0.99999999999930733</v>
      </c>
      <c r="I20" s="2">
        <v>6.9263282631854555E-13</v>
      </c>
      <c r="J20" s="2">
        <v>1.3853362901272699E-12</v>
      </c>
      <c r="K20" s="2" t="s">
        <v>2</v>
      </c>
    </row>
    <row r="21" spans="1:11" x14ac:dyDescent="0.35">
      <c r="A21" s="2" t="s">
        <v>31</v>
      </c>
      <c r="B21" s="2">
        <v>234</v>
      </c>
      <c r="C21" s="2">
        <v>470</v>
      </c>
      <c r="D21" s="2">
        <v>0.33238636363636359</v>
      </c>
      <c r="E21" s="2">
        <v>1</v>
      </c>
      <c r="F21" s="2">
        <v>1.918859589311014E-19</v>
      </c>
      <c r="G21" s="2">
        <v>3.837719178622028E-19</v>
      </c>
      <c r="H21" s="2">
        <v>1</v>
      </c>
      <c r="I21" s="2">
        <v>2.9319095086080768E-19</v>
      </c>
      <c r="J21" s="2">
        <v>0</v>
      </c>
      <c r="K21" s="2" t="s">
        <v>2</v>
      </c>
    </row>
    <row r="22" spans="1:11" x14ac:dyDescent="0.35">
      <c r="A22" s="2" t="s">
        <v>32</v>
      </c>
      <c r="B22" s="2">
        <v>287</v>
      </c>
      <c r="C22" s="2">
        <v>417</v>
      </c>
      <c r="D22" s="2">
        <v>0.40767045454545447</v>
      </c>
      <c r="E22" s="2">
        <v>0.9999996309939132</v>
      </c>
      <c r="F22" s="2">
        <v>5.4387867517963772E-7</v>
      </c>
      <c r="G22" s="2">
        <v>1.087757350359275E-6</v>
      </c>
      <c r="H22" s="2">
        <v>0.99999951974083279</v>
      </c>
      <c r="I22" s="2">
        <v>4.8025916720629359E-7</v>
      </c>
      <c r="J22" s="2">
        <v>9.6051833442523105E-7</v>
      </c>
      <c r="K22" s="2" t="s">
        <v>2</v>
      </c>
    </row>
    <row r="23" spans="1:11" x14ac:dyDescent="0.35">
      <c r="A23" s="2" t="s">
        <v>33</v>
      </c>
      <c r="B23" s="2">
        <v>151</v>
      </c>
      <c r="C23" s="2">
        <v>553</v>
      </c>
      <c r="D23" s="2">
        <v>0.21448863636363641</v>
      </c>
      <c r="E23" s="2">
        <v>1</v>
      </c>
      <c r="F23" s="2">
        <v>5.1856979116479421E-55</v>
      </c>
      <c r="G23" s="2">
        <v>1.037139582329588E-54</v>
      </c>
      <c r="H23" s="2">
        <v>1</v>
      </c>
      <c r="I23" s="2">
        <v>3.7342438086888599E-52</v>
      </c>
      <c r="J23" s="2">
        <v>0</v>
      </c>
      <c r="K23" s="2" t="s">
        <v>2</v>
      </c>
    </row>
    <row r="24" spans="1:11" x14ac:dyDescent="0.35">
      <c r="A24" s="2" t="s">
        <v>34</v>
      </c>
      <c r="B24" s="2">
        <v>109</v>
      </c>
      <c r="C24" s="2">
        <v>595</v>
      </c>
      <c r="D24" s="2">
        <v>0.15482954545454539</v>
      </c>
      <c r="E24" s="2">
        <v>1</v>
      </c>
      <c r="F24" s="2">
        <v>6.5456300674276173E-83</v>
      </c>
      <c r="G24" s="2">
        <v>1.309126013485523E-82</v>
      </c>
      <c r="H24" s="2">
        <v>1</v>
      </c>
      <c r="I24" s="2">
        <v>3.0383797633722828E-75</v>
      </c>
      <c r="J24" s="2">
        <v>0</v>
      </c>
      <c r="K24" s="2" t="s">
        <v>2</v>
      </c>
    </row>
    <row r="25" spans="1:11" x14ac:dyDescent="0.35">
      <c r="A25" s="2" t="s">
        <v>35</v>
      </c>
      <c r="B25" s="2">
        <v>269</v>
      </c>
      <c r="C25" s="2">
        <v>435</v>
      </c>
      <c r="D25" s="2">
        <v>0.38210227272727271</v>
      </c>
      <c r="E25" s="2">
        <v>0.99999999987208177</v>
      </c>
      <c r="F25" s="2">
        <v>2.0924884743097259E-10</v>
      </c>
      <c r="G25" s="2">
        <v>4.1849769486194508E-10</v>
      </c>
      <c r="H25" s="2">
        <v>0.99999999980296728</v>
      </c>
      <c r="I25" s="2">
        <v>1.9703275787215481E-10</v>
      </c>
      <c r="J25" s="2">
        <v>3.9406544694031709E-10</v>
      </c>
      <c r="K25" s="2" t="s">
        <v>2</v>
      </c>
    </row>
    <row r="26" spans="1:11" x14ac:dyDescent="0.35">
      <c r="A26" s="2" t="s">
        <v>36</v>
      </c>
      <c r="B26" s="2">
        <v>487</v>
      </c>
      <c r="C26" s="2">
        <v>217</v>
      </c>
      <c r="D26" s="2">
        <v>0.69176136363636365</v>
      </c>
      <c r="E26" s="2">
        <v>4.9411160066861492E-25</v>
      </c>
      <c r="F26" s="2">
        <v>1</v>
      </c>
      <c r="G26" s="2">
        <v>9.8822320133722983E-25</v>
      </c>
      <c r="H26" s="2">
        <v>0</v>
      </c>
      <c r="I26" s="2">
        <v>1</v>
      </c>
      <c r="J26" s="2">
        <v>0</v>
      </c>
      <c r="K26" s="2" t="s">
        <v>1</v>
      </c>
    </row>
    <row r="27" spans="1:11" x14ac:dyDescent="0.35">
      <c r="A27" s="2" t="s">
        <v>37</v>
      </c>
      <c r="B27" s="2">
        <v>460</v>
      </c>
      <c r="C27" s="2">
        <v>244</v>
      </c>
      <c r="D27" s="2">
        <v>0.65340909090909094</v>
      </c>
      <c r="E27" s="2">
        <v>1.576497202618777E-16</v>
      </c>
      <c r="F27" s="2">
        <v>0.99999999999999989</v>
      </c>
      <c r="G27" s="2">
        <v>3.1529944052375539E-16</v>
      </c>
      <c r="H27" s="2">
        <v>2.2204460492503131E-16</v>
      </c>
      <c r="I27" s="2">
        <v>0.99999999999999978</v>
      </c>
      <c r="J27" s="2">
        <v>4.4408920985006262E-16</v>
      </c>
      <c r="K27" s="2" t="s">
        <v>1</v>
      </c>
    </row>
    <row r="28" spans="1:11" x14ac:dyDescent="0.35">
      <c r="A28" s="2" t="s">
        <v>38</v>
      </c>
      <c r="B28" s="2">
        <v>467</v>
      </c>
      <c r="C28" s="2">
        <v>237</v>
      </c>
      <c r="D28" s="2">
        <v>0.66335227272727271</v>
      </c>
      <c r="E28" s="2">
        <v>1.5346390564693779E-18</v>
      </c>
      <c r="F28" s="2">
        <v>1</v>
      </c>
      <c r="G28" s="2">
        <v>3.0692781129387559E-18</v>
      </c>
      <c r="H28" s="2">
        <v>0</v>
      </c>
      <c r="I28" s="2">
        <v>1</v>
      </c>
      <c r="J28" s="2">
        <v>0</v>
      </c>
      <c r="K28" s="2" t="s">
        <v>1</v>
      </c>
    </row>
    <row r="29" spans="1:11" x14ac:dyDescent="0.35">
      <c r="A29" s="2" t="s">
        <v>39</v>
      </c>
      <c r="B29" s="2">
        <v>396</v>
      </c>
      <c r="C29" s="2">
        <v>308</v>
      </c>
      <c r="D29" s="2">
        <v>0.5625</v>
      </c>
      <c r="E29" s="2">
        <v>5.140143795173258E-4</v>
      </c>
      <c r="F29" s="2">
        <v>0.99960803532611964</v>
      </c>
      <c r="G29" s="2">
        <v>1.028028759034652E-3</v>
      </c>
      <c r="H29" s="2">
        <v>4.555594385768913E-4</v>
      </c>
      <c r="I29" s="2">
        <v>0.99954444056142311</v>
      </c>
      <c r="J29" s="2">
        <v>9.1111887715378259E-4</v>
      </c>
      <c r="K29" s="2" t="s">
        <v>1</v>
      </c>
    </row>
    <row r="30" spans="1:11" x14ac:dyDescent="0.35">
      <c r="A30" s="2" t="s">
        <v>40</v>
      </c>
      <c r="B30" s="2">
        <v>260</v>
      </c>
      <c r="C30" s="2">
        <v>444</v>
      </c>
      <c r="D30" s="2">
        <v>0.36931818181818182</v>
      </c>
      <c r="E30" s="2">
        <v>0.99999999999883171</v>
      </c>
      <c r="F30" s="2">
        <v>2.0160533626992649E-12</v>
      </c>
      <c r="G30" s="2">
        <v>4.0321067253985298E-12</v>
      </c>
      <c r="H30" s="2">
        <v>0.99999999999796541</v>
      </c>
      <c r="I30" s="2">
        <v>2.0345435644841639E-12</v>
      </c>
      <c r="J30" s="2">
        <v>4.0691894298561238E-12</v>
      </c>
      <c r="K30" s="2" t="s">
        <v>2</v>
      </c>
    </row>
    <row r="31" spans="1:11" x14ac:dyDescent="0.35">
      <c r="A31" s="2" t="s">
        <v>41</v>
      </c>
      <c r="B31" s="2">
        <v>412</v>
      </c>
      <c r="C31" s="2">
        <v>292</v>
      </c>
      <c r="D31" s="2">
        <v>0.58522727272727271</v>
      </c>
      <c r="E31" s="2">
        <v>3.4746484737434672E-6</v>
      </c>
      <c r="F31" s="2">
        <v>0.99999757485877971</v>
      </c>
      <c r="G31" s="2">
        <v>6.9492969474869344E-6</v>
      </c>
      <c r="H31" s="2">
        <v>3.05321787952284E-6</v>
      </c>
      <c r="I31" s="2">
        <v>0.99999694678212048</v>
      </c>
      <c r="J31" s="2">
        <v>6.1064357590456808E-6</v>
      </c>
      <c r="K31" s="2" t="s">
        <v>1</v>
      </c>
    </row>
    <row r="32" spans="1:11" x14ac:dyDescent="0.35">
      <c r="A32" s="2" t="s">
        <v>42</v>
      </c>
      <c r="B32" s="2">
        <v>386</v>
      </c>
      <c r="C32" s="2">
        <v>318</v>
      </c>
      <c r="D32" s="2">
        <v>0.54829545454545459</v>
      </c>
      <c r="E32" s="2">
        <v>5.7558510126729696E-3</v>
      </c>
      <c r="F32" s="2">
        <v>0.99537016444620019</v>
      </c>
      <c r="G32" s="2">
        <v>1.1511702025345939E-2</v>
      </c>
      <c r="H32" s="2">
        <v>5.1908978948508322E-3</v>
      </c>
      <c r="I32" s="2">
        <v>0.99480910210514917</v>
      </c>
      <c r="J32" s="2">
        <v>1.0381795789701659E-2</v>
      </c>
      <c r="K32" s="2" t="s">
        <v>1</v>
      </c>
    </row>
    <row r="33" spans="1:11" x14ac:dyDescent="0.35">
      <c r="A33" s="2" t="s">
        <v>43</v>
      </c>
      <c r="B33" s="2">
        <v>389</v>
      </c>
      <c r="C33" s="2">
        <v>315</v>
      </c>
      <c r="D33" s="2">
        <v>0.55255681818181823</v>
      </c>
      <c r="E33" s="2">
        <v>2.9486412910011898E-3</v>
      </c>
      <c r="F33" s="2">
        <v>0.99766543951883324</v>
      </c>
      <c r="G33" s="2">
        <v>5.8972825820023797E-3</v>
      </c>
      <c r="H33" s="2">
        <v>2.6437170183449821E-3</v>
      </c>
      <c r="I33" s="2">
        <v>0.99735628298165502</v>
      </c>
      <c r="J33" s="2">
        <v>5.2874340366899641E-3</v>
      </c>
      <c r="K33" s="2" t="s">
        <v>1</v>
      </c>
    </row>
    <row r="34" spans="1:11" x14ac:dyDescent="0.35">
      <c r="A34" s="2" t="s">
        <v>44</v>
      </c>
      <c r="B34" s="2">
        <v>373</v>
      </c>
      <c r="C34" s="2">
        <v>331</v>
      </c>
      <c r="D34" s="2">
        <v>0.52982954545454541</v>
      </c>
      <c r="E34" s="2">
        <v>6.1112744934414411E-2</v>
      </c>
      <c r="F34" s="2">
        <v>0.94748427449911499</v>
      </c>
      <c r="G34" s="2">
        <v>0.12222548986882879</v>
      </c>
      <c r="H34" s="2">
        <v>5.6718190418091563E-2</v>
      </c>
      <c r="I34" s="2">
        <v>0.94328180958190844</v>
      </c>
      <c r="J34" s="2">
        <v>0.1134363808361831</v>
      </c>
      <c r="K34" s="2" t="s">
        <v>12</v>
      </c>
    </row>
    <row r="35" spans="1:11" x14ac:dyDescent="0.35">
      <c r="A35" s="2" t="s">
        <v>45</v>
      </c>
      <c r="B35" s="2">
        <v>311</v>
      </c>
      <c r="C35" s="2">
        <v>393</v>
      </c>
      <c r="D35" s="2">
        <v>0.44176136363636359</v>
      </c>
      <c r="E35" s="2">
        <v>0.99913027169606761</v>
      </c>
      <c r="F35" s="2">
        <v>1.122218591755879E-3</v>
      </c>
      <c r="G35" s="2">
        <v>2.244437183511758E-3</v>
      </c>
      <c r="H35" s="2">
        <v>0.99900087164584905</v>
      </c>
      <c r="I35" s="2">
        <v>9.9912835415090127E-4</v>
      </c>
      <c r="J35" s="2">
        <v>1.9982567083018932E-3</v>
      </c>
      <c r="K35" s="2" t="s">
        <v>2</v>
      </c>
    </row>
    <row r="36" spans="1:11" x14ac:dyDescent="0.35">
      <c r="A36" s="2" t="s">
        <v>46</v>
      </c>
      <c r="B36" s="2">
        <v>321</v>
      </c>
      <c r="C36" s="2">
        <v>383</v>
      </c>
      <c r="D36" s="2">
        <v>0.45596590909090912</v>
      </c>
      <c r="E36" s="2">
        <v>0.99124236032330704</v>
      </c>
      <c r="F36" s="2">
        <v>1.07186411397128E-2</v>
      </c>
      <c r="G36" s="2">
        <v>2.143728227942561E-2</v>
      </c>
      <c r="H36" s="2">
        <v>0.99027294186738102</v>
      </c>
      <c r="I36" s="2">
        <v>9.7270581326189907E-3</v>
      </c>
      <c r="J36" s="2">
        <v>1.9454116265237961E-2</v>
      </c>
      <c r="K36" s="2" t="s">
        <v>2</v>
      </c>
    </row>
    <row r="37" spans="1:11" x14ac:dyDescent="0.35">
      <c r="A37" s="2" t="s">
        <v>47</v>
      </c>
      <c r="B37" s="2">
        <v>297</v>
      </c>
      <c r="C37" s="2">
        <v>407</v>
      </c>
      <c r="D37" s="2">
        <v>0.421875</v>
      </c>
      <c r="E37" s="2">
        <v>0.99998615736150531</v>
      </c>
      <c r="F37" s="2">
        <v>1.9285241824994172E-5</v>
      </c>
      <c r="G37" s="2">
        <v>3.8570483649988343E-5</v>
      </c>
      <c r="H37" s="2">
        <v>0.99998306712934337</v>
      </c>
      <c r="I37" s="2">
        <v>1.6932870656650061E-5</v>
      </c>
      <c r="J37" s="2">
        <v>3.3865741313254823E-5</v>
      </c>
      <c r="K37" s="2" t="s">
        <v>2</v>
      </c>
    </row>
    <row r="38" spans="1:11" x14ac:dyDescent="0.35">
      <c r="A38" s="2" t="s">
        <v>48</v>
      </c>
      <c r="B38" s="2">
        <v>515</v>
      </c>
      <c r="C38" s="2">
        <v>189</v>
      </c>
      <c r="D38" s="2">
        <v>0.73153409090909094</v>
      </c>
      <c r="E38" s="2">
        <v>4.586218185315306E-36</v>
      </c>
      <c r="F38" s="2">
        <v>1</v>
      </c>
      <c r="G38" s="2">
        <v>9.172436370630612E-36</v>
      </c>
      <c r="H38" s="2">
        <v>0</v>
      </c>
      <c r="I38" s="2">
        <v>1</v>
      </c>
      <c r="J38" s="2">
        <v>0</v>
      </c>
      <c r="K38" s="2" t="s">
        <v>1</v>
      </c>
    </row>
    <row r="39" spans="1:11" x14ac:dyDescent="0.35">
      <c r="A39" s="2" t="s">
        <v>49</v>
      </c>
      <c r="B39" s="2">
        <v>512</v>
      </c>
      <c r="C39" s="2">
        <v>192</v>
      </c>
      <c r="D39" s="2">
        <v>0.72727272727272729</v>
      </c>
      <c r="E39" s="2">
        <v>9.0511370201880743E-35</v>
      </c>
      <c r="F39" s="2">
        <v>1</v>
      </c>
      <c r="G39" s="2">
        <v>1.8102274040376151E-34</v>
      </c>
      <c r="H39" s="2">
        <v>0</v>
      </c>
      <c r="I39" s="2">
        <v>1</v>
      </c>
      <c r="J39" s="2">
        <v>0</v>
      </c>
      <c r="K39" s="2" t="s">
        <v>1</v>
      </c>
    </row>
    <row r="40" spans="1:11" x14ac:dyDescent="0.35">
      <c r="A40" s="2" t="s">
        <v>50</v>
      </c>
      <c r="B40" s="2">
        <v>282</v>
      </c>
      <c r="C40" s="2">
        <v>422</v>
      </c>
      <c r="D40" s="2">
        <v>0.40056818181818182</v>
      </c>
      <c r="E40" s="2">
        <v>0.99999995130455599</v>
      </c>
      <c r="F40" s="2">
        <v>7.3853968232725039E-8</v>
      </c>
      <c r="G40" s="2">
        <v>1.477079364654501E-7</v>
      </c>
      <c r="H40" s="2">
        <v>0.99999993414425803</v>
      </c>
      <c r="I40" s="2">
        <v>6.5855741945611969E-8</v>
      </c>
      <c r="J40" s="2">
        <v>1.3171148394164331E-7</v>
      </c>
      <c r="K40" s="2" t="s">
        <v>2</v>
      </c>
    </row>
    <row r="41" spans="1:11" x14ac:dyDescent="0.35">
      <c r="A41" s="2" t="s">
        <v>51</v>
      </c>
      <c r="B41" s="2">
        <v>252</v>
      </c>
      <c r="C41" s="2">
        <v>452</v>
      </c>
      <c r="D41" s="2">
        <v>0.35795454545454553</v>
      </c>
      <c r="E41" s="2">
        <v>0.99999999999998801</v>
      </c>
      <c r="F41" s="2">
        <v>2.1659689066834469E-14</v>
      </c>
      <c r="G41" s="2">
        <v>4.3319378133668937E-14</v>
      </c>
      <c r="H41" s="2">
        <v>0.99999999999997613</v>
      </c>
      <c r="I41" s="2">
        <v>2.3901309250039109E-14</v>
      </c>
      <c r="J41" s="2">
        <v>4.7739590058881731E-14</v>
      </c>
      <c r="K41" s="2" t="s">
        <v>2</v>
      </c>
    </row>
    <row r="42" spans="1:11" x14ac:dyDescent="0.35">
      <c r="A42" s="2" t="s">
        <v>52</v>
      </c>
      <c r="B42" s="2">
        <v>485</v>
      </c>
      <c r="C42" s="2">
        <v>219</v>
      </c>
      <c r="D42" s="2">
        <v>0.68892045454545459</v>
      </c>
      <c r="E42" s="2">
        <v>2.475632071390249E-24</v>
      </c>
      <c r="F42" s="2">
        <v>1</v>
      </c>
      <c r="G42" s="2">
        <v>4.9512641427804987E-24</v>
      </c>
      <c r="H42" s="2">
        <v>0</v>
      </c>
      <c r="I42" s="2">
        <v>1</v>
      </c>
      <c r="J42" s="2">
        <v>0</v>
      </c>
      <c r="K42" s="2" t="s">
        <v>1</v>
      </c>
    </row>
    <row r="43" spans="1:11" x14ac:dyDescent="0.35">
      <c r="A43" s="2" t="s">
        <v>53</v>
      </c>
      <c r="B43" s="2">
        <v>442</v>
      </c>
      <c r="C43" s="2">
        <v>262</v>
      </c>
      <c r="D43" s="2">
        <v>0.62784090909090906</v>
      </c>
      <c r="E43" s="2">
        <v>5.8967090318025666E-12</v>
      </c>
      <c r="F43" s="2">
        <v>0.99999999999654177</v>
      </c>
      <c r="G43" s="2">
        <v>1.179341806360513E-11</v>
      </c>
      <c r="H43" s="2">
        <v>5.8444360462317491E-12</v>
      </c>
      <c r="I43" s="2">
        <v>0.99999999999415556</v>
      </c>
      <c r="J43" s="2">
        <v>1.16888720924635E-11</v>
      </c>
      <c r="K43" s="2" t="s">
        <v>1</v>
      </c>
    </row>
    <row r="44" spans="1:11" x14ac:dyDescent="0.35">
      <c r="A44" s="2" t="s">
        <v>54</v>
      </c>
      <c r="B44" s="2">
        <v>464</v>
      </c>
      <c r="C44" s="2">
        <v>240</v>
      </c>
      <c r="D44" s="2">
        <v>0.65909090909090906</v>
      </c>
      <c r="E44" s="2">
        <v>1.1598697554267099E-17</v>
      </c>
      <c r="F44" s="2">
        <v>1</v>
      </c>
      <c r="G44" s="2">
        <v>2.3197395108534199E-17</v>
      </c>
      <c r="H44" s="2">
        <v>0</v>
      </c>
      <c r="I44" s="2">
        <v>1</v>
      </c>
      <c r="J44" s="2">
        <v>0</v>
      </c>
      <c r="K44" s="2" t="s">
        <v>1</v>
      </c>
    </row>
    <row r="45" spans="1:11" x14ac:dyDescent="0.35">
      <c r="A45" s="2" t="s">
        <v>55</v>
      </c>
      <c r="B45" s="2">
        <v>365</v>
      </c>
      <c r="C45" s="2">
        <v>339</v>
      </c>
      <c r="D45" s="2">
        <v>0.51846590909090906</v>
      </c>
      <c r="E45" s="2">
        <v>0.17304251071291021</v>
      </c>
      <c r="F45" s="2">
        <v>0.84556710823239156</v>
      </c>
      <c r="G45" s="2">
        <v>0.34608502142582048</v>
      </c>
      <c r="H45" s="2">
        <v>0.16356481161757741</v>
      </c>
      <c r="I45" s="2">
        <v>0.83643518838242259</v>
      </c>
      <c r="J45" s="2">
        <v>0.32712962323515482</v>
      </c>
      <c r="K45" s="2" t="s">
        <v>12</v>
      </c>
    </row>
    <row r="46" spans="1:11" x14ac:dyDescent="0.35">
      <c r="A46" s="2" t="s">
        <v>56</v>
      </c>
      <c r="B46" s="2">
        <v>261</v>
      </c>
      <c r="C46" s="2">
        <v>443</v>
      </c>
      <c r="D46" s="2">
        <v>0.37073863636363641</v>
      </c>
      <c r="E46" s="2">
        <v>0.99999999999798395</v>
      </c>
      <c r="F46" s="2">
        <v>3.458226107812958E-12</v>
      </c>
      <c r="G46" s="2">
        <v>6.9164522156259161E-12</v>
      </c>
      <c r="H46" s="2">
        <v>0.9999999999965421</v>
      </c>
      <c r="I46" s="2">
        <v>3.4579275081758E-12</v>
      </c>
      <c r="J46" s="2">
        <v>6.9158012649950251E-12</v>
      </c>
      <c r="K46" s="2" t="s">
        <v>2</v>
      </c>
    </row>
    <row r="47" spans="1:11" x14ac:dyDescent="0.35">
      <c r="A47" s="2" t="s">
        <v>57</v>
      </c>
      <c r="B47" s="2">
        <v>537</v>
      </c>
      <c r="C47" s="2">
        <v>167</v>
      </c>
      <c r="D47" s="2">
        <v>0.76278409090909094</v>
      </c>
      <c r="E47" s="2">
        <v>1.9276980083773721E-46</v>
      </c>
      <c r="F47" s="2">
        <v>1</v>
      </c>
      <c r="G47" s="2">
        <v>3.8553960167547427E-46</v>
      </c>
      <c r="H47" s="2">
        <v>0</v>
      </c>
      <c r="I47" s="2">
        <v>1</v>
      </c>
      <c r="J47" s="2">
        <v>0</v>
      </c>
      <c r="K47" s="2" t="s">
        <v>1</v>
      </c>
    </row>
    <row r="48" spans="1:11" x14ac:dyDescent="0.35">
      <c r="A48" s="2" t="s">
        <v>58</v>
      </c>
      <c r="B48" s="2">
        <v>583</v>
      </c>
      <c r="C48" s="2">
        <v>121</v>
      </c>
      <c r="D48" s="2">
        <v>0.828125</v>
      </c>
      <c r="E48" s="2">
        <v>1.161278070274943E-73</v>
      </c>
      <c r="F48" s="2">
        <v>1</v>
      </c>
      <c r="G48" s="2">
        <v>2.3225561405498861E-73</v>
      </c>
      <c r="H48" s="2">
        <v>0</v>
      </c>
      <c r="I48" s="2">
        <v>1</v>
      </c>
      <c r="J48" s="2">
        <v>0</v>
      </c>
      <c r="K48" s="2" t="s">
        <v>1</v>
      </c>
    </row>
    <row r="49" spans="1:11" x14ac:dyDescent="0.35">
      <c r="A49" s="2" t="s">
        <v>59</v>
      </c>
      <c r="B49" s="2">
        <v>611</v>
      </c>
      <c r="C49" s="2">
        <v>93</v>
      </c>
      <c r="D49" s="2">
        <v>0.86789772727272729</v>
      </c>
      <c r="E49" s="2">
        <v>1.3944129081349429E-94</v>
      </c>
      <c r="F49" s="2">
        <v>1</v>
      </c>
      <c r="G49" s="2">
        <v>2.7888258162698858E-94</v>
      </c>
      <c r="H49" s="2">
        <v>0</v>
      </c>
      <c r="I49" s="2">
        <v>1</v>
      </c>
      <c r="J49" s="2">
        <v>0</v>
      </c>
      <c r="K49" s="2" t="s">
        <v>1</v>
      </c>
    </row>
    <row r="50" spans="1:11" x14ac:dyDescent="0.35">
      <c r="A50" s="2" t="s">
        <v>60</v>
      </c>
      <c r="B50" s="2">
        <v>186</v>
      </c>
      <c r="C50" s="2">
        <v>518</v>
      </c>
      <c r="D50" s="2">
        <v>0.26420454545454553</v>
      </c>
      <c r="E50" s="2">
        <v>1</v>
      </c>
      <c r="F50" s="2">
        <v>2.178335365085946E-37</v>
      </c>
      <c r="G50" s="2">
        <v>4.356670730171892E-37</v>
      </c>
      <c r="H50" s="2">
        <v>1</v>
      </c>
      <c r="I50" s="2">
        <v>3.180377913453164E-36</v>
      </c>
      <c r="J50" s="2">
        <v>0</v>
      </c>
      <c r="K50" s="2" t="s">
        <v>2</v>
      </c>
    </row>
    <row r="51" spans="1:11" x14ac:dyDescent="0.35">
      <c r="A51" s="2" t="s">
        <v>61</v>
      </c>
      <c r="B51" s="2">
        <v>232</v>
      </c>
      <c r="C51" s="2">
        <v>472</v>
      </c>
      <c r="D51" s="2">
        <v>0.32954545454545447</v>
      </c>
      <c r="E51" s="2">
        <v>1</v>
      </c>
      <c r="F51" s="2">
        <v>4.6487864535216721E-20</v>
      </c>
      <c r="G51" s="2">
        <v>9.2975729070433442E-20</v>
      </c>
      <c r="H51" s="2">
        <v>1</v>
      </c>
      <c r="I51" s="2">
        <v>7.4599831984933769E-20</v>
      </c>
      <c r="J51" s="2">
        <v>0</v>
      </c>
      <c r="K51" s="2" t="s">
        <v>2</v>
      </c>
    </row>
    <row r="52" spans="1:11" x14ac:dyDescent="0.35">
      <c r="A52" s="2" t="s">
        <v>62</v>
      </c>
      <c r="B52" s="2">
        <v>578</v>
      </c>
      <c r="C52" s="2">
        <v>126</v>
      </c>
      <c r="D52" s="2">
        <v>0.82102272727272729</v>
      </c>
      <c r="E52" s="2">
        <v>2.6580516062331328E-70</v>
      </c>
      <c r="F52" s="2">
        <v>1</v>
      </c>
      <c r="G52" s="2">
        <v>5.3161032124662657E-70</v>
      </c>
      <c r="H52" s="2">
        <v>0</v>
      </c>
      <c r="I52" s="2">
        <v>1</v>
      </c>
      <c r="J52" s="2">
        <v>0</v>
      </c>
      <c r="K52" s="2" t="s">
        <v>1</v>
      </c>
    </row>
    <row r="53" spans="1:11" x14ac:dyDescent="0.35">
      <c r="A53" s="2" t="s">
        <v>63</v>
      </c>
      <c r="B53" s="2">
        <v>517</v>
      </c>
      <c r="C53" s="2">
        <v>187</v>
      </c>
      <c r="D53" s="2">
        <v>0.734375</v>
      </c>
      <c r="E53" s="2">
        <v>6.0586065370963564E-37</v>
      </c>
      <c r="F53" s="2">
        <v>1</v>
      </c>
      <c r="G53" s="2">
        <v>1.2117213074192709E-36</v>
      </c>
      <c r="H53" s="2">
        <v>0</v>
      </c>
      <c r="I53" s="2">
        <v>1</v>
      </c>
      <c r="J53" s="2">
        <v>0</v>
      </c>
      <c r="K53" s="2" t="s">
        <v>1</v>
      </c>
    </row>
    <row r="54" spans="1:11" x14ac:dyDescent="0.35">
      <c r="A54" s="2" t="s">
        <v>64</v>
      </c>
      <c r="B54" s="2">
        <v>336</v>
      </c>
      <c r="C54" s="2">
        <v>368</v>
      </c>
      <c r="D54" s="2">
        <v>0.47727272727272729</v>
      </c>
      <c r="E54" s="2">
        <v>0.8932160997258477</v>
      </c>
      <c r="F54" s="2">
        <v>0.12132136960569349</v>
      </c>
      <c r="G54" s="2">
        <v>0.24264273921138699</v>
      </c>
      <c r="H54" s="2">
        <v>0.88610000300588521</v>
      </c>
      <c r="I54" s="2">
        <v>0.1138999969941147</v>
      </c>
      <c r="J54" s="2">
        <v>0.22779999398822959</v>
      </c>
      <c r="K54" s="2" t="s">
        <v>12</v>
      </c>
    </row>
    <row r="55" spans="1:11" x14ac:dyDescent="0.35">
      <c r="A55" s="2" t="s">
        <v>65</v>
      </c>
      <c r="B55" s="2">
        <v>407</v>
      </c>
      <c r="C55" s="2">
        <v>297</v>
      </c>
      <c r="D55" s="2">
        <v>0.578125</v>
      </c>
      <c r="E55" s="2">
        <v>1.9285241824994172E-5</v>
      </c>
      <c r="F55" s="2">
        <v>0.99998615736150531</v>
      </c>
      <c r="G55" s="2">
        <v>3.8570483649988343E-5</v>
      </c>
      <c r="H55" s="2">
        <v>1.6932870656627411E-5</v>
      </c>
      <c r="I55" s="2">
        <v>0.99998306712934337</v>
      </c>
      <c r="J55" s="2">
        <v>3.3865741313254823E-5</v>
      </c>
      <c r="K55" s="2" t="s">
        <v>1</v>
      </c>
    </row>
    <row r="56" spans="1:11" x14ac:dyDescent="0.35">
      <c r="A56" s="2" t="s">
        <v>66</v>
      </c>
      <c r="B56" s="2">
        <v>417</v>
      </c>
      <c r="C56" s="2">
        <v>287</v>
      </c>
      <c r="D56" s="2">
        <v>0.59232954545454541</v>
      </c>
      <c r="E56" s="2">
        <v>5.4387867517963772E-7</v>
      </c>
      <c r="F56" s="2">
        <v>0.9999996309939132</v>
      </c>
      <c r="G56" s="2">
        <v>1.087757350359275E-6</v>
      </c>
      <c r="H56" s="2">
        <v>4.8025916721261552E-7</v>
      </c>
      <c r="I56" s="2">
        <v>0.99999951974083279</v>
      </c>
      <c r="J56" s="2">
        <v>9.6051833442523105E-7</v>
      </c>
      <c r="K56" s="2" t="s">
        <v>1</v>
      </c>
    </row>
    <row r="57" spans="1:11" x14ac:dyDescent="0.35">
      <c r="A57" s="2" t="s">
        <v>67</v>
      </c>
      <c r="B57" s="2">
        <v>534</v>
      </c>
      <c r="C57" s="2">
        <v>170</v>
      </c>
      <c r="D57" s="2">
        <v>0.75852272727272729</v>
      </c>
      <c r="E57" s="2">
        <v>6.2158512455527271E-45</v>
      </c>
      <c r="F57" s="2">
        <v>1</v>
      </c>
      <c r="G57" s="2">
        <v>1.2431702491105449E-44</v>
      </c>
      <c r="H57" s="2">
        <v>0</v>
      </c>
      <c r="I57" s="2">
        <v>1</v>
      </c>
      <c r="J57" s="2">
        <v>0</v>
      </c>
      <c r="K57" s="2" t="s">
        <v>1</v>
      </c>
    </row>
    <row r="58" spans="1:11" x14ac:dyDescent="0.35">
      <c r="A58" s="2" t="s">
        <v>68</v>
      </c>
      <c r="B58" s="2">
        <v>463</v>
      </c>
      <c r="C58" s="2">
        <v>241</v>
      </c>
      <c r="D58" s="2">
        <v>0.65767045454545459</v>
      </c>
      <c r="E58" s="2">
        <v>2.2479212144743419E-17</v>
      </c>
      <c r="F58" s="2">
        <v>1</v>
      </c>
      <c r="G58" s="2">
        <v>4.4958424289486838E-17</v>
      </c>
      <c r="H58" s="2">
        <v>0</v>
      </c>
      <c r="I58" s="2">
        <v>1</v>
      </c>
      <c r="J58" s="2">
        <v>0</v>
      </c>
      <c r="K58" s="2" t="s">
        <v>1</v>
      </c>
    </row>
    <row r="59" spans="1:11" x14ac:dyDescent="0.35">
      <c r="A59" s="2" t="s">
        <v>69</v>
      </c>
      <c r="B59" s="2">
        <v>387</v>
      </c>
      <c r="C59" s="2">
        <v>317</v>
      </c>
      <c r="D59" s="2">
        <v>0.54971590909090906</v>
      </c>
      <c r="E59" s="2">
        <v>4.6298355537997774E-3</v>
      </c>
      <c r="F59" s="2">
        <v>0.99629541745891781</v>
      </c>
      <c r="G59" s="2">
        <v>9.2596711075995548E-3</v>
      </c>
      <c r="H59" s="2">
        <v>4.1670722889086687E-3</v>
      </c>
      <c r="I59" s="2">
        <v>0.99583292771109133</v>
      </c>
      <c r="J59" s="2">
        <v>8.3341445778173373E-3</v>
      </c>
      <c r="K59" s="2" t="s">
        <v>1</v>
      </c>
    </row>
    <row r="60" spans="1:11" x14ac:dyDescent="0.35">
      <c r="A60" s="2" t="s">
        <v>70</v>
      </c>
      <c r="B60" s="2">
        <v>244</v>
      </c>
      <c r="C60" s="2">
        <v>460</v>
      </c>
      <c r="D60" s="2">
        <v>0.34659090909090912</v>
      </c>
      <c r="E60" s="2">
        <v>0.99999999999999989</v>
      </c>
      <c r="F60" s="2">
        <v>1.576497202618777E-16</v>
      </c>
      <c r="G60" s="2">
        <v>3.1529944052375539E-16</v>
      </c>
      <c r="H60" s="2">
        <v>0.99999999999999978</v>
      </c>
      <c r="I60" s="2">
        <v>1.9632706630690171E-16</v>
      </c>
      <c r="J60" s="2">
        <v>4.4408920985006262E-16</v>
      </c>
      <c r="K60" s="2" t="s">
        <v>2</v>
      </c>
    </row>
    <row r="61" spans="1:11" x14ac:dyDescent="0.35">
      <c r="A61" s="2" t="s">
        <v>71</v>
      </c>
      <c r="B61" s="2">
        <v>212</v>
      </c>
      <c r="C61" s="2">
        <v>492</v>
      </c>
      <c r="D61" s="2">
        <v>0.30113636363636359</v>
      </c>
      <c r="E61" s="2">
        <v>1</v>
      </c>
      <c r="F61" s="2">
        <v>7.8319155503437783E-27</v>
      </c>
      <c r="G61" s="2">
        <v>1.5663831100687559E-26</v>
      </c>
      <c r="H61" s="2">
        <v>1</v>
      </c>
      <c r="I61" s="2">
        <v>2.4627260062334011E-26</v>
      </c>
      <c r="J61" s="2">
        <v>0</v>
      </c>
      <c r="K61" s="2" t="s">
        <v>2</v>
      </c>
    </row>
    <row r="62" spans="1:11" x14ac:dyDescent="0.35">
      <c r="A62" s="2" t="s">
        <v>72</v>
      </c>
      <c r="B62" s="2">
        <v>691</v>
      </c>
      <c r="C62" s="2">
        <v>13</v>
      </c>
      <c r="D62" s="2">
        <v>0.98153409090909094</v>
      </c>
      <c r="E62" s="2">
        <v>1.814955626850813E-185</v>
      </c>
      <c r="F62" s="2">
        <v>1</v>
      </c>
      <c r="G62" s="2">
        <v>3.6299112537016248E-185</v>
      </c>
      <c r="H62" s="2">
        <v>0</v>
      </c>
      <c r="I62" s="2">
        <v>1</v>
      </c>
      <c r="J62" s="2">
        <v>0</v>
      </c>
      <c r="K62" s="2" t="s">
        <v>1</v>
      </c>
    </row>
    <row r="63" spans="1:11" x14ac:dyDescent="0.35">
      <c r="A63" s="2" t="s">
        <v>73</v>
      </c>
      <c r="B63" s="2">
        <v>694</v>
      </c>
      <c r="C63" s="2">
        <v>10</v>
      </c>
      <c r="D63" s="2">
        <v>0.98579545454545459</v>
      </c>
      <c r="E63" s="2">
        <v>9.3163432430796114E-191</v>
      </c>
      <c r="F63" s="2">
        <v>1</v>
      </c>
      <c r="G63" s="2">
        <v>1.863268648615922E-190</v>
      </c>
      <c r="H63" s="2">
        <v>0</v>
      </c>
      <c r="I63" s="2">
        <v>1</v>
      </c>
      <c r="J63" s="2">
        <v>0</v>
      </c>
      <c r="K63" s="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326</v>
      </c>
      <c r="C2" s="2">
        <v>378</v>
      </c>
      <c r="D2" s="2">
        <v>0.46306818181818182</v>
      </c>
      <c r="E2" s="2">
        <v>0.97715363504431529</v>
      </c>
      <c r="F2" s="2">
        <v>2.7255805301668649E-2</v>
      </c>
      <c r="G2" s="2">
        <v>5.4511610603337292E-2</v>
      </c>
      <c r="H2" s="2">
        <v>0.97499180225717708</v>
      </c>
      <c r="I2" s="2">
        <v>2.5008197742822879E-2</v>
      </c>
      <c r="J2" s="2">
        <v>5.0016395485645848E-2</v>
      </c>
      <c r="K2" s="2" t="s">
        <v>2</v>
      </c>
    </row>
    <row r="3" spans="1:11" x14ac:dyDescent="0.35">
      <c r="A3" s="2" t="s">
        <v>13</v>
      </c>
      <c r="B3" s="2">
        <v>342</v>
      </c>
      <c r="C3" s="2">
        <v>362</v>
      </c>
      <c r="D3" s="2">
        <v>0.48579545454545447</v>
      </c>
      <c r="E3" s="2">
        <v>0.78565405479424744</v>
      </c>
      <c r="F3" s="2">
        <v>0.23698086456375611</v>
      </c>
      <c r="G3" s="2">
        <v>0.47396172912751222</v>
      </c>
      <c r="H3" s="2">
        <v>0.77450884036555889</v>
      </c>
      <c r="I3" s="2">
        <v>0.22549115963444111</v>
      </c>
      <c r="J3" s="2">
        <v>0.45098231926888221</v>
      </c>
      <c r="K3" s="2" t="s">
        <v>12</v>
      </c>
    </row>
    <row r="4" spans="1:11" x14ac:dyDescent="0.35">
      <c r="A4" s="2" t="s">
        <v>14</v>
      </c>
      <c r="B4" s="2">
        <v>413</v>
      </c>
      <c r="C4" s="2">
        <v>291</v>
      </c>
      <c r="D4" s="2">
        <v>0.58664772727272729</v>
      </c>
      <c r="E4" s="2">
        <v>2.425141220284132E-6</v>
      </c>
      <c r="F4" s="2">
        <v>0.99999831688327856</v>
      </c>
      <c r="G4" s="2">
        <v>4.8502824405682632E-6</v>
      </c>
      <c r="H4" s="2">
        <v>2.1323387218163958E-6</v>
      </c>
      <c r="I4" s="2">
        <v>0.99999786766127818</v>
      </c>
      <c r="J4" s="2">
        <v>4.2646774436327917E-6</v>
      </c>
      <c r="K4" s="2" t="s">
        <v>1</v>
      </c>
    </row>
    <row r="5" spans="1:11" x14ac:dyDescent="0.35">
      <c r="A5" s="2" t="s">
        <v>15</v>
      </c>
      <c r="B5" s="2">
        <v>404</v>
      </c>
      <c r="C5" s="2">
        <v>300</v>
      </c>
      <c r="D5" s="2">
        <v>0.57386363636363635</v>
      </c>
      <c r="E5" s="2">
        <v>5.0438205584933382E-5</v>
      </c>
      <c r="F5" s="2">
        <v>0.99996318795309103</v>
      </c>
      <c r="G5" s="2">
        <v>1.008764111698668E-4</v>
      </c>
      <c r="H5" s="2">
        <v>4.4339291497941247E-5</v>
      </c>
      <c r="I5" s="2">
        <v>0.99995566070850206</v>
      </c>
      <c r="J5" s="2">
        <v>8.8678582995882493E-5</v>
      </c>
      <c r="K5" s="2" t="s">
        <v>1</v>
      </c>
    </row>
    <row r="6" spans="1:11" x14ac:dyDescent="0.35">
      <c r="A6" s="2" t="s">
        <v>16</v>
      </c>
      <c r="B6" s="2">
        <v>418</v>
      </c>
      <c r="C6" s="2">
        <v>286</v>
      </c>
      <c r="D6" s="2">
        <v>0.59375</v>
      </c>
      <c r="E6" s="2">
        <v>3.6900608683083041E-7</v>
      </c>
      <c r="F6" s="2">
        <v>0.99999975106193439</v>
      </c>
      <c r="G6" s="2">
        <v>7.3801217366166082E-7</v>
      </c>
      <c r="H6" s="2">
        <v>3.263440049305899E-7</v>
      </c>
      <c r="I6" s="2">
        <v>0.99999967365599507</v>
      </c>
      <c r="J6" s="2">
        <v>6.5268800986117981E-7</v>
      </c>
      <c r="K6" s="2" t="s">
        <v>1</v>
      </c>
    </row>
    <row r="7" spans="1:11" x14ac:dyDescent="0.35">
      <c r="A7" s="2" t="s">
        <v>17</v>
      </c>
      <c r="B7" s="2">
        <v>428</v>
      </c>
      <c r="C7" s="2">
        <v>276</v>
      </c>
      <c r="D7" s="2">
        <v>0.60795454545454541</v>
      </c>
      <c r="E7" s="2">
        <v>5.5654150471749074E-9</v>
      </c>
      <c r="F7" s="2">
        <v>0.99999999645551363</v>
      </c>
      <c r="G7" s="2">
        <v>1.113083009434981E-8</v>
      </c>
      <c r="H7" s="2">
        <v>5.0596956624460176E-9</v>
      </c>
      <c r="I7" s="2">
        <v>0.99999999494030434</v>
      </c>
      <c r="J7" s="2">
        <v>1.011939132489204E-8</v>
      </c>
      <c r="K7" s="2" t="s">
        <v>1</v>
      </c>
    </row>
    <row r="8" spans="1:11" x14ac:dyDescent="0.35">
      <c r="A8" s="2" t="s">
        <v>18</v>
      </c>
      <c r="B8" s="2">
        <v>376</v>
      </c>
      <c r="C8" s="2">
        <v>328</v>
      </c>
      <c r="D8" s="2">
        <v>0.53409090909090906</v>
      </c>
      <c r="E8" s="2">
        <v>3.8211572417738697E-2</v>
      </c>
      <c r="F8" s="2">
        <v>0.9676470434726987</v>
      </c>
      <c r="G8" s="2">
        <v>7.6423144835477408E-2</v>
      </c>
      <c r="H8" s="2">
        <v>3.5220214636044078E-2</v>
      </c>
      <c r="I8" s="2">
        <v>0.96477978536395592</v>
      </c>
      <c r="J8" s="2">
        <v>7.0440429272088156E-2</v>
      </c>
      <c r="K8" s="2" t="s">
        <v>1</v>
      </c>
    </row>
    <row r="9" spans="1:11" x14ac:dyDescent="0.35">
      <c r="A9" s="2" t="s">
        <v>19</v>
      </c>
      <c r="B9" s="2">
        <v>332</v>
      </c>
      <c r="C9" s="2">
        <v>372</v>
      </c>
      <c r="D9" s="2">
        <v>0.47159090909090912</v>
      </c>
      <c r="E9" s="2">
        <v>0.93888725506558557</v>
      </c>
      <c r="F9" s="2">
        <v>7.0771444478710852E-2</v>
      </c>
      <c r="G9" s="2">
        <v>0.1415428889574217</v>
      </c>
      <c r="H9" s="2">
        <v>0.93416599198859274</v>
      </c>
      <c r="I9" s="2">
        <v>6.5834008011407277E-2</v>
      </c>
      <c r="J9" s="2">
        <v>0.1316680160228145</v>
      </c>
      <c r="K9" s="2" t="s">
        <v>12</v>
      </c>
    </row>
    <row r="10" spans="1:11" x14ac:dyDescent="0.35">
      <c r="A10" s="2" t="s">
        <v>20</v>
      </c>
      <c r="B10" s="2">
        <v>304</v>
      </c>
      <c r="C10" s="2">
        <v>400</v>
      </c>
      <c r="D10" s="2">
        <v>0.43181818181818182</v>
      </c>
      <c r="E10" s="2">
        <v>0.99987448795888501</v>
      </c>
      <c r="F10" s="2">
        <v>1.682231284959967E-4</v>
      </c>
      <c r="G10" s="2">
        <v>3.3644625699199351E-4</v>
      </c>
      <c r="H10" s="2">
        <v>0.99985163384435338</v>
      </c>
      <c r="I10" s="2">
        <v>1.4836615564657029E-4</v>
      </c>
      <c r="J10" s="2">
        <v>2.9673231129323518E-4</v>
      </c>
      <c r="K10" s="2" t="s">
        <v>2</v>
      </c>
    </row>
    <row r="11" spans="1:11" x14ac:dyDescent="0.35">
      <c r="A11" s="2" t="s">
        <v>21</v>
      </c>
      <c r="B11" s="2">
        <v>322</v>
      </c>
      <c r="C11" s="2">
        <v>382</v>
      </c>
      <c r="D11" s="2">
        <v>0.45738636363636359</v>
      </c>
      <c r="E11" s="2">
        <v>0.98928135886028723</v>
      </c>
      <c r="F11" s="2">
        <v>1.305113666870847E-2</v>
      </c>
      <c r="G11" s="2">
        <v>2.610227333741693E-2</v>
      </c>
      <c r="H11" s="2">
        <v>0.98813074237497267</v>
      </c>
      <c r="I11" s="2">
        <v>1.186925762502729E-2</v>
      </c>
      <c r="J11" s="2">
        <v>2.3738515250054659E-2</v>
      </c>
      <c r="K11" s="2" t="s">
        <v>2</v>
      </c>
    </row>
    <row r="12" spans="1:11" x14ac:dyDescent="0.35">
      <c r="A12" s="2" t="s">
        <v>22</v>
      </c>
      <c r="B12" s="2">
        <v>333</v>
      </c>
      <c r="C12" s="2">
        <v>371</v>
      </c>
      <c r="D12" s="2">
        <v>0.47301136363636359</v>
      </c>
      <c r="E12" s="2">
        <v>0.92922855552128913</v>
      </c>
      <c r="F12" s="2">
        <v>8.1561343068735734E-2</v>
      </c>
      <c r="G12" s="2">
        <v>0.1631226861374715</v>
      </c>
      <c r="H12" s="2">
        <v>0.92395368375921005</v>
      </c>
      <c r="I12" s="2">
        <v>7.6046316240789988E-2</v>
      </c>
      <c r="J12" s="2">
        <v>0.15209263248157989</v>
      </c>
      <c r="K12" s="2" t="s">
        <v>12</v>
      </c>
    </row>
    <row r="13" spans="1:11" x14ac:dyDescent="0.35">
      <c r="A13" s="2" t="s">
        <v>23</v>
      </c>
      <c r="B13" s="2">
        <v>358</v>
      </c>
      <c r="C13" s="2">
        <v>346</v>
      </c>
      <c r="D13" s="2">
        <v>0.50852272727272729</v>
      </c>
      <c r="E13" s="2">
        <v>0.33924030681285811</v>
      </c>
      <c r="F13" s="2">
        <v>0.68790182259992472</v>
      </c>
      <c r="G13" s="2">
        <v>0.6784806136257161</v>
      </c>
      <c r="H13" s="2">
        <v>0.32553831703891678</v>
      </c>
      <c r="I13" s="2">
        <v>0.67446168296108322</v>
      </c>
      <c r="J13" s="2">
        <v>0.65107663407783356</v>
      </c>
      <c r="K13" s="2" t="s">
        <v>12</v>
      </c>
    </row>
    <row r="14" spans="1:11" x14ac:dyDescent="0.35">
      <c r="A14" s="2" t="s">
        <v>24</v>
      </c>
      <c r="B14" s="2">
        <v>360</v>
      </c>
      <c r="C14" s="2">
        <v>344</v>
      </c>
      <c r="D14" s="2">
        <v>0.51136363636363635</v>
      </c>
      <c r="E14" s="2">
        <v>0.28593891061226778</v>
      </c>
      <c r="F14" s="2">
        <v>0.73913038672604903</v>
      </c>
      <c r="G14" s="2">
        <v>0.57187782122453568</v>
      </c>
      <c r="H14" s="2">
        <v>0.27324679770329119</v>
      </c>
      <c r="I14" s="2">
        <v>0.72675320229670881</v>
      </c>
      <c r="J14" s="2">
        <v>0.54649359540658238</v>
      </c>
      <c r="K14" s="2" t="s">
        <v>12</v>
      </c>
    </row>
    <row r="15" spans="1:11" x14ac:dyDescent="0.35">
      <c r="A15" s="2" t="s">
        <v>25</v>
      </c>
      <c r="B15" s="2">
        <v>300</v>
      </c>
      <c r="C15" s="2">
        <v>404</v>
      </c>
      <c r="D15" s="2">
        <v>0.42613636363636359</v>
      </c>
      <c r="E15" s="2">
        <v>0.99996318795309103</v>
      </c>
      <c r="F15" s="2">
        <v>5.0438205584933382E-5</v>
      </c>
      <c r="G15" s="2">
        <v>1.008764111698668E-4</v>
      </c>
      <c r="H15" s="2">
        <v>0.99995566070850206</v>
      </c>
      <c r="I15" s="2">
        <v>4.4339291497947962E-5</v>
      </c>
      <c r="J15" s="2">
        <v>8.8678582995882493E-5</v>
      </c>
      <c r="K15" s="2" t="s">
        <v>2</v>
      </c>
    </row>
    <row r="16" spans="1:11" x14ac:dyDescent="0.35">
      <c r="A16" s="2" t="s">
        <v>26</v>
      </c>
      <c r="B16" s="2">
        <v>388</v>
      </c>
      <c r="C16" s="2">
        <v>316</v>
      </c>
      <c r="D16" s="2">
        <v>0.55113636363636365</v>
      </c>
      <c r="E16" s="2">
        <v>3.7045825410822238E-3</v>
      </c>
      <c r="F16" s="2">
        <v>0.99705135870899886</v>
      </c>
      <c r="G16" s="2">
        <v>7.4091650821644477E-3</v>
      </c>
      <c r="H16" s="2">
        <v>3.3278027414747058E-3</v>
      </c>
      <c r="I16" s="2">
        <v>0.99667219725852529</v>
      </c>
      <c r="J16" s="2">
        <v>6.6556054829494116E-3</v>
      </c>
      <c r="K16" s="2" t="s">
        <v>1</v>
      </c>
    </row>
    <row r="17" spans="1:11" x14ac:dyDescent="0.35">
      <c r="A17" s="2" t="s">
        <v>27</v>
      </c>
      <c r="B17" s="2">
        <v>432</v>
      </c>
      <c r="C17" s="2">
        <v>272</v>
      </c>
      <c r="D17" s="2">
        <v>0.61363636363636365</v>
      </c>
      <c r="E17" s="2">
        <v>8.8418329764702732E-10</v>
      </c>
      <c r="F17" s="2">
        <v>0.99999999944987261</v>
      </c>
      <c r="G17" s="2">
        <v>1.7683665952940551E-9</v>
      </c>
      <c r="H17" s="2">
        <v>8.1864826029232063E-10</v>
      </c>
      <c r="I17" s="2">
        <v>0.99999999918135174</v>
      </c>
      <c r="J17" s="2">
        <v>1.6372965205846411E-9</v>
      </c>
      <c r="K17" s="2" t="s">
        <v>1</v>
      </c>
    </row>
    <row r="18" spans="1:11" x14ac:dyDescent="0.35">
      <c r="A18" s="2" t="s">
        <v>28</v>
      </c>
      <c r="B18" s="2">
        <v>332</v>
      </c>
      <c r="C18" s="2">
        <v>372</v>
      </c>
      <c r="D18" s="2">
        <v>0.47159090909090912</v>
      </c>
      <c r="E18" s="2">
        <v>0.93888725506558557</v>
      </c>
      <c r="F18" s="2">
        <v>7.0771444478710852E-2</v>
      </c>
      <c r="G18" s="2">
        <v>0.1415428889574217</v>
      </c>
      <c r="H18" s="2">
        <v>0.93416599198859274</v>
      </c>
      <c r="I18" s="2">
        <v>6.5834008011407277E-2</v>
      </c>
      <c r="J18" s="2">
        <v>0.1316680160228145</v>
      </c>
      <c r="K18" s="2" t="s">
        <v>12</v>
      </c>
    </row>
    <row r="19" spans="1:11" x14ac:dyDescent="0.35">
      <c r="A19" s="2" t="s">
        <v>29</v>
      </c>
      <c r="B19" s="2">
        <v>319</v>
      </c>
      <c r="C19" s="2">
        <v>385</v>
      </c>
      <c r="D19" s="2">
        <v>0.453125</v>
      </c>
      <c r="E19" s="2">
        <v>0.99424414898732705</v>
      </c>
      <c r="F19" s="2">
        <v>7.1183650161997609E-3</v>
      </c>
      <c r="G19" s="2">
        <v>1.423673003239952E-2</v>
      </c>
      <c r="H19" s="2">
        <v>0.99356720935272191</v>
      </c>
      <c r="I19" s="2">
        <v>6.4327906472780392E-3</v>
      </c>
      <c r="J19" s="2">
        <v>1.286558129455617E-2</v>
      </c>
      <c r="K19" s="2" t="s">
        <v>2</v>
      </c>
    </row>
    <row r="20" spans="1:11" x14ac:dyDescent="0.35">
      <c r="A20" s="2" t="s">
        <v>30</v>
      </c>
      <c r="B20" s="2">
        <v>409</v>
      </c>
      <c r="C20" s="2">
        <v>295</v>
      </c>
      <c r="D20" s="2">
        <v>0.58096590909090906</v>
      </c>
      <c r="E20" s="2">
        <v>9.8807434232840573E-6</v>
      </c>
      <c r="F20" s="2">
        <v>0.99999298654494129</v>
      </c>
      <c r="G20" s="2">
        <v>1.9761486846568111E-5</v>
      </c>
      <c r="H20" s="2">
        <v>8.6743644028830502E-6</v>
      </c>
      <c r="I20" s="2">
        <v>0.99999132563559712</v>
      </c>
      <c r="J20" s="2">
        <v>1.73487288057661E-5</v>
      </c>
      <c r="K20" s="2" t="s">
        <v>1</v>
      </c>
    </row>
    <row r="21" spans="1:11" x14ac:dyDescent="0.35">
      <c r="A21" s="2" t="s">
        <v>31</v>
      </c>
      <c r="B21" s="2">
        <v>352</v>
      </c>
      <c r="C21" s="2">
        <v>352</v>
      </c>
      <c r="D21" s="2">
        <v>0.5</v>
      </c>
      <c r="E21" s="2">
        <v>0.51503036448818196</v>
      </c>
      <c r="F21" s="2">
        <v>0.51503036448818196</v>
      </c>
      <c r="G21" s="2">
        <v>1</v>
      </c>
      <c r="H21" s="2">
        <v>0.5</v>
      </c>
      <c r="I21" s="2">
        <v>0.5</v>
      </c>
      <c r="J21" s="2">
        <v>1</v>
      </c>
      <c r="K21" s="2" t="s">
        <v>12</v>
      </c>
    </row>
    <row r="22" spans="1:11" x14ac:dyDescent="0.35">
      <c r="A22" s="2" t="s">
        <v>32</v>
      </c>
      <c r="B22" s="2">
        <v>372</v>
      </c>
      <c r="C22" s="2">
        <v>332</v>
      </c>
      <c r="D22" s="2">
        <v>0.52840909090909094</v>
      </c>
      <c r="E22" s="2">
        <v>7.0771444478710852E-2</v>
      </c>
      <c r="F22" s="2">
        <v>0.93888725506558557</v>
      </c>
      <c r="G22" s="2">
        <v>0.1415428889574217</v>
      </c>
      <c r="H22" s="2">
        <v>6.583400801140693E-2</v>
      </c>
      <c r="I22" s="2">
        <v>0.93416599198859307</v>
      </c>
      <c r="J22" s="2">
        <v>0.13166801602281389</v>
      </c>
      <c r="K22" s="2" t="s">
        <v>12</v>
      </c>
    </row>
    <row r="23" spans="1:11" x14ac:dyDescent="0.35">
      <c r="A23" s="2" t="s">
        <v>33</v>
      </c>
      <c r="B23" s="2">
        <v>393</v>
      </c>
      <c r="C23" s="2">
        <v>311</v>
      </c>
      <c r="D23" s="2">
        <v>0.55823863636363635</v>
      </c>
      <c r="E23" s="2">
        <v>1.122218591755879E-3</v>
      </c>
      <c r="F23" s="2">
        <v>0.99913027169606761</v>
      </c>
      <c r="G23" s="2">
        <v>2.244437183511758E-3</v>
      </c>
      <c r="H23" s="2">
        <v>9.9912835415094658E-4</v>
      </c>
      <c r="I23" s="2">
        <v>0.99900087164584905</v>
      </c>
      <c r="J23" s="2">
        <v>1.9982567083018932E-3</v>
      </c>
      <c r="K23" s="2" t="s">
        <v>1</v>
      </c>
    </row>
    <row r="24" spans="1:11" x14ac:dyDescent="0.35">
      <c r="A24" s="2" t="s">
        <v>34</v>
      </c>
      <c r="B24" s="2">
        <v>355</v>
      </c>
      <c r="C24" s="2">
        <v>349</v>
      </c>
      <c r="D24" s="2">
        <v>0.50426136363636365</v>
      </c>
      <c r="E24" s="2">
        <v>0.42527252356759487</v>
      </c>
      <c r="F24" s="2">
        <v>0.60403040402144836</v>
      </c>
      <c r="G24" s="2">
        <v>0.85054504713518975</v>
      </c>
      <c r="H24" s="2">
        <v>0.41054879177597958</v>
      </c>
      <c r="I24" s="2">
        <v>0.58945120822402042</v>
      </c>
      <c r="J24" s="2">
        <v>0.82109758355195916</v>
      </c>
      <c r="K24" s="2" t="s">
        <v>12</v>
      </c>
    </row>
    <row r="25" spans="1:11" x14ac:dyDescent="0.35">
      <c r="A25" s="2" t="s">
        <v>35</v>
      </c>
      <c r="B25" s="2">
        <v>413</v>
      </c>
      <c r="C25" s="2">
        <v>291</v>
      </c>
      <c r="D25" s="2">
        <v>0.58664772727272729</v>
      </c>
      <c r="E25" s="2">
        <v>2.425141220284132E-6</v>
      </c>
      <c r="F25" s="2">
        <v>0.99999831688327856</v>
      </c>
      <c r="G25" s="2">
        <v>4.8502824405682632E-6</v>
      </c>
      <c r="H25" s="2">
        <v>2.1323387218163958E-6</v>
      </c>
      <c r="I25" s="2">
        <v>0.99999786766127818</v>
      </c>
      <c r="J25" s="2">
        <v>4.2646774436327917E-6</v>
      </c>
      <c r="K25" s="2" t="s">
        <v>1</v>
      </c>
    </row>
    <row r="26" spans="1:11" x14ac:dyDescent="0.35">
      <c r="A26" s="2" t="s">
        <v>36</v>
      </c>
      <c r="B26" s="2">
        <v>261</v>
      </c>
      <c r="C26" s="2">
        <v>443</v>
      </c>
      <c r="D26" s="2">
        <v>0.37073863636363641</v>
      </c>
      <c r="E26" s="2">
        <v>0.99999999999798395</v>
      </c>
      <c r="F26" s="2">
        <v>3.458226107812958E-12</v>
      </c>
      <c r="G26" s="2">
        <v>6.9164522156259161E-12</v>
      </c>
      <c r="H26" s="2">
        <v>0.9999999999965421</v>
      </c>
      <c r="I26" s="2">
        <v>3.4579275081758E-12</v>
      </c>
      <c r="J26" s="2">
        <v>6.9158012649950251E-12</v>
      </c>
      <c r="K26" s="2" t="s">
        <v>2</v>
      </c>
    </row>
    <row r="27" spans="1:11" x14ac:dyDescent="0.35">
      <c r="A27" s="2" t="s">
        <v>37</v>
      </c>
      <c r="B27" s="2">
        <v>278</v>
      </c>
      <c r="C27" s="2">
        <v>426</v>
      </c>
      <c r="D27" s="2">
        <v>0.39488636363636359</v>
      </c>
      <c r="E27" s="2">
        <v>0.9999999913119948</v>
      </c>
      <c r="F27" s="2">
        <v>1.348421393509673E-8</v>
      </c>
      <c r="G27" s="2">
        <v>2.6968427870193469E-8</v>
      </c>
      <c r="H27" s="2">
        <v>0.99999998783221156</v>
      </c>
      <c r="I27" s="2">
        <v>1.2167788454856519E-8</v>
      </c>
      <c r="J27" s="2">
        <v>2.4335576886969079E-8</v>
      </c>
      <c r="K27" s="2" t="s">
        <v>2</v>
      </c>
    </row>
    <row r="28" spans="1:11" x14ac:dyDescent="0.35">
      <c r="A28" s="2" t="s">
        <v>38</v>
      </c>
      <c r="B28" s="2">
        <v>253</v>
      </c>
      <c r="C28" s="2">
        <v>451</v>
      </c>
      <c r="D28" s="2">
        <v>0.359375</v>
      </c>
      <c r="E28" s="2">
        <v>0.99999999999997835</v>
      </c>
      <c r="F28" s="2">
        <v>3.8989699383371863E-14</v>
      </c>
      <c r="G28" s="2">
        <v>7.7979398766743726E-14</v>
      </c>
      <c r="H28" s="2">
        <v>0.99999999999995748</v>
      </c>
      <c r="I28" s="2">
        <v>4.2478382908461559E-14</v>
      </c>
      <c r="J28" s="2">
        <v>8.5043083686286991E-14</v>
      </c>
      <c r="K28" s="2" t="s">
        <v>2</v>
      </c>
    </row>
    <row r="29" spans="1:11" x14ac:dyDescent="0.35">
      <c r="A29" s="2" t="s">
        <v>39</v>
      </c>
      <c r="B29" s="2">
        <v>332</v>
      </c>
      <c r="C29" s="2">
        <v>372</v>
      </c>
      <c r="D29" s="2">
        <v>0.47159090909090912</v>
      </c>
      <c r="E29" s="2">
        <v>0.93888725506558557</v>
      </c>
      <c r="F29" s="2">
        <v>7.0771444478710852E-2</v>
      </c>
      <c r="G29" s="2">
        <v>0.1415428889574217</v>
      </c>
      <c r="H29" s="2">
        <v>0.93416599198859274</v>
      </c>
      <c r="I29" s="2">
        <v>6.5834008011407277E-2</v>
      </c>
      <c r="J29" s="2">
        <v>0.1316680160228145</v>
      </c>
      <c r="K29" s="2" t="s">
        <v>12</v>
      </c>
    </row>
    <row r="30" spans="1:11" x14ac:dyDescent="0.35">
      <c r="A30" s="2" t="s">
        <v>40</v>
      </c>
      <c r="B30" s="2">
        <v>282</v>
      </c>
      <c r="C30" s="2">
        <v>422</v>
      </c>
      <c r="D30" s="2">
        <v>0.40056818181818182</v>
      </c>
      <c r="E30" s="2">
        <v>0.99999995130455599</v>
      </c>
      <c r="F30" s="2">
        <v>7.3853968232725039E-8</v>
      </c>
      <c r="G30" s="2">
        <v>1.477079364654501E-7</v>
      </c>
      <c r="H30" s="2">
        <v>0.99999993414425803</v>
      </c>
      <c r="I30" s="2">
        <v>6.5855741945611969E-8</v>
      </c>
      <c r="J30" s="2">
        <v>1.3171148394164331E-7</v>
      </c>
      <c r="K30" s="2" t="s">
        <v>2</v>
      </c>
    </row>
    <row r="31" spans="1:11" x14ac:dyDescent="0.35">
      <c r="A31" s="2" t="s">
        <v>41</v>
      </c>
      <c r="B31" s="2">
        <v>274</v>
      </c>
      <c r="C31" s="2">
        <v>430</v>
      </c>
      <c r="D31" s="2">
        <v>0.38920454545454553</v>
      </c>
      <c r="E31" s="2">
        <v>0.99999999858720068</v>
      </c>
      <c r="F31" s="2">
        <v>2.2443084356065412E-9</v>
      </c>
      <c r="G31" s="2">
        <v>4.4886168712130824E-9</v>
      </c>
      <c r="H31" s="2">
        <v>0.99999999794210426</v>
      </c>
      <c r="I31" s="2">
        <v>2.057895758847207E-9</v>
      </c>
      <c r="J31" s="2">
        <v>4.1157914854039754E-9</v>
      </c>
      <c r="K31" s="2" t="s">
        <v>2</v>
      </c>
    </row>
    <row r="32" spans="1:11" x14ac:dyDescent="0.35">
      <c r="A32" s="2" t="s">
        <v>42</v>
      </c>
      <c r="B32" s="2">
        <v>326</v>
      </c>
      <c r="C32" s="2">
        <v>378</v>
      </c>
      <c r="D32" s="2">
        <v>0.46306818181818182</v>
      </c>
      <c r="E32" s="2">
        <v>0.97715363504431529</v>
      </c>
      <c r="F32" s="2">
        <v>2.7255805301668649E-2</v>
      </c>
      <c r="G32" s="2">
        <v>5.4511610603337292E-2</v>
      </c>
      <c r="H32" s="2">
        <v>0.97499180225717708</v>
      </c>
      <c r="I32" s="2">
        <v>2.5008197742822879E-2</v>
      </c>
      <c r="J32" s="2">
        <v>5.0016395485645848E-2</v>
      </c>
      <c r="K32" s="2" t="s">
        <v>2</v>
      </c>
    </row>
    <row r="33" spans="1:11" x14ac:dyDescent="0.35">
      <c r="A33" s="2" t="s">
        <v>43</v>
      </c>
      <c r="B33" s="2">
        <v>251</v>
      </c>
      <c r="C33" s="2">
        <v>453</v>
      </c>
      <c r="D33" s="2">
        <v>0.35653409090909088</v>
      </c>
      <c r="E33" s="2">
        <v>0.99999999999999645</v>
      </c>
      <c r="F33" s="2">
        <v>6.5633437089035283E-15</v>
      </c>
      <c r="G33" s="2">
        <v>1.312668741780706E-14</v>
      </c>
      <c r="H33" s="2">
        <v>0.99999999999998668</v>
      </c>
      <c r="I33" s="2">
        <v>1.3373566472415501E-14</v>
      </c>
      <c r="J33" s="2">
        <v>2.664535259100376E-14</v>
      </c>
      <c r="K33" s="2" t="s">
        <v>2</v>
      </c>
    </row>
    <row r="34" spans="1:11" x14ac:dyDescent="0.35">
      <c r="A34" s="2" t="s">
        <v>44</v>
      </c>
      <c r="B34" s="2">
        <v>303</v>
      </c>
      <c r="C34" s="2">
        <v>401</v>
      </c>
      <c r="D34" s="2">
        <v>0.43039772727272729</v>
      </c>
      <c r="E34" s="2">
        <v>0.99990686743660029</v>
      </c>
      <c r="F34" s="2">
        <v>1.2551204111500489E-4</v>
      </c>
      <c r="G34" s="2">
        <v>2.5102408223000972E-4</v>
      </c>
      <c r="H34" s="2">
        <v>0.99988941182370716</v>
      </c>
      <c r="I34" s="2">
        <v>1.1058817629283019E-4</v>
      </c>
      <c r="J34" s="2">
        <v>2.211763525856725E-4</v>
      </c>
      <c r="K34" s="2" t="s">
        <v>2</v>
      </c>
    </row>
    <row r="35" spans="1:11" x14ac:dyDescent="0.35">
      <c r="A35" s="2" t="s">
        <v>45</v>
      </c>
      <c r="B35" s="2">
        <v>365</v>
      </c>
      <c r="C35" s="2">
        <v>339</v>
      </c>
      <c r="D35" s="2">
        <v>0.51846590909090906</v>
      </c>
      <c r="E35" s="2">
        <v>0.17304251071291021</v>
      </c>
      <c r="F35" s="2">
        <v>0.84556710823239156</v>
      </c>
      <c r="G35" s="2">
        <v>0.34608502142582048</v>
      </c>
      <c r="H35" s="2">
        <v>0.16356481161757741</v>
      </c>
      <c r="I35" s="2">
        <v>0.83643518838242259</v>
      </c>
      <c r="J35" s="2">
        <v>0.32712962323515482</v>
      </c>
      <c r="K35" s="2" t="s">
        <v>12</v>
      </c>
    </row>
    <row r="36" spans="1:11" x14ac:dyDescent="0.35">
      <c r="A36" s="2" t="s">
        <v>46</v>
      </c>
      <c r="B36" s="2">
        <v>448</v>
      </c>
      <c r="C36" s="2">
        <v>256</v>
      </c>
      <c r="D36" s="2">
        <v>0.63636363636363635</v>
      </c>
      <c r="E36" s="2">
        <v>2.1930268365218381E-13</v>
      </c>
      <c r="F36" s="2">
        <v>0.99999999999987599</v>
      </c>
      <c r="G36" s="2">
        <v>4.3860536730436762E-13</v>
      </c>
      <c r="H36" s="2">
        <v>2.3059332221464501E-13</v>
      </c>
      <c r="I36" s="2">
        <v>0.99999999999976941</v>
      </c>
      <c r="J36" s="2">
        <v>4.6118664442929003E-13</v>
      </c>
      <c r="K36" s="2" t="s">
        <v>1</v>
      </c>
    </row>
    <row r="37" spans="1:11" x14ac:dyDescent="0.35">
      <c r="A37" s="2" t="s">
        <v>47</v>
      </c>
      <c r="B37" s="2">
        <v>506</v>
      </c>
      <c r="C37" s="2">
        <v>198</v>
      </c>
      <c r="D37" s="2">
        <v>0.71875</v>
      </c>
      <c r="E37" s="2">
        <v>2.9112115071309389E-32</v>
      </c>
      <c r="F37" s="2">
        <v>1</v>
      </c>
      <c r="G37" s="2">
        <v>5.822423014261879E-32</v>
      </c>
      <c r="H37" s="2">
        <v>0</v>
      </c>
      <c r="I37" s="2">
        <v>1</v>
      </c>
      <c r="J37" s="2">
        <v>0</v>
      </c>
      <c r="K37" s="2" t="s">
        <v>1</v>
      </c>
    </row>
    <row r="38" spans="1:11" x14ac:dyDescent="0.35">
      <c r="A38" s="2" t="s">
        <v>48</v>
      </c>
      <c r="B38" s="2">
        <v>331</v>
      </c>
      <c r="C38" s="2">
        <v>373</v>
      </c>
      <c r="D38" s="2">
        <v>0.47017045454545447</v>
      </c>
      <c r="E38" s="2">
        <v>0.94748427449911499</v>
      </c>
      <c r="F38" s="2">
        <v>6.1112744934414411E-2</v>
      </c>
      <c r="G38" s="2">
        <v>0.12222548986882879</v>
      </c>
      <c r="H38" s="2">
        <v>0.94328180958190877</v>
      </c>
      <c r="I38" s="2">
        <v>5.6718190418091237E-2</v>
      </c>
      <c r="J38" s="2">
        <v>0.1134363808361825</v>
      </c>
      <c r="K38" s="2" t="s">
        <v>12</v>
      </c>
    </row>
    <row r="39" spans="1:11" x14ac:dyDescent="0.35">
      <c r="A39" s="2" t="s">
        <v>49</v>
      </c>
      <c r="B39" s="2">
        <v>334</v>
      </c>
      <c r="C39" s="2">
        <v>370</v>
      </c>
      <c r="D39" s="2">
        <v>0.47443181818181818</v>
      </c>
      <c r="E39" s="2">
        <v>0.91843865693126425</v>
      </c>
      <c r="F39" s="2">
        <v>9.3546529825919919E-2</v>
      </c>
      <c r="G39" s="2">
        <v>0.18709305965183981</v>
      </c>
      <c r="H39" s="2">
        <v>0.91257778319479266</v>
      </c>
      <c r="I39" s="2">
        <v>8.7422216805207342E-2</v>
      </c>
      <c r="J39" s="2">
        <v>0.17484443361041471</v>
      </c>
      <c r="K39" s="2" t="s">
        <v>12</v>
      </c>
    </row>
    <row r="40" spans="1:11" x14ac:dyDescent="0.35">
      <c r="A40" s="2" t="s">
        <v>50</v>
      </c>
      <c r="B40" s="2">
        <v>409</v>
      </c>
      <c r="C40" s="2">
        <v>295</v>
      </c>
      <c r="D40" s="2">
        <v>0.58096590909090906</v>
      </c>
      <c r="E40" s="2">
        <v>9.8807434232840573E-6</v>
      </c>
      <c r="F40" s="2">
        <v>0.99999298654494129</v>
      </c>
      <c r="G40" s="2">
        <v>1.9761486846568111E-5</v>
      </c>
      <c r="H40" s="2">
        <v>8.6743644028830502E-6</v>
      </c>
      <c r="I40" s="2">
        <v>0.99999132563559712</v>
      </c>
      <c r="J40" s="2">
        <v>1.73487288057661E-5</v>
      </c>
      <c r="K40" s="2" t="s">
        <v>1</v>
      </c>
    </row>
    <row r="41" spans="1:11" x14ac:dyDescent="0.35">
      <c r="A41" s="2" t="s">
        <v>51</v>
      </c>
      <c r="B41" s="2">
        <v>323</v>
      </c>
      <c r="C41" s="2">
        <v>381</v>
      </c>
      <c r="D41" s="2">
        <v>0.45880681818181818</v>
      </c>
      <c r="E41" s="2">
        <v>0.9869488633312915</v>
      </c>
      <c r="F41" s="2">
        <v>1.5809691752536308E-2</v>
      </c>
      <c r="G41" s="2">
        <v>3.1619383505072617E-2</v>
      </c>
      <c r="H41" s="2">
        <v>0.98559063337486219</v>
      </c>
      <c r="I41" s="2">
        <v>1.440936662513778E-2</v>
      </c>
      <c r="J41" s="2">
        <v>2.8818733250275619E-2</v>
      </c>
      <c r="K41" s="2" t="s">
        <v>2</v>
      </c>
    </row>
    <row r="42" spans="1:11" x14ac:dyDescent="0.35">
      <c r="A42" s="2" t="s">
        <v>52</v>
      </c>
      <c r="B42" s="2">
        <v>275</v>
      </c>
      <c r="C42" s="2">
        <v>429</v>
      </c>
      <c r="D42" s="2">
        <v>0.390625</v>
      </c>
      <c r="E42" s="2">
        <v>0.99999999775569159</v>
      </c>
      <c r="F42" s="2">
        <v>3.5444863431141359E-9</v>
      </c>
      <c r="G42" s="2">
        <v>7.088972686228271E-9</v>
      </c>
      <c r="H42" s="2">
        <v>0.99999999676423978</v>
      </c>
      <c r="I42" s="2">
        <v>3.2357601878493712E-9</v>
      </c>
      <c r="J42" s="2">
        <v>6.4715204306509122E-9</v>
      </c>
      <c r="K42" s="2" t="s">
        <v>2</v>
      </c>
    </row>
    <row r="43" spans="1:11" x14ac:dyDescent="0.35">
      <c r="A43" s="2" t="s">
        <v>53</v>
      </c>
      <c r="B43" s="2">
        <v>350</v>
      </c>
      <c r="C43" s="2">
        <v>354</v>
      </c>
      <c r="D43" s="2">
        <v>0.49715909090909088</v>
      </c>
      <c r="E43" s="2">
        <v>0.57472747643240507</v>
      </c>
      <c r="F43" s="2">
        <v>0.45499406440791129</v>
      </c>
      <c r="G43" s="2">
        <v>0.90998812881582258</v>
      </c>
      <c r="H43" s="2">
        <v>0.55991577254663782</v>
      </c>
      <c r="I43" s="2">
        <v>0.44008422745336218</v>
      </c>
      <c r="J43" s="2">
        <v>0.88016845490672435</v>
      </c>
      <c r="K43" s="2" t="s">
        <v>12</v>
      </c>
    </row>
    <row r="44" spans="1:11" x14ac:dyDescent="0.35">
      <c r="A44" s="2" t="s">
        <v>54</v>
      </c>
      <c r="B44" s="2">
        <v>286</v>
      </c>
      <c r="C44" s="2">
        <v>418</v>
      </c>
      <c r="D44" s="2">
        <v>0.40625</v>
      </c>
      <c r="E44" s="2">
        <v>0.99999975106193439</v>
      </c>
      <c r="F44" s="2">
        <v>3.6900608683083041E-7</v>
      </c>
      <c r="G44" s="2">
        <v>7.3801217366166082E-7</v>
      </c>
      <c r="H44" s="2">
        <v>0.99999967365599507</v>
      </c>
      <c r="I44" s="2">
        <v>3.2634400491955672E-7</v>
      </c>
      <c r="J44" s="2">
        <v>6.5268800986117981E-7</v>
      </c>
      <c r="K44" s="2" t="s">
        <v>2</v>
      </c>
    </row>
    <row r="45" spans="1:11" x14ac:dyDescent="0.35">
      <c r="A45" s="2" t="s">
        <v>55</v>
      </c>
      <c r="B45" s="2">
        <v>428</v>
      </c>
      <c r="C45" s="2">
        <v>276</v>
      </c>
      <c r="D45" s="2">
        <v>0.60795454545454541</v>
      </c>
      <c r="E45" s="2">
        <v>5.5654150471749074E-9</v>
      </c>
      <c r="F45" s="2">
        <v>0.99999999645551363</v>
      </c>
      <c r="G45" s="2">
        <v>1.113083009434981E-8</v>
      </c>
      <c r="H45" s="2">
        <v>5.0596956624460176E-9</v>
      </c>
      <c r="I45" s="2">
        <v>0.99999999494030434</v>
      </c>
      <c r="J45" s="2">
        <v>1.011939132489204E-8</v>
      </c>
      <c r="K45" s="2" t="s">
        <v>1</v>
      </c>
    </row>
    <row r="46" spans="1:11" x14ac:dyDescent="0.35">
      <c r="A46" s="2" t="s">
        <v>56</v>
      </c>
      <c r="B46" s="2">
        <v>402</v>
      </c>
      <c r="C46" s="2">
        <v>302</v>
      </c>
      <c r="D46" s="2">
        <v>0.57102272727272729</v>
      </c>
      <c r="E46" s="2">
        <v>9.3132563399741616E-5</v>
      </c>
      <c r="F46" s="2">
        <v>0.99993127286383343</v>
      </c>
      <c r="G46" s="2">
        <v>1.8626512679948321E-4</v>
      </c>
      <c r="H46" s="2">
        <v>8.1986969491132378E-5</v>
      </c>
      <c r="I46" s="2">
        <v>0.99991801303050887</v>
      </c>
      <c r="J46" s="2">
        <v>1.6397393898226481E-4</v>
      </c>
      <c r="K46" s="2" t="s">
        <v>1</v>
      </c>
    </row>
    <row r="47" spans="1:11" x14ac:dyDescent="0.35">
      <c r="A47" s="2" t="s">
        <v>57</v>
      </c>
      <c r="B47" s="2">
        <v>432</v>
      </c>
      <c r="C47" s="2">
        <v>272</v>
      </c>
      <c r="D47" s="2">
        <v>0.61363636363636365</v>
      </c>
      <c r="E47" s="2">
        <v>8.8418329764702732E-10</v>
      </c>
      <c r="F47" s="2">
        <v>0.99999999944987261</v>
      </c>
      <c r="G47" s="2">
        <v>1.7683665952940551E-9</v>
      </c>
      <c r="H47" s="2">
        <v>8.1864826029232063E-10</v>
      </c>
      <c r="I47" s="2">
        <v>0.99999999918135174</v>
      </c>
      <c r="J47" s="2">
        <v>1.6372965205846411E-9</v>
      </c>
      <c r="K47" s="2" t="s">
        <v>1</v>
      </c>
    </row>
    <row r="48" spans="1:11" x14ac:dyDescent="0.35">
      <c r="A48" s="2" t="s">
        <v>58</v>
      </c>
      <c r="B48" s="2">
        <v>382</v>
      </c>
      <c r="C48" s="2">
        <v>322</v>
      </c>
      <c r="D48" s="2">
        <v>0.54261363636363635</v>
      </c>
      <c r="E48" s="2">
        <v>1.305113666870847E-2</v>
      </c>
      <c r="F48" s="2">
        <v>0.98928135886028723</v>
      </c>
      <c r="G48" s="2">
        <v>2.610227333741693E-2</v>
      </c>
      <c r="H48" s="2">
        <v>1.186925762502733E-2</v>
      </c>
      <c r="I48" s="2">
        <v>0.98813074237497267</v>
      </c>
      <c r="J48" s="2">
        <v>2.3738515250054659E-2</v>
      </c>
      <c r="K48" s="2" t="s">
        <v>1</v>
      </c>
    </row>
    <row r="49" spans="1:11" x14ac:dyDescent="0.35">
      <c r="A49" s="2" t="s">
        <v>59</v>
      </c>
      <c r="B49" s="2">
        <v>278</v>
      </c>
      <c r="C49" s="2">
        <v>426</v>
      </c>
      <c r="D49" s="2">
        <v>0.39488636363636359</v>
      </c>
      <c r="E49" s="2">
        <v>0.9999999913119948</v>
      </c>
      <c r="F49" s="2">
        <v>1.348421393509673E-8</v>
      </c>
      <c r="G49" s="2">
        <v>2.6968427870193469E-8</v>
      </c>
      <c r="H49" s="2">
        <v>0.99999998783221156</v>
      </c>
      <c r="I49" s="2">
        <v>1.2167788454856519E-8</v>
      </c>
      <c r="J49" s="2">
        <v>2.4335576886969079E-8</v>
      </c>
      <c r="K49" s="2" t="s">
        <v>2</v>
      </c>
    </row>
    <row r="50" spans="1:11" x14ac:dyDescent="0.35">
      <c r="A50" s="2" t="s">
        <v>60</v>
      </c>
      <c r="B50" s="2">
        <v>487</v>
      </c>
      <c r="C50" s="2">
        <v>217</v>
      </c>
      <c r="D50" s="2">
        <v>0.69176136363636365</v>
      </c>
      <c r="E50" s="2">
        <v>4.9411160066861492E-25</v>
      </c>
      <c r="F50" s="2">
        <v>1</v>
      </c>
      <c r="G50" s="2">
        <v>9.8822320133722983E-25</v>
      </c>
      <c r="H50" s="2">
        <v>0</v>
      </c>
      <c r="I50" s="2">
        <v>1</v>
      </c>
      <c r="J50" s="2">
        <v>0</v>
      </c>
      <c r="K50" s="2" t="s">
        <v>1</v>
      </c>
    </row>
    <row r="51" spans="1:11" x14ac:dyDescent="0.35">
      <c r="A51" s="2" t="s">
        <v>61</v>
      </c>
      <c r="B51" s="2">
        <v>200</v>
      </c>
      <c r="C51" s="2">
        <v>504</v>
      </c>
      <c r="D51" s="2">
        <v>0.28409090909090912</v>
      </c>
      <c r="E51" s="2">
        <v>1</v>
      </c>
      <c r="F51" s="2">
        <v>1.885928027292221E-31</v>
      </c>
      <c r="G51" s="2">
        <v>3.7718560545844412E-31</v>
      </c>
      <c r="H51" s="2">
        <v>1</v>
      </c>
      <c r="I51" s="2">
        <v>1.0791074548134779E-30</v>
      </c>
      <c r="J51" s="2">
        <v>0</v>
      </c>
      <c r="K51" s="2" t="s">
        <v>2</v>
      </c>
    </row>
    <row r="52" spans="1:11" x14ac:dyDescent="0.35">
      <c r="A52" s="2" t="s">
        <v>62</v>
      </c>
      <c r="B52" s="2">
        <v>282</v>
      </c>
      <c r="C52" s="2">
        <v>422</v>
      </c>
      <c r="D52" s="2">
        <v>0.40056818181818182</v>
      </c>
      <c r="E52" s="2">
        <v>0.99999995130455599</v>
      </c>
      <c r="F52" s="2">
        <v>7.3853968232725039E-8</v>
      </c>
      <c r="G52" s="2">
        <v>1.477079364654501E-7</v>
      </c>
      <c r="H52" s="2">
        <v>0.99999993414425803</v>
      </c>
      <c r="I52" s="2">
        <v>6.5855741945611969E-8</v>
      </c>
      <c r="J52" s="2">
        <v>1.3171148394164331E-7</v>
      </c>
      <c r="K52" s="2" t="s">
        <v>2</v>
      </c>
    </row>
    <row r="53" spans="1:11" x14ac:dyDescent="0.35">
      <c r="A53" s="2" t="s">
        <v>63</v>
      </c>
      <c r="B53" s="2">
        <v>265</v>
      </c>
      <c r="C53" s="2">
        <v>439</v>
      </c>
      <c r="D53" s="2">
        <v>0.37642045454545447</v>
      </c>
      <c r="E53" s="2">
        <v>0.99999999998315936</v>
      </c>
      <c r="F53" s="2">
        <v>2.820711655906156E-11</v>
      </c>
      <c r="G53" s="2">
        <v>5.641423311812312E-11</v>
      </c>
      <c r="H53" s="2">
        <v>0.99999999997270939</v>
      </c>
      <c r="I53" s="2">
        <v>2.7290559768363851E-11</v>
      </c>
      <c r="J53" s="2">
        <v>5.4581228425831802E-11</v>
      </c>
      <c r="K53" s="2" t="s">
        <v>2</v>
      </c>
    </row>
    <row r="54" spans="1:11" x14ac:dyDescent="0.35">
      <c r="A54" s="2" t="s">
        <v>64</v>
      </c>
      <c r="B54" s="2">
        <v>180</v>
      </c>
      <c r="C54" s="2">
        <v>524</v>
      </c>
      <c r="D54" s="2">
        <v>0.25568181818181818</v>
      </c>
      <c r="E54" s="2">
        <v>1</v>
      </c>
      <c r="F54" s="2">
        <v>4.0368089073880516E-40</v>
      </c>
      <c r="G54" s="2">
        <v>8.0736178147761049E-40</v>
      </c>
      <c r="H54" s="2">
        <v>1</v>
      </c>
      <c r="I54" s="2">
        <v>9.6630554405166921E-39</v>
      </c>
      <c r="J54" s="2">
        <v>0</v>
      </c>
      <c r="K54" s="2" t="s">
        <v>2</v>
      </c>
    </row>
    <row r="55" spans="1:11" x14ac:dyDescent="0.35">
      <c r="A55" s="2" t="s">
        <v>65</v>
      </c>
      <c r="B55" s="2">
        <v>205</v>
      </c>
      <c r="C55" s="2">
        <v>499</v>
      </c>
      <c r="D55" s="2">
        <v>0.29119318181818182</v>
      </c>
      <c r="E55" s="2">
        <v>1</v>
      </c>
      <c r="F55" s="2">
        <v>1.7849653315840999E-29</v>
      </c>
      <c r="G55" s="2">
        <v>3.5699306631681998E-29</v>
      </c>
      <c r="H55" s="2">
        <v>1</v>
      </c>
      <c r="I55" s="2">
        <v>7.7962965122216599E-29</v>
      </c>
      <c r="J55" s="2">
        <v>0</v>
      </c>
      <c r="K55" s="2" t="s">
        <v>2</v>
      </c>
    </row>
    <row r="56" spans="1:11" x14ac:dyDescent="0.35">
      <c r="A56" s="2" t="s">
        <v>66</v>
      </c>
      <c r="B56" s="2">
        <v>233</v>
      </c>
      <c r="C56" s="2">
        <v>471</v>
      </c>
      <c r="D56" s="2">
        <v>0.33096590909090912</v>
      </c>
      <c r="E56" s="2">
        <v>1</v>
      </c>
      <c r="F56" s="2">
        <v>9.4747657568744627E-20</v>
      </c>
      <c r="G56" s="2">
        <v>1.894953151374893E-19</v>
      </c>
      <c r="H56" s="2">
        <v>1</v>
      </c>
      <c r="I56" s="2">
        <v>1.4830770024941601E-19</v>
      </c>
      <c r="J56" s="2">
        <v>0</v>
      </c>
      <c r="K56" s="2" t="s">
        <v>2</v>
      </c>
    </row>
    <row r="57" spans="1:11" x14ac:dyDescent="0.35">
      <c r="A57" s="2" t="s">
        <v>67</v>
      </c>
      <c r="B57" s="2">
        <v>348</v>
      </c>
      <c r="C57" s="2">
        <v>356</v>
      </c>
      <c r="D57" s="2">
        <v>0.49431818181818182</v>
      </c>
      <c r="E57" s="2">
        <v>0.63275715045003333</v>
      </c>
      <c r="F57" s="2">
        <v>0.39596959597855169</v>
      </c>
      <c r="G57" s="2">
        <v>0.79193919195710338</v>
      </c>
      <c r="H57" s="2">
        <v>0.61848769972350237</v>
      </c>
      <c r="I57" s="2">
        <v>0.38151230027649757</v>
      </c>
      <c r="J57" s="2">
        <v>0.76302460055299526</v>
      </c>
      <c r="K57" s="2" t="s">
        <v>12</v>
      </c>
    </row>
    <row r="58" spans="1:11" x14ac:dyDescent="0.35">
      <c r="A58" s="2" t="s">
        <v>68</v>
      </c>
      <c r="B58" s="2">
        <v>409</v>
      </c>
      <c r="C58" s="2">
        <v>295</v>
      </c>
      <c r="D58" s="2">
        <v>0.58096590909090906</v>
      </c>
      <c r="E58" s="2">
        <v>9.8807434232840573E-6</v>
      </c>
      <c r="F58" s="2">
        <v>0.99999298654494129</v>
      </c>
      <c r="G58" s="2">
        <v>1.9761486846568111E-5</v>
      </c>
      <c r="H58" s="2">
        <v>8.6743644028830502E-6</v>
      </c>
      <c r="I58" s="2">
        <v>0.99999132563559712</v>
      </c>
      <c r="J58" s="2">
        <v>1.73487288057661E-5</v>
      </c>
      <c r="K58" s="2" t="s">
        <v>1</v>
      </c>
    </row>
    <row r="59" spans="1:11" x14ac:dyDescent="0.35">
      <c r="A59" s="2" t="s">
        <v>69</v>
      </c>
      <c r="B59" s="2">
        <v>179</v>
      </c>
      <c r="C59" s="2">
        <v>525</v>
      </c>
      <c r="D59" s="2">
        <v>0.25426136363636359</v>
      </c>
      <c r="E59" s="2">
        <v>1</v>
      </c>
      <c r="F59" s="2">
        <v>1.378744080652062E-40</v>
      </c>
      <c r="G59" s="2">
        <v>2.7574881613041239E-40</v>
      </c>
      <c r="H59" s="2">
        <v>1</v>
      </c>
      <c r="I59" s="2">
        <v>3.6055191761920078E-39</v>
      </c>
      <c r="J59" s="2">
        <v>0</v>
      </c>
      <c r="K59" s="2" t="s">
        <v>2</v>
      </c>
    </row>
    <row r="60" spans="1:11" x14ac:dyDescent="0.35">
      <c r="A60" s="2" t="s">
        <v>70</v>
      </c>
      <c r="B60" s="2">
        <v>528</v>
      </c>
      <c r="C60" s="2">
        <v>176</v>
      </c>
      <c r="D60" s="2">
        <v>0.75</v>
      </c>
      <c r="E60" s="2">
        <v>5.2525601200730668E-42</v>
      </c>
      <c r="F60" s="2">
        <v>1</v>
      </c>
      <c r="G60" s="2">
        <v>1.050512024014613E-41</v>
      </c>
      <c r="H60" s="2">
        <v>0</v>
      </c>
      <c r="I60" s="2">
        <v>1</v>
      </c>
      <c r="J60" s="2">
        <v>0</v>
      </c>
      <c r="K60" s="2" t="s">
        <v>1</v>
      </c>
    </row>
    <row r="61" spans="1:11" x14ac:dyDescent="0.35">
      <c r="A61" s="2" t="s">
        <v>71</v>
      </c>
      <c r="B61" s="2">
        <v>355</v>
      </c>
      <c r="C61" s="2">
        <v>349</v>
      </c>
      <c r="D61" s="2">
        <v>0.50426136363636365</v>
      </c>
      <c r="E61" s="2">
        <v>0.42527252356759487</v>
      </c>
      <c r="F61" s="2">
        <v>0.60403040402144836</v>
      </c>
      <c r="G61" s="2">
        <v>0.85054504713518975</v>
      </c>
      <c r="H61" s="2">
        <v>0.41054879177597958</v>
      </c>
      <c r="I61" s="2">
        <v>0.58945120822402042</v>
      </c>
      <c r="J61" s="2">
        <v>0.82109758355195916</v>
      </c>
      <c r="K61" s="2" t="s">
        <v>12</v>
      </c>
    </row>
    <row r="62" spans="1:11" x14ac:dyDescent="0.35">
      <c r="A62" s="2" t="s">
        <v>72</v>
      </c>
      <c r="B62" s="2">
        <v>325</v>
      </c>
      <c r="C62" s="2">
        <v>379</v>
      </c>
      <c r="D62" s="2">
        <v>0.46164772727272729</v>
      </c>
      <c r="E62" s="2">
        <v>0.98094645180629603</v>
      </c>
      <c r="F62" s="2">
        <v>2.284636495568472E-2</v>
      </c>
      <c r="G62" s="2">
        <v>4.5692729911369447E-2</v>
      </c>
      <c r="H62" s="2">
        <v>0.97908470271737758</v>
      </c>
      <c r="I62" s="2">
        <v>2.091529728262238E-2</v>
      </c>
      <c r="J62" s="2">
        <v>4.183059456524485E-2</v>
      </c>
      <c r="K62" s="2" t="s">
        <v>2</v>
      </c>
    </row>
    <row r="63" spans="1:11" x14ac:dyDescent="0.35">
      <c r="A63" s="2" t="s">
        <v>73</v>
      </c>
      <c r="B63" s="2">
        <v>466</v>
      </c>
      <c r="C63" s="2">
        <v>238</v>
      </c>
      <c r="D63" s="2">
        <v>0.66193181818181823</v>
      </c>
      <c r="E63" s="2">
        <v>3.0305948869746912E-18</v>
      </c>
      <c r="F63" s="2">
        <v>1</v>
      </c>
      <c r="G63" s="2">
        <v>6.0611897739493824E-18</v>
      </c>
      <c r="H63" s="2">
        <v>0</v>
      </c>
      <c r="I63" s="2">
        <v>1</v>
      </c>
      <c r="J63" s="2">
        <v>0</v>
      </c>
      <c r="K63" s="2" t="s">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358</v>
      </c>
      <c r="C2" s="2">
        <v>346</v>
      </c>
      <c r="D2" s="2">
        <v>0.50852272727272729</v>
      </c>
      <c r="E2" s="2">
        <v>0.33924030681285811</v>
      </c>
      <c r="F2" s="2">
        <v>0.68790182259992472</v>
      </c>
      <c r="G2" s="2">
        <v>0.6784806136257161</v>
      </c>
      <c r="H2" s="2">
        <v>0.32553831703891678</v>
      </c>
      <c r="I2" s="2">
        <v>0.67446168296108322</v>
      </c>
      <c r="J2" s="2">
        <v>0.65107663407783356</v>
      </c>
      <c r="K2" s="2" t="s">
        <v>12</v>
      </c>
    </row>
    <row r="3" spans="1:11" x14ac:dyDescent="0.35">
      <c r="A3" s="2" t="s">
        <v>13</v>
      </c>
      <c r="B3" s="2">
        <v>345</v>
      </c>
      <c r="C3" s="2">
        <v>359</v>
      </c>
      <c r="D3" s="2">
        <v>0.49005681818181818</v>
      </c>
      <c r="E3" s="2">
        <v>0.71406108938773216</v>
      </c>
      <c r="F3" s="2">
        <v>0.31209817740007528</v>
      </c>
      <c r="G3" s="2">
        <v>0.62419635480015057</v>
      </c>
      <c r="H3" s="2">
        <v>0.70112707214848013</v>
      </c>
      <c r="I3" s="2">
        <v>0.29887292785151992</v>
      </c>
      <c r="J3" s="2">
        <v>0.59774585570303973</v>
      </c>
      <c r="K3" s="2" t="s">
        <v>12</v>
      </c>
    </row>
    <row r="4" spans="1:11" x14ac:dyDescent="0.35">
      <c r="A4" s="2" t="s">
        <v>14</v>
      </c>
      <c r="B4" s="2">
        <v>295</v>
      </c>
      <c r="C4" s="2">
        <v>409</v>
      </c>
      <c r="D4" s="2">
        <v>0.41903409090909088</v>
      </c>
      <c r="E4" s="2">
        <v>0.99999298654494129</v>
      </c>
      <c r="F4" s="2">
        <v>9.8807434232840573E-6</v>
      </c>
      <c r="G4" s="2">
        <v>1.9761486846568111E-5</v>
      </c>
      <c r="H4" s="2">
        <v>0.99999132563559712</v>
      </c>
      <c r="I4" s="2">
        <v>8.6743644029296506E-6</v>
      </c>
      <c r="J4" s="2">
        <v>1.73487288057661E-5</v>
      </c>
      <c r="K4" s="2" t="s">
        <v>2</v>
      </c>
    </row>
    <row r="5" spans="1:11" x14ac:dyDescent="0.35">
      <c r="A5" s="2" t="s">
        <v>15</v>
      </c>
      <c r="B5" s="2">
        <v>303</v>
      </c>
      <c r="C5" s="2">
        <v>401</v>
      </c>
      <c r="D5" s="2">
        <v>0.43039772727272729</v>
      </c>
      <c r="E5" s="2">
        <v>0.99990686743660029</v>
      </c>
      <c r="F5" s="2">
        <v>1.2551204111500489E-4</v>
      </c>
      <c r="G5" s="2">
        <v>2.5102408223000972E-4</v>
      </c>
      <c r="H5" s="2">
        <v>0.99988941182370716</v>
      </c>
      <c r="I5" s="2">
        <v>1.1058817629283019E-4</v>
      </c>
      <c r="J5" s="2">
        <v>2.211763525856725E-4</v>
      </c>
      <c r="K5" s="2" t="s">
        <v>2</v>
      </c>
    </row>
    <row r="6" spans="1:11" x14ac:dyDescent="0.35">
      <c r="A6" s="2" t="s">
        <v>16</v>
      </c>
      <c r="B6" s="2">
        <v>251</v>
      </c>
      <c r="C6" s="2">
        <v>453</v>
      </c>
      <c r="D6" s="2">
        <v>0.35653409090909088</v>
      </c>
      <c r="E6" s="2">
        <v>0.99999999999999645</v>
      </c>
      <c r="F6" s="2">
        <v>6.5633437089035283E-15</v>
      </c>
      <c r="G6" s="2">
        <v>1.312668741780706E-14</v>
      </c>
      <c r="H6" s="2">
        <v>0.99999999999998668</v>
      </c>
      <c r="I6" s="2">
        <v>1.3373566472415501E-14</v>
      </c>
      <c r="J6" s="2">
        <v>2.664535259100376E-14</v>
      </c>
      <c r="K6" s="2" t="s">
        <v>2</v>
      </c>
    </row>
    <row r="7" spans="1:11" x14ac:dyDescent="0.35">
      <c r="A7" s="2" t="s">
        <v>17</v>
      </c>
      <c r="B7" s="2">
        <v>318</v>
      </c>
      <c r="C7" s="2">
        <v>386</v>
      </c>
      <c r="D7" s="2">
        <v>0.45170454545454553</v>
      </c>
      <c r="E7" s="2">
        <v>0.99537016444620019</v>
      </c>
      <c r="F7" s="2">
        <v>5.7558510126729696E-3</v>
      </c>
      <c r="G7" s="2">
        <v>1.1511702025345939E-2</v>
      </c>
      <c r="H7" s="2">
        <v>0.99480910210514906</v>
      </c>
      <c r="I7" s="2">
        <v>5.1908978948508964E-3</v>
      </c>
      <c r="J7" s="2">
        <v>1.038179578970189E-2</v>
      </c>
      <c r="K7" s="2" t="s">
        <v>2</v>
      </c>
    </row>
    <row r="8" spans="1:11" x14ac:dyDescent="0.35">
      <c r="A8" s="2" t="s">
        <v>18</v>
      </c>
      <c r="B8" s="2">
        <v>399</v>
      </c>
      <c r="C8" s="2">
        <v>305</v>
      </c>
      <c r="D8" s="2">
        <v>0.56676136363636365</v>
      </c>
      <c r="E8" s="2">
        <v>2.2423766932352069E-4</v>
      </c>
      <c r="F8" s="2">
        <v>0.99983177687150404</v>
      </c>
      <c r="G8" s="2">
        <v>4.4847533864704139E-4</v>
      </c>
      <c r="H8" s="2">
        <v>1.9798271821658281E-4</v>
      </c>
      <c r="I8" s="2">
        <v>0.99980201728178342</v>
      </c>
      <c r="J8" s="2">
        <v>3.9596543643316551E-4</v>
      </c>
      <c r="K8" s="2" t="s">
        <v>1</v>
      </c>
    </row>
    <row r="9" spans="1:11" x14ac:dyDescent="0.35">
      <c r="A9" s="2" t="s">
        <v>19</v>
      </c>
      <c r="B9" s="2">
        <v>440</v>
      </c>
      <c r="C9" s="2">
        <v>264</v>
      </c>
      <c r="D9" s="2">
        <v>0.625</v>
      </c>
      <c r="E9" s="2">
        <v>1.6840591736383231E-11</v>
      </c>
      <c r="F9" s="2">
        <v>0.99999999999000511</v>
      </c>
      <c r="G9" s="2">
        <v>3.3681183472766463E-11</v>
      </c>
      <c r="H9" s="2">
        <v>1.6418755244274049E-11</v>
      </c>
      <c r="I9" s="2">
        <v>0.99999999998358124</v>
      </c>
      <c r="J9" s="2">
        <v>3.2837510488548112E-11</v>
      </c>
      <c r="K9" s="2" t="s">
        <v>1</v>
      </c>
    </row>
    <row r="10" spans="1:11" x14ac:dyDescent="0.35">
      <c r="A10" s="2" t="s">
        <v>20</v>
      </c>
      <c r="B10" s="2">
        <v>358</v>
      </c>
      <c r="C10" s="2">
        <v>346</v>
      </c>
      <c r="D10" s="2">
        <v>0.50852272727272729</v>
      </c>
      <c r="E10" s="2">
        <v>0.33924030681285811</v>
      </c>
      <c r="F10" s="2">
        <v>0.68790182259992472</v>
      </c>
      <c r="G10" s="2">
        <v>0.6784806136257161</v>
      </c>
      <c r="H10" s="2">
        <v>0.32553831703891678</v>
      </c>
      <c r="I10" s="2">
        <v>0.67446168296108322</v>
      </c>
      <c r="J10" s="2">
        <v>0.65107663407783356</v>
      </c>
      <c r="K10" s="2" t="s">
        <v>12</v>
      </c>
    </row>
    <row r="11" spans="1:11" x14ac:dyDescent="0.35">
      <c r="A11" s="2" t="s">
        <v>21</v>
      </c>
      <c r="B11" s="2">
        <v>306</v>
      </c>
      <c r="C11" s="2">
        <v>398</v>
      </c>
      <c r="D11" s="2">
        <v>0.43465909090909088</v>
      </c>
      <c r="E11" s="2">
        <v>0.99977576233067644</v>
      </c>
      <c r="F11" s="2">
        <v>2.9727623726529142E-4</v>
      </c>
      <c r="G11" s="2">
        <v>5.9455247453058272E-4</v>
      </c>
      <c r="H11" s="2">
        <v>0.99973722128086362</v>
      </c>
      <c r="I11" s="2">
        <v>2.627787191364202E-4</v>
      </c>
      <c r="J11" s="2">
        <v>5.2555743827276125E-4</v>
      </c>
      <c r="K11" s="2" t="s">
        <v>2</v>
      </c>
    </row>
    <row r="12" spans="1:11" x14ac:dyDescent="0.35">
      <c r="A12" s="2" t="s">
        <v>22</v>
      </c>
      <c r="B12" s="2">
        <v>361</v>
      </c>
      <c r="C12" s="2">
        <v>343</v>
      </c>
      <c r="D12" s="2">
        <v>0.51278409090909094</v>
      </c>
      <c r="E12" s="2">
        <v>0.26086961327395092</v>
      </c>
      <c r="F12" s="2">
        <v>0.76301913543624389</v>
      </c>
      <c r="G12" s="2">
        <v>0.52173922654790184</v>
      </c>
      <c r="H12" s="2">
        <v>0.2487588880649938</v>
      </c>
      <c r="I12" s="2">
        <v>0.7512411119350062</v>
      </c>
      <c r="J12" s="2">
        <v>0.4975177761299876</v>
      </c>
      <c r="K12" s="2" t="s">
        <v>12</v>
      </c>
    </row>
    <row r="13" spans="1:11" x14ac:dyDescent="0.35">
      <c r="A13" s="2" t="s">
        <v>23</v>
      </c>
      <c r="B13" s="2">
        <v>424</v>
      </c>
      <c r="C13" s="2">
        <v>280</v>
      </c>
      <c r="D13" s="2">
        <v>0.60227272727272729</v>
      </c>
      <c r="E13" s="2">
        <v>3.1923094571434119E-8</v>
      </c>
      <c r="F13" s="2">
        <v>0.99999997919254269</v>
      </c>
      <c r="G13" s="2">
        <v>6.3846189142868239E-8</v>
      </c>
      <c r="H13" s="2">
        <v>2.8621812142581859E-8</v>
      </c>
      <c r="I13" s="2">
        <v>0.99999997137818786</v>
      </c>
      <c r="J13" s="2">
        <v>5.7243624285163719E-8</v>
      </c>
      <c r="K13" s="2" t="s">
        <v>1</v>
      </c>
    </row>
    <row r="14" spans="1:11" x14ac:dyDescent="0.35">
      <c r="A14" s="2" t="s">
        <v>24</v>
      </c>
      <c r="B14" s="2">
        <v>529</v>
      </c>
      <c r="C14" s="2">
        <v>175</v>
      </c>
      <c r="D14" s="2">
        <v>0.75142045454545459</v>
      </c>
      <c r="E14" s="2">
        <v>1.741043016652972E-42</v>
      </c>
      <c r="F14" s="2">
        <v>1</v>
      </c>
      <c r="G14" s="2">
        <v>3.4820860333059433E-42</v>
      </c>
      <c r="H14" s="2">
        <v>0</v>
      </c>
      <c r="I14" s="2">
        <v>1</v>
      </c>
      <c r="J14" s="2">
        <v>0</v>
      </c>
      <c r="K14" s="2" t="s">
        <v>1</v>
      </c>
    </row>
    <row r="15" spans="1:11" x14ac:dyDescent="0.35">
      <c r="A15" s="2" t="s">
        <v>25</v>
      </c>
      <c r="B15" s="2">
        <v>331</v>
      </c>
      <c r="C15" s="2">
        <v>373</v>
      </c>
      <c r="D15" s="2">
        <v>0.47017045454545447</v>
      </c>
      <c r="E15" s="2">
        <v>0.94748427449911499</v>
      </c>
      <c r="F15" s="2">
        <v>6.1112744934414411E-2</v>
      </c>
      <c r="G15" s="2">
        <v>0.12222548986882879</v>
      </c>
      <c r="H15" s="2">
        <v>0.94328180958190877</v>
      </c>
      <c r="I15" s="2">
        <v>5.6718190418091237E-2</v>
      </c>
      <c r="J15" s="2">
        <v>0.1134363808361825</v>
      </c>
      <c r="K15" s="2" t="s">
        <v>12</v>
      </c>
    </row>
    <row r="16" spans="1:11" x14ac:dyDescent="0.35">
      <c r="A16" s="2" t="s">
        <v>26</v>
      </c>
      <c r="B16" s="2">
        <v>361</v>
      </c>
      <c r="C16" s="2">
        <v>343</v>
      </c>
      <c r="D16" s="2">
        <v>0.51278409090909094</v>
      </c>
      <c r="E16" s="2">
        <v>0.26086961327395092</v>
      </c>
      <c r="F16" s="2">
        <v>0.76301913543624389</v>
      </c>
      <c r="G16" s="2">
        <v>0.52173922654790184</v>
      </c>
      <c r="H16" s="2">
        <v>0.2487588880649938</v>
      </c>
      <c r="I16" s="2">
        <v>0.7512411119350062</v>
      </c>
      <c r="J16" s="2">
        <v>0.4975177761299876</v>
      </c>
      <c r="K16" s="2" t="s">
        <v>12</v>
      </c>
    </row>
    <row r="17" spans="1:11" x14ac:dyDescent="0.35">
      <c r="A17" s="2" t="s">
        <v>27</v>
      </c>
      <c r="B17" s="2">
        <v>407</v>
      </c>
      <c r="C17" s="2">
        <v>297</v>
      </c>
      <c r="D17" s="2">
        <v>0.578125</v>
      </c>
      <c r="E17" s="2">
        <v>1.9285241824994172E-5</v>
      </c>
      <c r="F17" s="2">
        <v>0.99998615736150531</v>
      </c>
      <c r="G17" s="2">
        <v>3.8570483649988343E-5</v>
      </c>
      <c r="H17" s="2">
        <v>1.6932870656627411E-5</v>
      </c>
      <c r="I17" s="2">
        <v>0.99998306712934337</v>
      </c>
      <c r="J17" s="2">
        <v>3.3865741313254823E-5</v>
      </c>
      <c r="K17" s="2" t="s">
        <v>1</v>
      </c>
    </row>
    <row r="18" spans="1:11" x14ac:dyDescent="0.35">
      <c r="A18" s="2" t="s">
        <v>28</v>
      </c>
      <c r="B18" s="2">
        <v>369</v>
      </c>
      <c r="C18" s="2">
        <v>335</v>
      </c>
      <c r="D18" s="2">
        <v>0.52414772727272729</v>
      </c>
      <c r="E18" s="2">
        <v>0.1067839002741523</v>
      </c>
      <c r="F18" s="2">
        <v>0.90645347017408007</v>
      </c>
      <c r="G18" s="2">
        <v>0.21356780054830449</v>
      </c>
      <c r="H18" s="2">
        <v>0.1000225272546644</v>
      </c>
      <c r="I18" s="2">
        <v>0.89997747274533557</v>
      </c>
      <c r="J18" s="2">
        <v>0.20004505450932891</v>
      </c>
      <c r="K18" s="2" t="s">
        <v>12</v>
      </c>
    </row>
    <row r="19" spans="1:11" x14ac:dyDescent="0.35">
      <c r="A19" s="2" t="s">
        <v>29</v>
      </c>
      <c r="B19" s="2">
        <v>380</v>
      </c>
      <c r="C19" s="2">
        <v>324</v>
      </c>
      <c r="D19" s="2">
        <v>0.53977272727272729</v>
      </c>
      <c r="E19" s="2">
        <v>1.9053548193704001E-2</v>
      </c>
      <c r="F19" s="2">
        <v>0.98419030824746367</v>
      </c>
      <c r="G19" s="2">
        <v>3.8107096387408002E-2</v>
      </c>
      <c r="H19" s="2">
        <v>1.7404239405933501E-2</v>
      </c>
      <c r="I19" s="2">
        <v>0.9825957605940665</v>
      </c>
      <c r="J19" s="2">
        <v>3.4808478811866987E-2</v>
      </c>
      <c r="K19" s="2" t="s">
        <v>1</v>
      </c>
    </row>
    <row r="20" spans="1:11" x14ac:dyDescent="0.35">
      <c r="A20" s="2" t="s">
        <v>30</v>
      </c>
      <c r="B20" s="2">
        <v>338</v>
      </c>
      <c r="C20" s="2">
        <v>366</v>
      </c>
      <c r="D20" s="2">
        <v>0.48011363636363641</v>
      </c>
      <c r="E20" s="2">
        <v>0.86280388643582817</v>
      </c>
      <c r="F20" s="2">
        <v>0.15443289176760841</v>
      </c>
      <c r="G20" s="2">
        <v>0.30886578353521688</v>
      </c>
      <c r="H20" s="2">
        <v>0.85435357619109364</v>
      </c>
      <c r="I20" s="2">
        <v>0.1456464238089063</v>
      </c>
      <c r="J20" s="2">
        <v>0.29129284761781271</v>
      </c>
      <c r="K20" s="2" t="s">
        <v>12</v>
      </c>
    </row>
    <row r="21" spans="1:11" x14ac:dyDescent="0.35">
      <c r="A21" s="2" t="s">
        <v>31</v>
      </c>
      <c r="B21" s="2">
        <v>286</v>
      </c>
      <c r="C21" s="2">
        <v>418</v>
      </c>
      <c r="D21" s="2">
        <v>0.40625</v>
      </c>
      <c r="E21" s="2">
        <v>0.99999975106193439</v>
      </c>
      <c r="F21" s="2">
        <v>3.6900608683083041E-7</v>
      </c>
      <c r="G21" s="2">
        <v>7.3801217366166082E-7</v>
      </c>
      <c r="H21" s="2">
        <v>0.99999967365599507</v>
      </c>
      <c r="I21" s="2">
        <v>3.2634400491955672E-7</v>
      </c>
      <c r="J21" s="2">
        <v>6.5268800986117981E-7</v>
      </c>
      <c r="K21" s="2" t="s">
        <v>2</v>
      </c>
    </row>
    <row r="22" spans="1:11" x14ac:dyDescent="0.35">
      <c r="A22" s="2" t="s">
        <v>32</v>
      </c>
      <c r="B22" s="2">
        <v>295</v>
      </c>
      <c r="C22" s="2">
        <v>409</v>
      </c>
      <c r="D22" s="2">
        <v>0.41903409090909088</v>
      </c>
      <c r="E22" s="2">
        <v>0.99999298654494129</v>
      </c>
      <c r="F22" s="2">
        <v>9.8807434232840573E-6</v>
      </c>
      <c r="G22" s="2">
        <v>1.9761486846568111E-5</v>
      </c>
      <c r="H22" s="2">
        <v>0.99999132563559712</v>
      </c>
      <c r="I22" s="2">
        <v>8.6743644029296506E-6</v>
      </c>
      <c r="J22" s="2">
        <v>1.73487288057661E-5</v>
      </c>
      <c r="K22" s="2" t="s">
        <v>2</v>
      </c>
    </row>
    <row r="23" spans="1:11" x14ac:dyDescent="0.35">
      <c r="A23" s="2" t="s">
        <v>33</v>
      </c>
      <c r="B23" s="2">
        <v>426</v>
      </c>
      <c r="C23" s="2">
        <v>278</v>
      </c>
      <c r="D23" s="2">
        <v>0.60511363636363635</v>
      </c>
      <c r="E23" s="2">
        <v>1.348421393509673E-8</v>
      </c>
      <c r="F23" s="2">
        <v>0.9999999913119948</v>
      </c>
      <c r="G23" s="2">
        <v>2.6968427870193469E-8</v>
      </c>
      <c r="H23" s="2">
        <v>1.216778844348454E-8</v>
      </c>
      <c r="I23" s="2">
        <v>0.99999998783221156</v>
      </c>
      <c r="J23" s="2">
        <v>2.4335576886969079E-8</v>
      </c>
      <c r="K23" s="2" t="s">
        <v>1</v>
      </c>
    </row>
    <row r="24" spans="1:11" x14ac:dyDescent="0.35">
      <c r="A24" s="2" t="s">
        <v>34</v>
      </c>
      <c r="B24" s="2">
        <v>481</v>
      </c>
      <c r="C24" s="2">
        <v>223</v>
      </c>
      <c r="D24" s="2">
        <v>0.68323863636363635</v>
      </c>
      <c r="E24" s="2">
        <v>5.7444478971644066E-23</v>
      </c>
      <c r="F24" s="2">
        <v>1</v>
      </c>
      <c r="G24" s="2">
        <v>1.1488895794328811E-22</v>
      </c>
      <c r="H24" s="2">
        <v>0</v>
      </c>
      <c r="I24" s="2">
        <v>1</v>
      </c>
      <c r="J24" s="2">
        <v>0</v>
      </c>
      <c r="K24" s="2" t="s">
        <v>1</v>
      </c>
    </row>
    <row r="25" spans="1:11" x14ac:dyDescent="0.35">
      <c r="A25" s="2" t="s">
        <v>35</v>
      </c>
      <c r="B25" s="2">
        <v>253</v>
      </c>
      <c r="C25" s="2">
        <v>451</v>
      </c>
      <c r="D25" s="2">
        <v>0.359375</v>
      </c>
      <c r="E25" s="2">
        <v>0.99999999999997835</v>
      </c>
      <c r="F25" s="2">
        <v>3.8989699383371863E-14</v>
      </c>
      <c r="G25" s="2">
        <v>7.7979398766743726E-14</v>
      </c>
      <c r="H25" s="2">
        <v>0.99999999999995748</v>
      </c>
      <c r="I25" s="2">
        <v>4.2478382908461559E-14</v>
      </c>
      <c r="J25" s="2">
        <v>8.5043083686286991E-14</v>
      </c>
      <c r="K25" s="2" t="s">
        <v>2</v>
      </c>
    </row>
    <row r="26" spans="1:11" x14ac:dyDescent="0.35">
      <c r="A26" s="2" t="s">
        <v>36</v>
      </c>
      <c r="B26" s="2">
        <v>334</v>
      </c>
      <c r="C26" s="2">
        <v>370</v>
      </c>
      <c r="D26" s="2">
        <v>0.47443181818181818</v>
      </c>
      <c r="E26" s="2">
        <v>0.91843865693126425</v>
      </c>
      <c r="F26" s="2">
        <v>9.3546529825919919E-2</v>
      </c>
      <c r="G26" s="2">
        <v>0.18709305965183981</v>
      </c>
      <c r="H26" s="2">
        <v>0.91257778319479266</v>
      </c>
      <c r="I26" s="2">
        <v>8.7422216805207342E-2</v>
      </c>
      <c r="J26" s="2">
        <v>0.17484443361041471</v>
      </c>
      <c r="K26" s="2" t="s">
        <v>12</v>
      </c>
    </row>
    <row r="27" spans="1:11" x14ac:dyDescent="0.35">
      <c r="A27" s="2" t="s">
        <v>37</v>
      </c>
      <c r="B27" s="2">
        <v>342</v>
      </c>
      <c r="C27" s="2">
        <v>362</v>
      </c>
      <c r="D27" s="2">
        <v>0.48579545454545447</v>
      </c>
      <c r="E27" s="2">
        <v>0.78565405479424744</v>
      </c>
      <c r="F27" s="2">
        <v>0.23698086456375611</v>
      </c>
      <c r="G27" s="2">
        <v>0.47396172912751222</v>
      </c>
      <c r="H27" s="2">
        <v>0.77450884036555889</v>
      </c>
      <c r="I27" s="2">
        <v>0.22549115963444111</v>
      </c>
      <c r="J27" s="2">
        <v>0.45098231926888221</v>
      </c>
      <c r="K27" s="2" t="s">
        <v>12</v>
      </c>
    </row>
    <row r="28" spans="1:11" x14ac:dyDescent="0.35">
      <c r="A28" s="2" t="s">
        <v>38</v>
      </c>
      <c r="B28" s="2">
        <v>383</v>
      </c>
      <c r="C28" s="2">
        <v>321</v>
      </c>
      <c r="D28" s="2">
        <v>0.54403409090909094</v>
      </c>
      <c r="E28" s="2">
        <v>1.07186411397128E-2</v>
      </c>
      <c r="F28" s="2">
        <v>0.99124236032330704</v>
      </c>
      <c r="G28" s="2">
        <v>2.143728227942561E-2</v>
      </c>
      <c r="H28" s="2">
        <v>9.727058132618871E-3</v>
      </c>
      <c r="I28" s="2">
        <v>0.99027294186738113</v>
      </c>
      <c r="J28" s="2">
        <v>1.9454116265237738E-2</v>
      </c>
      <c r="K28" s="2" t="s">
        <v>1</v>
      </c>
    </row>
    <row r="29" spans="1:11" x14ac:dyDescent="0.35">
      <c r="A29" s="2" t="s">
        <v>39</v>
      </c>
      <c r="B29" s="2">
        <v>400</v>
      </c>
      <c r="C29" s="2">
        <v>304</v>
      </c>
      <c r="D29" s="2">
        <v>0.56818181818181823</v>
      </c>
      <c r="E29" s="2">
        <v>1.682231284959967E-4</v>
      </c>
      <c r="F29" s="2">
        <v>0.99987448795888501</v>
      </c>
      <c r="G29" s="2">
        <v>3.3644625699199351E-4</v>
      </c>
      <c r="H29" s="2">
        <v>1.4836615564661759E-4</v>
      </c>
      <c r="I29" s="2">
        <v>0.99985163384435338</v>
      </c>
      <c r="J29" s="2">
        <v>2.9673231129323518E-4</v>
      </c>
      <c r="K29" s="2" t="s">
        <v>1</v>
      </c>
    </row>
    <row r="30" spans="1:11" x14ac:dyDescent="0.35">
      <c r="A30" s="2" t="s">
        <v>40</v>
      </c>
      <c r="B30" s="2">
        <v>378</v>
      </c>
      <c r="C30" s="2">
        <v>326</v>
      </c>
      <c r="D30" s="2">
        <v>0.53693181818181823</v>
      </c>
      <c r="E30" s="2">
        <v>2.7255805301668649E-2</v>
      </c>
      <c r="F30" s="2">
        <v>0.97715363504431529</v>
      </c>
      <c r="G30" s="2">
        <v>5.4511610603337292E-2</v>
      </c>
      <c r="H30" s="2">
        <v>2.5008197742822699E-2</v>
      </c>
      <c r="I30" s="2">
        <v>0.9749918022571773</v>
      </c>
      <c r="J30" s="2">
        <v>5.0016395485645397E-2</v>
      </c>
      <c r="K30" s="2" t="s">
        <v>1</v>
      </c>
    </row>
    <row r="31" spans="1:11" x14ac:dyDescent="0.35">
      <c r="A31" s="2" t="s">
        <v>41</v>
      </c>
      <c r="B31" s="2">
        <v>317</v>
      </c>
      <c r="C31" s="2">
        <v>387</v>
      </c>
      <c r="D31" s="2">
        <v>0.45028409090909088</v>
      </c>
      <c r="E31" s="2">
        <v>0.99629541745891781</v>
      </c>
      <c r="F31" s="2">
        <v>4.6298355537997774E-3</v>
      </c>
      <c r="G31" s="2">
        <v>9.2596711075995548E-3</v>
      </c>
      <c r="H31" s="2">
        <v>0.99583292771109133</v>
      </c>
      <c r="I31" s="2">
        <v>4.1670722889086756E-3</v>
      </c>
      <c r="J31" s="2">
        <v>8.3341445778173373E-3</v>
      </c>
      <c r="K31" s="2" t="s">
        <v>2</v>
      </c>
    </row>
    <row r="32" spans="1:11" x14ac:dyDescent="0.35">
      <c r="A32" s="2" t="s">
        <v>42</v>
      </c>
      <c r="B32" s="2">
        <v>267</v>
      </c>
      <c r="C32" s="2">
        <v>437</v>
      </c>
      <c r="D32" s="2">
        <v>0.37926136363636359</v>
      </c>
      <c r="E32" s="2">
        <v>0.99999999995303379</v>
      </c>
      <c r="F32" s="2">
        <v>7.773941077768152E-11</v>
      </c>
      <c r="G32" s="2">
        <v>1.5547882155536299E-10</v>
      </c>
      <c r="H32" s="2">
        <v>0.99999999992585109</v>
      </c>
      <c r="I32" s="2">
        <v>7.4148960233511592E-11</v>
      </c>
      <c r="J32" s="2">
        <v>1.4829781846970041E-10</v>
      </c>
      <c r="K32" s="2" t="s">
        <v>2</v>
      </c>
    </row>
    <row r="33" spans="1:11" x14ac:dyDescent="0.35">
      <c r="A33" s="2" t="s">
        <v>43</v>
      </c>
      <c r="B33" s="2">
        <v>272</v>
      </c>
      <c r="C33" s="2">
        <v>432</v>
      </c>
      <c r="D33" s="2">
        <v>0.38636363636363641</v>
      </c>
      <c r="E33" s="2">
        <v>0.99999999944987261</v>
      </c>
      <c r="F33" s="2">
        <v>8.8418329764702732E-10</v>
      </c>
      <c r="G33" s="2">
        <v>1.7683665952940551E-9</v>
      </c>
      <c r="H33" s="2">
        <v>0.99999999918135174</v>
      </c>
      <c r="I33" s="2">
        <v>8.1864822514841845E-10</v>
      </c>
      <c r="J33" s="2">
        <v>1.6372965205846411E-9</v>
      </c>
      <c r="K33" s="2" t="s">
        <v>2</v>
      </c>
    </row>
    <row r="34" spans="1:11" x14ac:dyDescent="0.35">
      <c r="A34" s="2" t="s">
        <v>44</v>
      </c>
      <c r="B34" s="2">
        <v>345</v>
      </c>
      <c r="C34" s="2">
        <v>359</v>
      </c>
      <c r="D34" s="2">
        <v>0.49005681818181818</v>
      </c>
      <c r="E34" s="2">
        <v>0.71406108938773216</v>
      </c>
      <c r="F34" s="2">
        <v>0.31209817740007528</v>
      </c>
      <c r="G34" s="2">
        <v>0.62419635480015057</v>
      </c>
      <c r="H34" s="2">
        <v>0.70112707214848013</v>
      </c>
      <c r="I34" s="2">
        <v>0.29887292785151992</v>
      </c>
      <c r="J34" s="2">
        <v>0.59774585570303973</v>
      </c>
      <c r="K34" s="2" t="s">
        <v>12</v>
      </c>
    </row>
    <row r="35" spans="1:11" x14ac:dyDescent="0.35">
      <c r="A35" s="2" t="s">
        <v>45</v>
      </c>
      <c r="B35" s="2">
        <v>385</v>
      </c>
      <c r="C35" s="2">
        <v>319</v>
      </c>
      <c r="D35" s="2">
        <v>0.546875</v>
      </c>
      <c r="E35" s="2">
        <v>7.1183650161997609E-3</v>
      </c>
      <c r="F35" s="2">
        <v>0.99424414898732705</v>
      </c>
      <c r="G35" s="2">
        <v>1.423673003239952E-2</v>
      </c>
      <c r="H35" s="2">
        <v>6.432790647278086E-3</v>
      </c>
      <c r="I35" s="2">
        <v>0.99356720935272191</v>
      </c>
      <c r="J35" s="2">
        <v>1.286558129455617E-2</v>
      </c>
      <c r="K35" s="2" t="s">
        <v>1</v>
      </c>
    </row>
    <row r="36" spans="1:11" x14ac:dyDescent="0.35">
      <c r="A36" s="2" t="s">
        <v>46</v>
      </c>
      <c r="B36" s="2">
        <v>387</v>
      </c>
      <c r="C36" s="2">
        <v>317</v>
      </c>
      <c r="D36" s="2">
        <v>0.54971590909090906</v>
      </c>
      <c r="E36" s="2">
        <v>4.6298355537997774E-3</v>
      </c>
      <c r="F36" s="2">
        <v>0.99629541745891781</v>
      </c>
      <c r="G36" s="2">
        <v>9.2596711075995548E-3</v>
      </c>
      <c r="H36" s="2">
        <v>4.1670722889086687E-3</v>
      </c>
      <c r="I36" s="2">
        <v>0.99583292771109133</v>
      </c>
      <c r="J36" s="2">
        <v>8.3341445778173373E-3</v>
      </c>
      <c r="K36" s="2" t="s">
        <v>1</v>
      </c>
    </row>
    <row r="37" spans="1:11" x14ac:dyDescent="0.35">
      <c r="A37" s="2" t="s">
        <v>47</v>
      </c>
      <c r="B37" s="2">
        <v>380</v>
      </c>
      <c r="C37" s="2">
        <v>324</v>
      </c>
      <c r="D37" s="2">
        <v>0.53977272727272729</v>
      </c>
      <c r="E37" s="2">
        <v>1.9053548193704001E-2</v>
      </c>
      <c r="F37" s="2">
        <v>0.98419030824746367</v>
      </c>
      <c r="G37" s="2">
        <v>3.8107096387408002E-2</v>
      </c>
      <c r="H37" s="2">
        <v>1.7404239405933501E-2</v>
      </c>
      <c r="I37" s="2">
        <v>0.9825957605940665</v>
      </c>
      <c r="J37" s="2">
        <v>3.4808478811866987E-2</v>
      </c>
      <c r="K37" s="2" t="s">
        <v>1</v>
      </c>
    </row>
    <row r="38" spans="1:11" x14ac:dyDescent="0.35">
      <c r="A38" s="2" t="s">
        <v>48</v>
      </c>
      <c r="B38" s="2">
        <v>401</v>
      </c>
      <c r="C38" s="2">
        <v>303</v>
      </c>
      <c r="D38" s="2">
        <v>0.56960227272727271</v>
      </c>
      <c r="E38" s="2">
        <v>1.2551204111500489E-4</v>
      </c>
      <c r="F38" s="2">
        <v>0.99990686743660029</v>
      </c>
      <c r="G38" s="2">
        <v>2.5102408223000972E-4</v>
      </c>
      <c r="H38" s="2">
        <v>1.105881762928362E-4</v>
      </c>
      <c r="I38" s="2">
        <v>0.99988941182370716</v>
      </c>
      <c r="J38" s="2">
        <v>2.211763525856725E-4</v>
      </c>
      <c r="K38" s="2" t="s">
        <v>1</v>
      </c>
    </row>
    <row r="39" spans="1:11" x14ac:dyDescent="0.35">
      <c r="A39" s="2" t="s">
        <v>49</v>
      </c>
      <c r="B39" s="2">
        <v>292</v>
      </c>
      <c r="C39" s="2">
        <v>412</v>
      </c>
      <c r="D39" s="2">
        <v>0.41477272727272729</v>
      </c>
      <c r="E39" s="2">
        <v>0.99999757485877971</v>
      </c>
      <c r="F39" s="2">
        <v>3.4746484737434672E-6</v>
      </c>
      <c r="G39" s="2">
        <v>6.9492969474869344E-6</v>
      </c>
      <c r="H39" s="2">
        <v>0.99999694678212048</v>
      </c>
      <c r="I39" s="2">
        <v>3.0532178795044568E-6</v>
      </c>
      <c r="J39" s="2">
        <v>6.1064357590456808E-6</v>
      </c>
      <c r="K39" s="2" t="s">
        <v>2</v>
      </c>
    </row>
    <row r="40" spans="1:11" x14ac:dyDescent="0.35">
      <c r="A40" s="2" t="s">
        <v>50</v>
      </c>
      <c r="B40" s="2">
        <v>223</v>
      </c>
      <c r="C40" s="2">
        <v>481</v>
      </c>
      <c r="D40" s="2">
        <v>0.31676136363636359</v>
      </c>
      <c r="E40" s="2">
        <v>1</v>
      </c>
      <c r="F40" s="2">
        <v>5.7444478971644066E-23</v>
      </c>
      <c r="G40" s="2">
        <v>1.1488895794328811E-22</v>
      </c>
      <c r="H40" s="2">
        <v>1</v>
      </c>
      <c r="I40" s="2">
        <v>1.19420978376642E-22</v>
      </c>
      <c r="J40" s="2">
        <v>0</v>
      </c>
      <c r="K40" s="2" t="s">
        <v>2</v>
      </c>
    </row>
    <row r="41" spans="1:11" x14ac:dyDescent="0.35">
      <c r="A41" s="2" t="s">
        <v>51</v>
      </c>
      <c r="B41" s="2">
        <v>162</v>
      </c>
      <c r="C41" s="2">
        <v>542</v>
      </c>
      <c r="D41" s="2">
        <v>0.23011363636363641</v>
      </c>
      <c r="E41" s="2">
        <v>1</v>
      </c>
      <c r="F41" s="2">
        <v>5.0459623456448502E-49</v>
      </c>
      <c r="G41" s="2">
        <v>1.00919246912897E-48</v>
      </c>
      <c r="H41" s="2">
        <v>1</v>
      </c>
      <c r="I41" s="2">
        <v>7.9976142288709913E-47</v>
      </c>
      <c r="J41" s="2">
        <v>0</v>
      </c>
      <c r="K41" s="2" t="s">
        <v>2</v>
      </c>
    </row>
    <row r="42" spans="1:11" x14ac:dyDescent="0.35">
      <c r="A42" s="2" t="s">
        <v>52</v>
      </c>
      <c r="B42" s="2">
        <v>414</v>
      </c>
      <c r="C42" s="2">
        <v>290</v>
      </c>
      <c r="D42" s="2">
        <v>0.58806818181818177</v>
      </c>
      <c r="E42" s="2">
        <v>2.425141220284132E-6</v>
      </c>
      <c r="F42" s="2">
        <v>0.99999831688327856</v>
      </c>
      <c r="G42" s="2">
        <v>4.8502824405682632E-6</v>
      </c>
      <c r="H42" s="2">
        <v>1.4810834696454829E-6</v>
      </c>
      <c r="I42" s="2">
        <v>0.99999851891653035</v>
      </c>
      <c r="J42" s="2">
        <v>2.9621669392909671E-6</v>
      </c>
      <c r="K42" s="2" t="s">
        <v>1</v>
      </c>
    </row>
    <row r="43" spans="1:11" x14ac:dyDescent="0.35">
      <c r="A43" s="2" t="s">
        <v>53</v>
      </c>
      <c r="B43" s="2">
        <v>289</v>
      </c>
      <c r="C43" s="2">
        <v>415</v>
      </c>
      <c r="D43" s="2">
        <v>0.41051136363636359</v>
      </c>
      <c r="E43" s="2">
        <v>0.99999920292038957</v>
      </c>
      <c r="F43" s="2">
        <v>1.161548776651688E-6</v>
      </c>
      <c r="G43" s="2">
        <v>2.323097553303376E-6</v>
      </c>
      <c r="H43" s="2">
        <v>0.999998976882716</v>
      </c>
      <c r="I43" s="2">
        <v>1.0231172839624441E-6</v>
      </c>
      <c r="J43" s="2">
        <v>2.0462345680094529E-6</v>
      </c>
      <c r="K43" s="2" t="s">
        <v>2</v>
      </c>
    </row>
    <row r="44" spans="1:11" x14ac:dyDescent="0.35">
      <c r="A44" s="2" t="s">
        <v>54</v>
      </c>
      <c r="B44" s="2">
        <v>273</v>
      </c>
      <c r="C44" s="2">
        <v>431</v>
      </c>
      <c r="D44" s="2">
        <v>0.38778409090909088</v>
      </c>
      <c r="E44" s="2">
        <v>0.99999999911581672</v>
      </c>
      <c r="F44" s="2">
        <v>1.412799308712125E-9</v>
      </c>
      <c r="G44" s="2">
        <v>2.82559861742425E-9</v>
      </c>
      <c r="H44" s="2">
        <v>0.99999999869844014</v>
      </c>
      <c r="I44" s="2">
        <v>1.301559873397955E-9</v>
      </c>
      <c r="J44" s="2">
        <v>2.6031197197795559E-9</v>
      </c>
      <c r="K44" s="2" t="s">
        <v>2</v>
      </c>
    </row>
    <row r="45" spans="1:11" x14ac:dyDescent="0.35">
      <c r="A45" s="2" t="s">
        <v>55</v>
      </c>
      <c r="B45" s="2">
        <v>351</v>
      </c>
      <c r="C45" s="2">
        <v>353</v>
      </c>
      <c r="D45" s="2">
        <v>0.49857954545454553</v>
      </c>
      <c r="E45" s="2">
        <v>0.54500593559208865</v>
      </c>
      <c r="F45" s="2">
        <v>0.4849696355118181</v>
      </c>
      <c r="G45" s="2">
        <v>0.9699392710236362</v>
      </c>
      <c r="H45" s="2">
        <v>0.53004295338662577</v>
      </c>
      <c r="I45" s="2">
        <v>0.46995704661337417</v>
      </c>
      <c r="J45" s="2">
        <v>0.93991409322674846</v>
      </c>
      <c r="K45" s="2" t="s">
        <v>12</v>
      </c>
    </row>
    <row r="46" spans="1:11" x14ac:dyDescent="0.35">
      <c r="A46" s="2" t="s">
        <v>56</v>
      </c>
      <c r="B46" s="2">
        <v>384</v>
      </c>
      <c r="C46" s="2">
        <v>320</v>
      </c>
      <c r="D46" s="2">
        <v>0.54545454545454541</v>
      </c>
      <c r="E46" s="2">
        <v>8.7576396766929094E-3</v>
      </c>
      <c r="F46" s="2">
        <v>0.99288163498380022</v>
      </c>
      <c r="G46" s="2">
        <v>1.7515279353385819E-2</v>
      </c>
      <c r="H46" s="2">
        <v>7.9306663698865965E-3</v>
      </c>
      <c r="I46" s="2">
        <v>0.9920693336301134</v>
      </c>
      <c r="J46" s="2">
        <v>1.5861332739773189E-2</v>
      </c>
      <c r="K46" s="2" t="s">
        <v>1</v>
      </c>
    </row>
    <row r="47" spans="1:11" x14ac:dyDescent="0.35">
      <c r="A47" s="2" t="s">
        <v>57</v>
      </c>
      <c r="B47" s="2">
        <v>313</v>
      </c>
      <c r="C47" s="2">
        <v>391</v>
      </c>
      <c r="D47" s="2">
        <v>0.44460227272727271</v>
      </c>
      <c r="E47" s="2">
        <v>0.99855974075723575</v>
      </c>
      <c r="F47" s="2">
        <v>1.838572134761929E-3</v>
      </c>
      <c r="G47" s="2">
        <v>3.6771442695238579E-3</v>
      </c>
      <c r="H47" s="2">
        <v>0.99835753791918813</v>
      </c>
      <c r="I47" s="2">
        <v>1.642462080811845E-3</v>
      </c>
      <c r="J47" s="2">
        <v>3.2849241616237368E-3</v>
      </c>
      <c r="K47" s="2" t="s">
        <v>2</v>
      </c>
    </row>
    <row r="48" spans="1:11" x14ac:dyDescent="0.35">
      <c r="A48" s="2" t="s">
        <v>58</v>
      </c>
      <c r="B48" s="2">
        <v>431</v>
      </c>
      <c r="C48" s="2">
        <v>273</v>
      </c>
      <c r="D48" s="2">
        <v>0.61221590909090906</v>
      </c>
      <c r="E48" s="2">
        <v>1.412799308712125E-9</v>
      </c>
      <c r="F48" s="2">
        <v>0.99999999911581672</v>
      </c>
      <c r="G48" s="2">
        <v>2.82559861742425E-9</v>
      </c>
      <c r="H48" s="2">
        <v>1.301559859889778E-9</v>
      </c>
      <c r="I48" s="2">
        <v>0.99999999869844014</v>
      </c>
      <c r="J48" s="2">
        <v>2.6031197197795559E-9</v>
      </c>
      <c r="K48" s="2" t="s">
        <v>1</v>
      </c>
    </row>
    <row r="49" spans="1:11" x14ac:dyDescent="0.35">
      <c r="A49" s="2" t="s">
        <v>59</v>
      </c>
      <c r="B49" s="2">
        <v>444</v>
      </c>
      <c r="C49" s="2">
        <v>260</v>
      </c>
      <c r="D49" s="2">
        <v>0.63068181818181823</v>
      </c>
      <c r="E49" s="2">
        <v>2.0160533626992649E-12</v>
      </c>
      <c r="F49" s="2">
        <v>0.99999999999883171</v>
      </c>
      <c r="G49" s="2">
        <v>4.0321067253985298E-12</v>
      </c>
      <c r="H49" s="2">
        <v>2.0345947149280619E-12</v>
      </c>
      <c r="I49" s="2">
        <v>0.99999999999796541</v>
      </c>
      <c r="J49" s="2">
        <v>4.0691894298561238E-12</v>
      </c>
      <c r="K49" s="2" t="s">
        <v>1</v>
      </c>
    </row>
    <row r="50" spans="1:11" x14ac:dyDescent="0.35">
      <c r="A50" s="2" t="s">
        <v>60</v>
      </c>
      <c r="B50" s="2">
        <v>305</v>
      </c>
      <c r="C50" s="2">
        <v>399</v>
      </c>
      <c r="D50" s="2">
        <v>0.43323863636363641</v>
      </c>
      <c r="E50" s="2">
        <v>0.99983177687150404</v>
      </c>
      <c r="F50" s="2">
        <v>2.2423766932352069E-4</v>
      </c>
      <c r="G50" s="2">
        <v>4.4847533864704139E-4</v>
      </c>
      <c r="H50" s="2">
        <v>0.99980201728178342</v>
      </c>
      <c r="I50" s="2">
        <v>1.979827182166197E-4</v>
      </c>
      <c r="J50" s="2">
        <v>3.9596543643316551E-4</v>
      </c>
      <c r="K50" s="2" t="s">
        <v>2</v>
      </c>
    </row>
    <row r="51" spans="1:11" x14ac:dyDescent="0.35">
      <c r="A51" s="2" t="s">
        <v>61</v>
      </c>
      <c r="B51" s="2">
        <v>186</v>
      </c>
      <c r="C51" s="2">
        <v>518</v>
      </c>
      <c r="D51" s="2">
        <v>0.26420454545454553</v>
      </c>
      <c r="E51" s="2">
        <v>1</v>
      </c>
      <c r="F51" s="2">
        <v>2.178335365085946E-37</v>
      </c>
      <c r="G51" s="2">
        <v>4.356670730171892E-37</v>
      </c>
      <c r="H51" s="2">
        <v>1</v>
      </c>
      <c r="I51" s="2">
        <v>3.180377913453164E-36</v>
      </c>
      <c r="J51" s="2">
        <v>0</v>
      </c>
      <c r="K51" s="2" t="s">
        <v>2</v>
      </c>
    </row>
    <row r="52" spans="1:11" x14ac:dyDescent="0.35">
      <c r="A52" s="2" t="s">
        <v>62</v>
      </c>
      <c r="B52" s="2">
        <v>498</v>
      </c>
      <c r="C52" s="2">
        <v>206</v>
      </c>
      <c r="D52" s="2">
        <v>0.70738636363636365</v>
      </c>
      <c r="E52" s="2">
        <v>4.3442945899577279E-29</v>
      </c>
      <c r="F52" s="2">
        <v>1</v>
      </c>
      <c r="G52" s="2">
        <v>8.6885891799154569E-29</v>
      </c>
      <c r="H52" s="2">
        <v>0</v>
      </c>
      <c r="I52" s="2">
        <v>1</v>
      </c>
      <c r="J52" s="2">
        <v>0</v>
      </c>
      <c r="K52" s="2" t="s">
        <v>1</v>
      </c>
    </row>
    <row r="53" spans="1:11" x14ac:dyDescent="0.35">
      <c r="A53" s="2" t="s">
        <v>63</v>
      </c>
      <c r="B53" s="2">
        <v>394</v>
      </c>
      <c r="C53" s="2">
        <v>310</v>
      </c>
      <c r="D53" s="2">
        <v>0.55965909090909094</v>
      </c>
      <c r="E53" s="2">
        <v>8.6972830393244492E-4</v>
      </c>
      <c r="F53" s="2">
        <v>0.99932957240549158</v>
      </c>
      <c r="G53" s="2">
        <v>1.7394566078648901E-3</v>
      </c>
      <c r="H53" s="2">
        <v>7.7310173854039377E-4</v>
      </c>
      <c r="I53" s="2">
        <v>0.99922689826145961</v>
      </c>
      <c r="J53" s="2">
        <v>1.546203477080788E-3</v>
      </c>
      <c r="K53" s="2" t="s">
        <v>1</v>
      </c>
    </row>
    <row r="54" spans="1:11" x14ac:dyDescent="0.35">
      <c r="A54" s="2" t="s">
        <v>64</v>
      </c>
      <c r="B54" s="2">
        <v>274</v>
      </c>
      <c r="C54" s="2">
        <v>430</v>
      </c>
      <c r="D54" s="2">
        <v>0.38920454545454553</v>
      </c>
      <c r="E54" s="2">
        <v>0.99999999858720068</v>
      </c>
      <c r="F54" s="2">
        <v>2.2443084356065412E-9</v>
      </c>
      <c r="G54" s="2">
        <v>4.4886168712130824E-9</v>
      </c>
      <c r="H54" s="2">
        <v>0.99999999794210426</v>
      </c>
      <c r="I54" s="2">
        <v>2.057895758847207E-9</v>
      </c>
      <c r="J54" s="2">
        <v>4.1157914854039754E-9</v>
      </c>
      <c r="K54" s="2" t="s">
        <v>2</v>
      </c>
    </row>
    <row r="55" spans="1:11" x14ac:dyDescent="0.35">
      <c r="A55" s="2" t="s">
        <v>65</v>
      </c>
      <c r="B55" s="2">
        <v>354</v>
      </c>
      <c r="C55" s="2">
        <v>350</v>
      </c>
      <c r="D55" s="2">
        <v>0.50284090909090906</v>
      </c>
      <c r="E55" s="2">
        <v>0.45499406440791129</v>
      </c>
      <c r="F55" s="2">
        <v>0.57472747643240507</v>
      </c>
      <c r="G55" s="2">
        <v>0.90998812881582258</v>
      </c>
      <c r="H55" s="2">
        <v>0.4400842274533634</v>
      </c>
      <c r="I55" s="2">
        <v>0.5599157725466366</v>
      </c>
      <c r="J55" s="2">
        <v>0.88016845490672679</v>
      </c>
      <c r="K55" s="2" t="s">
        <v>12</v>
      </c>
    </row>
    <row r="56" spans="1:11" x14ac:dyDescent="0.35">
      <c r="A56" s="2" t="s">
        <v>66</v>
      </c>
      <c r="B56" s="2">
        <v>398</v>
      </c>
      <c r="C56" s="2">
        <v>306</v>
      </c>
      <c r="D56" s="2">
        <v>0.56534090909090906</v>
      </c>
      <c r="E56" s="2">
        <v>2.9727623726529142E-4</v>
      </c>
      <c r="F56" s="2">
        <v>0.99977576233067644</v>
      </c>
      <c r="G56" s="2">
        <v>5.9455247453058272E-4</v>
      </c>
      <c r="H56" s="2">
        <v>2.6277871913638062E-4</v>
      </c>
      <c r="I56" s="2">
        <v>0.99973722128086362</v>
      </c>
      <c r="J56" s="2">
        <v>5.2555743827276125E-4</v>
      </c>
      <c r="K56" s="2" t="s">
        <v>1</v>
      </c>
    </row>
    <row r="57" spans="1:11" x14ac:dyDescent="0.35">
      <c r="A57" s="2" t="s">
        <v>67</v>
      </c>
      <c r="B57" s="2">
        <v>573</v>
      </c>
      <c r="C57" s="2">
        <v>131</v>
      </c>
      <c r="D57" s="2">
        <v>0.81392045454545459</v>
      </c>
      <c r="E57" s="2">
        <v>4.7835258005936953E-67</v>
      </c>
      <c r="F57" s="2">
        <v>1</v>
      </c>
      <c r="G57" s="2">
        <v>9.5670516011873893E-67</v>
      </c>
      <c r="H57" s="2">
        <v>0</v>
      </c>
      <c r="I57" s="2">
        <v>1</v>
      </c>
      <c r="J57" s="2">
        <v>0</v>
      </c>
      <c r="K57" s="2" t="s">
        <v>1</v>
      </c>
    </row>
    <row r="58" spans="1:11" x14ac:dyDescent="0.35">
      <c r="A58" s="2" t="s">
        <v>68</v>
      </c>
      <c r="B58" s="2">
        <v>399</v>
      </c>
      <c r="C58" s="2">
        <v>305</v>
      </c>
      <c r="D58" s="2">
        <v>0.56676136363636365</v>
      </c>
      <c r="E58" s="2">
        <v>2.2423766932352069E-4</v>
      </c>
      <c r="F58" s="2">
        <v>0.99983177687150404</v>
      </c>
      <c r="G58" s="2">
        <v>4.4847533864704139E-4</v>
      </c>
      <c r="H58" s="2">
        <v>1.9798271821658281E-4</v>
      </c>
      <c r="I58" s="2">
        <v>0.99980201728178342</v>
      </c>
      <c r="J58" s="2">
        <v>3.9596543643316551E-4</v>
      </c>
      <c r="K58" s="2" t="s">
        <v>1</v>
      </c>
    </row>
    <row r="59" spans="1:11" x14ac:dyDescent="0.35">
      <c r="A59" s="2" t="s">
        <v>69</v>
      </c>
      <c r="B59" s="2">
        <v>425</v>
      </c>
      <c r="C59" s="2">
        <v>279</v>
      </c>
      <c r="D59" s="2">
        <v>0.60369318181818177</v>
      </c>
      <c r="E59" s="2">
        <v>3.1923094571434119E-8</v>
      </c>
      <c r="F59" s="2">
        <v>0.99999997919254269</v>
      </c>
      <c r="G59" s="2">
        <v>6.3846189142868239E-8</v>
      </c>
      <c r="H59" s="2">
        <v>1.87134486795415E-8</v>
      </c>
      <c r="I59" s="2">
        <v>0.99999998128655132</v>
      </c>
      <c r="J59" s="2">
        <v>3.7426897359083E-8</v>
      </c>
      <c r="K59" s="2" t="s">
        <v>1</v>
      </c>
    </row>
    <row r="60" spans="1:11" x14ac:dyDescent="0.35">
      <c r="A60" s="2" t="s">
        <v>70</v>
      </c>
      <c r="B60" s="2">
        <v>279</v>
      </c>
      <c r="C60" s="2">
        <v>425</v>
      </c>
      <c r="D60" s="2">
        <v>0.39630681818181818</v>
      </c>
      <c r="E60" s="2">
        <v>0.99999998651578603</v>
      </c>
      <c r="F60" s="2">
        <v>2.080745730839368E-8</v>
      </c>
      <c r="G60" s="2">
        <v>4.1614914616787348E-8</v>
      </c>
      <c r="H60" s="2">
        <v>0.99999998128655132</v>
      </c>
      <c r="I60" s="2">
        <v>1.8713448634302529E-8</v>
      </c>
      <c r="J60" s="2">
        <v>3.7426897359083E-8</v>
      </c>
      <c r="K60" s="2" t="s">
        <v>2</v>
      </c>
    </row>
    <row r="61" spans="1:11" x14ac:dyDescent="0.35">
      <c r="A61" s="2" t="s">
        <v>71</v>
      </c>
      <c r="B61" s="2">
        <v>332</v>
      </c>
      <c r="C61" s="2">
        <v>372</v>
      </c>
      <c r="D61" s="2">
        <v>0.47159090909090912</v>
      </c>
      <c r="E61" s="2">
        <v>0.93888725506558557</v>
      </c>
      <c r="F61" s="2">
        <v>7.0771444478710852E-2</v>
      </c>
      <c r="G61" s="2">
        <v>0.1415428889574217</v>
      </c>
      <c r="H61" s="2">
        <v>0.93416599198859274</v>
      </c>
      <c r="I61" s="2">
        <v>6.5834008011407277E-2</v>
      </c>
      <c r="J61" s="2">
        <v>0.1316680160228145</v>
      </c>
      <c r="K61" s="2" t="s">
        <v>12</v>
      </c>
    </row>
    <row r="62" spans="1:11" x14ac:dyDescent="0.35">
      <c r="A62" s="2" t="s">
        <v>72</v>
      </c>
      <c r="B62" s="2">
        <v>704</v>
      </c>
      <c r="C62" s="2">
        <v>0</v>
      </c>
      <c r="D62" s="2">
        <v>1</v>
      </c>
      <c r="E62" s="2">
        <v>1.1881822289344749E-212</v>
      </c>
      <c r="F62" s="2">
        <v>1</v>
      </c>
      <c r="G62" s="2">
        <v>2.3763644578689498E-212</v>
      </c>
      <c r="H62" s="2">
        <v>0</v>
      </c>
      <c r="I62" s="2">
        <v>1</v>
      </c>
      <c r="J62" s="2">
        <v>0</v>
      </c>
      <c r="K62" s="2" t="s">
        <v>1</v>
      </c>
    </row>
    <row r="63" spans="1:11" x14ac:dyDescent="0.35">
      <c r="A63" s="2" t="s">
        <v>73</v>
      </c>
      <c r="B63" s="2">
        <v>668</v>
      </c>
      <c r="C63" s="2">
        <v>36</v>
      </c>
      <c r="D63" s="2">
        <v>0.94886363636363635</v>
      </c>
      <c r="E63" s="2">
        <v>4.421793809532649E-152</v>
      </c>
      <c r="F63" s="2">
        <v>1</v>
      </c>
      <c r="G63" s="2">
        <v>8.843587619065298E-152</v>
      </c>
      <c r="H63" s="2">
        <v>0</v>
      </c>
      <c r="I63" s="2">
        <v>1</v>
      </c>
      <c r="J63" s="2">
        <v>0</v>
      </c>
      <c r="K63" s="2" t="s">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310</v>
      </c>
      <c r="C2" s="2">
        <v>394</v>
      </c>
      <c r="D2" s="2">
        <v>0.44034090909090912</v>
      </c>
      <c r="E2" s="2">
        <v>0.99932957240549158</v>
      </c>
      <c r="F2" s="2">
        <v>8.6972830393244492E-4</v>
      </c>
      <c r="G2" s="2">
        <v>1.7394566078648901E-3</v>
      </c>
      <c r="H2" s="2">
        <v>0.99922689826145961</v>
      </c>
      <c r="I2" s="2">
        <v>7.7310173854037219E-4</v>
      </c>
      <c r="J2" s="2">
        <v>1.546203477080788E-3</v>
      </c>
      <c r="K2" s="2" t="s">
        <v>2</v>
      </c>
    </row>
    <row r="3" spans="1:11" x14ac:dyDescent="0.35">
      <c r="A3" s="2" t="s">
        <v>13</v>
      </c>
      <c r="B3" s="2">
        <v>310</v>
      </c>
      <c r="C3" s="2">
        <v>394</v>
      </c>
      <c r="D3" s="2">
        <v>0.44034090909090912</v>
      </c>
      <c r="E3" s="2">
        <v>0.99932957240549158</v>
      </c>
      <c r="F3" s="2">
        <v>8.6972830393244492E-4</v>
      </c>
      <c r="G3" s="2">
        <v>1.7394566078648901E-3</v>
      </c>
      <c r="H3" s="2">
        <v>0.99922689826145961</v>
      </c>
      <c r="I3" s="2">
        <v>7.7310173854037219E-4</v>
      </c>
      <c r="J3" s="2">
        <v>1.546203477080788E-3</v>
      </c>
      <c r="K3" s="2" t="s">
        <v>2</v>
      </c>
    </row>
    <row r="4" spans="1:11" x14ac:dyDescent="0.35">
      <c r="A4" s="2" t="s">
        <v>14</v>
      </c>
      <c r="B4" s="2">
        <v>313</v>
      </c>
      <c r="C4" s="2">
        <v>391</v>
      </c>
      <c r="D4" s="2">
        <v>0.44460227272727271</v>
      </c>
      <c r="E4" s="2">
        <v>0.99855974075723575</v>
      </c>
      <c r="F4" s="2">
        <v>1.838572134761929E-3</v>
      </c>
      <c r="G4" s="2">
        <v>3.6771442695238579E-3</v>
      </c>
      <c r="H4" s="2">
        <v>0.99835753791918813</v>
      </c>
      <c r="I4" s="2">
        <v>1.642462080811845E-3</v>
      </c>
      <c r="J4" s="2">
        <v>3.2849241616237368E-3</v>
      </c>
      <c r="K4" s="2" t="s">
        <v>2</v>
      </c>
    </row>
    <row r="5" spans="1:11" x14ac:dyDescent="0.35">
      <c r="A5" s="2" t="s">
        <v>15</v>
      </c>
      <c r="B5" s="2">
        <v>367</v>
      </c>
      <c r="C5" s="2">
        <v>337</v>
      </c>
      <c r="D5" s="2">
        <v>0.52130681818181823</v>
      </c>
      <c r="E5" s="2">
        <v>0.1371961135641718</v>
      </c>
      <c r="F5" s="2">
        <v>0.87867863039430649</v>
      </c>
      <c r="G5" s="2">
        <v>0.27439222712834371</v>
      </c>
      <c r="H5" s="2">
        <v>0.12909752379197201</v>
      </c>
      <c r="I5" s="2">
        <v>0.87090247620802796</v>
      </c>
      <c r="J5" s="2">
        <v>0.25819504758394413</v>
      </c>
      <c r="K5" s="2" t="s">
        <v>12</v>
      </c>
    </row>
    <row r="6" spans="1:11" x14ac:dyDescent="0.35">
      <c r="A6" s="2" t="s">
        <v>16</v>
      </c>
      <c r="B6" s="2">
        <v>369</v>
      </c>
      <c r="C6" s="2">
        <v>335</v>
      </c>
      <c r="D6" s="2">
        <v>0.52414772727272729</v>
      </c>
      <c r="E6" s="2">
        <v>0.1067839002741523</v>
      </c>
      <c r="F6" s="2">
        <v>0.90645347017408007</v>
      </c>
      <c r="G6" s="2">
        <v>0.21356780054830449</v>
      </c>
      <c r="H6" s="2">
        <v>0.1000225272546644</v>
      </c>
      <c r="I6" s="2">
        <v>0.89997747274533557</v>
      </c>
      <c r="J6" s="2">
        <v>0.20004505450932891</v>
      </c>
      <c r="K6" s="2" t="s">
        <v>12</v>
      </c>
    </row>
    <row r="7" spans="1:11" x14ac:dyDescent="0.35">
      <c r="A7" s="2" t="s">
        <v>17</v>
      </c>
      <c r="B7" s="2">
        <v>411</v>
      </c>
      <c r="C7" s="2">
        <v>293</v>
      </c>
      <c r="D7" s="2">
        <v>0.58380681818181823</v>
      </c>
      <c r="E7" s="2">
        <v>4.9504061134201882E-6</v>
      </c>
      <c r="F7" s="2">
        <v>0.99999652535152628</v>
      </c>
      <c r="G7" s="2">
        <v>9.9008122268403763E-6</v>
      </c>
      <c r="H7" s="2">
        <v>4.3479729709972048E-6</v>
      </c>
      <c r="I7" s="2">
        <v>0.999995652027029</v>
      </c>
      <c r="J7" s="2">
        <v>8.6959459419944096E-6</v>
      </c>
      <c r="K7" s="2" t="s">
        <v>1</v>
      </c>
    </row>
    <row r="8" spans="1:11" x14ac:dyDescent="0.35">
      <c r="A8" s="2" t="s">
        <v>18</v>
      </c>
      <c r="B8" s="2">
        <v>354</v>
      </c>
      <c r="C8" s="2">
        <v>350</v>
      </c>
      <c r="D8" s="2">
        <v>0.50284090909090906</v>
      </c>
      <c r="E8" s="2">
        <v>0.45499406440791129</v>
      </c>
      <c r="F8" s="2">
        <v>0.57472747643240507</v>
      </c>
      <c r="G8" s="2">
        <v>0.90998812881582258</v>
      </c>
      <c r="H8" s="2">
        <v>0.4400842274533634</v>
      </c>
      <c r="I8" s="2">
        <v>0.5599157725466366</v>
      </c>
      <c r="J8" s="2">
        <v>0.88016845490672679</v>
      </c>
      <c r="K8" s="2" t="s">
        <v>12</v>
      </c>
    </row>
    <row r="9" spans="1:11" x14ac:dyDescent="0.35">
      <c r="A9" s="2" t="s">
        <v>19</v>
      </c>
      <c r="B9" s="2">
        <v>429</v>
      </c>
      <c r="C9" s="2">
        <v>275</v>
      </c>
      <c r="D9" s="2">
        <v>0.609375</v>
      </c>
      <c r="E9" s="2">
        <v>3.5444863431141359E-9</v>
      </c>
      <c r="F9" s="2">
        <v>0.99999999775569159</v>
      </c>
      <c r="G9" s="2">
        <v>7.088972686228271E-9</v>
      </c>
      <c r="H9" s="2">
        <v>3.2357602153254561E-9</v>
      </c>
      <c r="I9" s="2">
        <v>0.99999999676423978</v>
      </c>
      <c r="J9" s="2">
        <v>6.4715204306509122E-9</v>
      </c>
      <c r="K9" s="2" t="s">
        <v>1</v>
      </c>
    </row>
    <row r="10" spans="1:11" x14ac:dyDescent="0.35">
      <c r="A10" s="2" t="s">
        <v>20</v>
      </c>
      <c r="B10" s="2">
        <v>375</v>
      </c>
      <c r="C10" s="2">
        <v>329</v>
      </c>
      <c r="D10" s="2">
        <v>0.53267045454545459</v>
      </c>
      <c r="E10" s="2">
        <v>4.4907133435382003E-2</v>
      </c>
      <c r="F10" s="2">
        <v>0.96178842758226124</v>
      </c>
      <c r="G10" s="2">
        <v>8.9814266870763992E-2</v>
      </c>
      <c r="H10" s="2">
        <v>4.1486530362206182E-2</v>
      </c>
      <c r="I10" s="2">
        <v>0.95851346963779382</v>
      </c>
      <c r="J10" s="2">
        <v>8.2973060724412351E-2</v>
      </c>
      <c r="K10" s="2" t="s">
        <v>1</v>
      </c>
    </row>
    <row r="11" spans="1:11" x14ac:dyDescent="0.35">
      <c r="A11" s="2" t="s">
        <v>21</v>
      </c>
      <c r="B11" s="2">
        <v>379</v>
      </c>
      <c r="C11" s="2">
        <v>325</v>
      </c>
      <c r="D11" s="2">
        <v>0.53835227272727271</v>
      </c>
      <c r="E11" s="2">
        <v>2.284636495568472E-2</v>
      </c>
      <c r="F11" s="2">
        <v>0.98094645180629603</v>
      </c>
      <c r="G11" s="2">
        <v>4.5692729911369447E-2</v>
      </c>
      <c r="H11" s="2">
        <v>2.0915297282622421E-2</v>
      </c>
      <c r="I11" s="2">
        <v>0.97908470271737758</v>
      </c>
      <c r="J11" s="2">
        <v>4.183059456524485E-2</v>
      </c>
      <c r="K11" s="2" t="s">
        <v>1</v>
      </c>
    </row>
    <row r="12" spans="1:11" x14ac:dyDescent="0.35">
      <c r="A12" s="2" t="s">
        <v>22</v>
      </c>
      <c r="B12" s="2">
        <v>436</v>
      </c>
      <c r="C12" s="2">
        <v>268</v>
      </c>
      <c r="D12" s="2">
        <v>0.61931818181818177</v>
      </c>
      <c r="E12" s="2">
        <v>2.0924884743097259E-10</v>
      </c>
      <c r="F12" s="2">
        <v>0.99999999987208177</v>
      </c>
      <c r="G12" s="2">
        <v>4.1849769486194508E-10</v>
      </c>
      <c r="H12" s="2">
        <v>1.2120726644582189E-10</v>
      </c>
      <c r="I12" s="2">
        <v>0.99999999987879273</v>
      </c>
      <c r="J12" s="2">
        <v>2.4241453289164378E-10</v>
      </c>
      <c r="K12" s="2" t="s">
        <v>1</v>
      </c>
    </row>
    <row r="13" spans="1:11" x14ac:dyDescent="0.35">
      <c r="A13" s="2" t="s">
        <v>23</v>
      </c>
      <c r="B13" s="2">
        <v>291</v>
      </c>
      <c r="C13" s="2">
        <v>413</v>
      </c>
      <c r="D13" s="2">
        <v>0.41335227272727271</v>
      </c>
      <c r="E13" s="2">
        <v>0.99999831688327856</v>
      </c>
      <c r="F13" s="2">
        <v>2.425141220284132E-6</v>
      </c>
      <c r="G13" s="2">
        <v>4.8502824405682632E-6</v>
      </c>
      <c r="H13" s="2">
        <v>0.99999786766127818</v>
      </c>
      <c r="I13" s="2">
        <v>2.1323387218256759E-6</v>
      </c>
      <c r="J13" s="2">
        <v>4.2646774436327917E-6</v>
      </c>
      <c r="K13" s="2" t="s">
        <v>2</v>
      </c>
    </row>
    <row r="14" spans="1:11" x14ac:dyDescent="0.35">
      <c r="A14" s="2" t="s">
        <v>24</v>
      </c>
      <c r="B14" s="2">
        <v>270</v>
      </c>
      <c r="C14" s="2">
        <v>434</v>
      </c>
      <c r="D14" s="2">
        <v>0.38352272727272729</v>
      </c>
      <c r="E14" s="2">
        <v>0.99999999979075116</v>
      </c>
      <c r="F14" s="2">
        <v>3.402815753304427E-10</v>
      </c>
      <c r="G14" s="2">
        <v>6.8056315066088541E-10</v>
      </c>
      <c r="H14" s="2">
        <v>0.99999999968148079</v>
      </c>
      <c r="I14" s="2">
        <v>3.1851926549481152E-10</v>
      </c>
      <c r="J14" s="2">
        <v>6.3703842201334737E-10</v>
      </c>
      <c r="K14" s="2" t="s">
        <v>2</v>
      </c>
    </row>
    <row r="15" spans="1:11" x14ac:dyDescent="0.35">
      <c r="A15" s="2" t="s">
        <v>25</v>
      </c>
      <c r="B15" s="2">
        <v>437</v>
      </c>
      <c r="C15" s="2">
        <v>267</v>
      </c>
      <c r="D15" s="2">
        <v>0.62073863636363635</v>
      </c>
      <c r="E15" s="2">
        <v>7.773941077768152E-11</v>
      </c>
      <c r="F15" s="2">
        <v>0.99999999995303379</v>
      </c>
      <c r="G15" s="2">
        <v>1.5547882155536299E-10</v>
      </c>
      <c r="H15" s="2">
        <v>7.414890923485018E-11</v>
      </c>
      <c r="I15" s="2">
        <v>0.99999999992585109</v>
      </c>
      <c r="J15" s="2">
        <v>1.4829781846970041E-10</v>
      </c>
      <c r="K15" s="2" t="s">
        <v>1</v>
      </c>
    </row>
    <row r="16" spans="1:11" x14ac:dyDescent="0.35">
      <c r="A16" s="2" t="s">
        <v>26</v>
      </c>
      <c r="B16" s="2">
        <v>336</v>
      </c>
      <c r="C16" s="2">
        <v>368</v>
      </c>
      <c r="D16" s="2">
        <v>0.47727272727272729</v>
      </c>
      <c r="E16" s="2">
        <v>0.8932160997258477</v>
      </c>
      <c r="F16" s="2">
        <v>0.12132136960569349</v>
      </c>
      <c r="G16" s="2">
        <v>0.24264273921138699</v>
      </c>
      <c r="H16" s="2">
        <v>0.88610000300588521</v>
      </c>
      <c r="I16" s="2">
        <v>0.1138999969941147</v>
      </c>
      <c r="J16" s="2">
        <v>0.22779999398822959</v>
      </c>
      <c r="K16" s="2" t="s">
        <v>12</v>
      </c>
    </row>
    <row r="17" spans="1:11" x14ac:dyDescent="0.35">
      <c r="A17" s="2" t="s">
        <v>27</v>
      </c>
      <c r="B17" s="2">
        <v>399</v>
      </c>
      <c r="C17" s="2">
        <v>305</v>
      </c>
      <c r="D17" s="2">
        <v>0.56676136363636365</v>
      </c>
      <c r="E17" s="2">
        <v>2.2423766932352069E-4</v>
      </c>
      <c r="F17" s="2">
        <v>0.99983177687150404</v>
      </c>
      <c r="G17" s="2">
        <v>4.4847533864704139E-4</v>
      </c>
      <c r="H17" s="2">
        <v>1.9798271821658281E-4</v>
      </c>
      <c r="I17" s="2">
        <v>0.99980201728178342</v>
      </c>
      <c r="J17" s="2">
        <v>3.9596543643316551E-4</v>
      </c>
      <c r="K17" s="2" t="s">
        <v>1</v>
      </c>
    </row>
    <row r="18" spans="1:11" x14ac:dyDescent="0.35">
      <c r="A18" s="2" t="s">
        <v>28</v>
      </c>
      <c r="B18" s="2">
        <v>393</v>
      </c>
      <c r="C18" s="2">
        <v>311</v>
      </c>
      <c r="D18" s="2">
        <v>0.55823863636363635</v>
      </c>
      <c r="E18" s="2">
        <v>1.122218591755879E-3</v>
      </c>
      <c r="F18" s="2">
        <v>0.99913027169606761</v>
      </c>
      <c r="G18" s="2">
        <v>2.244437183511758E-3</v>
      </c>
      <c r="H18" s="2">
        <v>9.9912835415094658E-4</v>
      </c>
      <c r="I18" s="2">
        <v>0.99900087164584905</v>
      </c>
      <c r="J18" s="2">
        <v>1.9982567083018932E-3</v>
      </c>
      <c r="K18" s="2" t="s">
        <v>1</v>
      </c>
    </row>
    <row r="19" spans="1:11" x14ac:dyDescent="0.35">
      <c r="A19" s="2" t="s">
        <v>29</v>
      </c>
      <c r="B19" s="2">
        <v>514</v>
      </c>
      <c r="C19" s="2">
        <v>190</v>
      </c>
      <c r="D19" s="2">
        <v>0.73011363636363635</v>
      </c>
      <c r="E19" s="2">
        <v>1.2482748311847501E-35</v>
      </c>
      <c r="F19" s="2">
        <v>1</v>
      </c>
      <c r="G19" s="2">
        <v>2.4965496623695003E-35</v>
      </c>
      <c r="H19" s="2">
        <v>0</v>
      </c>
      <c r="I19" s="2">
        <v>1</v>
      </c>
      <c r="J19" s="2">
        <v>0</v>
      </c>
      <c r="K19" s="2" t="s">
        <v>1</v>
      </c>
    </row>
    <row r="20" spans="1:11" x14ac:dyDescent="0.35">
      <c r="A20" s="2" t="s">
        <v>30</v>
      </c>
      <c r="B20" s="2">
        <v>251</v>
      </c>
      <c r="C20" s="2">
        <v>453</v>
      </c>
      <c r="D20" s="2">
        <v>0.35653409090909088</v>
      </c>
      <c r="E20" s="2">
        <v>0.99999999999999645</v>
      </c>
      <c r="F20" s="2">
        <v>6.5633437089035283E-15</v>
      </c>
      <c r="G20" s="2">
        <v>1.312668741780706E-14</v>
      </c>
      <c r="H20" s="2">
        <v>0.99999999999998668</v>
      </c>
      <c r="I20" s="2">
        <v>1.3373566472415501E-14</v>
      </c>
      <c r="J20" s="2">
        <v>2.664535259100376E-14</v>
      </c>
      <c r="K20" s="2" t="s">
        <v>2</v>
      </c>
    </row>
    <row r="21" spans="1:11" x14ac:dyDescent="0.35">
      <c r="A21" s="2" t="s">
        <v>31</v>
      </c>
      <c r="B21" s="2">
        <v>198</v>
      </c>
      <c r="C21" s="2">
        <v>506</v>
      </c>
      <c r="D21" s="2">
        <v>0.28125</v>
      </c>
      <c r="E21" s="2">
        <v>1</v>
      </c>
      <c r="F21" s="2">
        <v>2.9112115071309389E-32</v>
      </c>
      <c r="G21" s="2">
        <v>5.822423014261879E-32</v>
      </c>
      <c r="H21" s="2">
        <v>1</v>
      </c>
      <c r="I21" s="2">
        <v>1.8723615368679241E-31</v>
      </c>
      <c r="J21" s="2">
        <v>0</v>
      </c>
      <c r="K21" s="2" t="s">
        <v>2</v>
      </c>
    </row>
    <row r="22" spans="1:11" x14ac:dyDescent="0.35">
      <c r="A22" s="2" t="s">
        <v>32</v>
      </c>
      <c r="B22" s="2">
        <v>180</v>
      </c>
      <c r="C22" s="2">
        <v>524</v>
      </c>
      <c r="D22" s="2">
        <v>0.25568181818181818</v>
      </c>
      <c r="E22" s="2">
        <v>1</v>
      </c>
      <c r="F22" s="2">
        <v>4.0368089073880516E-40</v>
      </c>
      <c r="G22" s="2">
        <v>8.0736178147761049E-40</v>
      </c>
      <c r="H22" s="2">
        <v>1</v>
      </c>
      <c r="I22" s="2">
        <v>9.6630554405166921E-39</v>
      </c>
      <c r="J22" s="2">
        <v>0</v>
      </c>
      <c r="K22" s="2" t="s">
        <v>2</v>
      </c>
    </row>
    <row r="23" spans="1:11" x14ac:dyDescent="0.35">
      <c r="A23" s="2" t="s">
        <v>33</v>
      </c>
      <c r="B23" s="2">
        <v>323</v>
      </c>
      <c r="C23" s="2">
        <v>381</v>
      </c>
      <c r="D23" s="2">
        <v>0.45880681818181818</v>
      </c>
      <c r="E23" s="2">
        <v>0.9869488633312915</v>
      </c>
      <c r="F23" s="2">
        <v>1.5809691752536308E-2</v>
      </c>
      <c r="G23" s="2">
        <v>3.1619383505072617E-2</v>
      </c>
      <c r="H23" s="2">
        <v>0.98559063337486219</v>
      </c>
      <c r="I23" s="2">
        <v>1.440936662513778E-2</v>
      </c>
      <c r="J23" s="2">
        <v>2.8818733250275619E-2</v>
      </c>
      <c r="K23" s="2" t="s">
        <v>2</v>
      </c>
    </row>
    <row r="24" spans="1:11" x14ac:dyDescent="0.35">
      <c r="A24" s="2" t="s">
        <v>34</v>
      </c>
      <c r="B24" s="2">
        <v>309</v>
      </c>
      <c r="C24" s="2">
        <v>395</v>
      </c>
      <c r="D24" s="2">
        <v>0.43892045454545447</v>
      </c>
      <c r="E24" s="2">
        <v>0.99948598562048263</v>
      </c>
      <c r="F24" s="2">
        <v>6.7042759450837246E-4</v>
      </c>
      <c r="G24" s="2">
        <v>1.3408551890167449E-3</v>
      </c>
      <c r="H24" s="2">
        <v>0.9994049598082726</v>
      </c>
      <c r="I24" s="2">
        <v>5.9504019172738302E-4</v>
      </c>
      <c r="J24" s="2">
        <v>1.1900803834548059E-3</v>
      </c>
      <c r="K24" s="2" t="s">
        <v>2</v>
      </c>
    </row>
    <row r="25" spans="1:11" x14ac:dyDescent="0.35">
      <c r="A25" s="2" t="s">
        <v>35</v>
      </c>
      <c r="B25" s="2">
        <v>218</v>
      </c>
      <c r="C25" s="2">
        <v>486</v>
      </c>
      <c r="D25" s="2">
        <v>0.30965909090909088</v>
      </c>
      <c r="E25" s="2">
        <v>1</v>
      </c>
      <c r="F25" s="2">
        <v>4.9411160066861492E-25</v>
      </c>
      <c r="G25" s="2">
        <v>9.8822320133722983E-25</v>
      </c>
      <c r="H25" s="2">
        <v>1</v>
      </c>
      <c r="I25" s="2">
        <v>2.7444202244875098E-24</v>
      </c>
      <c r="J25" s="2">
        <v>0</v>
      </c>
      <c r="K25" s="2" t="s">
        <v>2</v>
      </c>
    </row>
    <row r="26" spans="1:11" x14ac:dyDescent="0.35">
      <c r="A26" s="2" t="s">
        <v>36</v>
      </c>
      <c r="B26" s="2">
        <v>429</v>
      </c>
      <c r="C26" s="2">
        <v>275</v>
      </c>
      <c r="D26" s="2">
        <v>0.609375</v>
      </c>
      <c r="E26" s="2">
        <v>3.5444863431141359E-9</v>
      </c>
      <c r="F26" s="2">
        <v>0.99999999775569159</v>
      </c>
      <c r="G26" s="2">
        <v>7.088972686228271E-9</v>
      </c>
      <c r="H26" s="2">
        <v>3.2357602153254561E-9</v>
      </c>
      <c r="I26" s="2">
        <v>0.99999999676423978</v>
      </c>
      <c r="J26" s="2">
        <v>6.4715204306509122E-9</v>
      </c>
      <c r="K26" s="2" t="s">
        <v>1</v>
      </c>
    </row>
    <row r="27" spans="1:11" x14ac:dyDescent="0.35">
      <c r="A27" s="2" t="s">
        <v>37</v>
      </c>
      <c r="B27" s="2">
        <v>475</v>
      </c>
      <c r="C27" s="2">
        <v>229</v>
      </c>
      <c r="D27" s="2">
        <v>0.67471590909090906</v>
      </c>
      <c r="E27" s="2">
        <v>5.285215232807774E-21</v>
      </c>
      <c r="F27" s="2">
        <v>1</v>
      </c>
      <c r="G27" s="2">
        <v>1.057043046561555E-20</v>
      </c>
      <c r="H27" s="2">
        <v>0</v>
      </c>
      <c r="I27" s="2">
        <v>1</v>
      </c>
      <c r="J27" s="2">
        <v>0</v>
      </c>
      <c r="K27" s="2" t="s">
        <v>1</v>
      </c>
    </row>
    <row r="28" spans="1:11" x14ac:dyDescent="0.35">
      <c r="A28" s="2" t="s">
        <v>38</v>
      </c>
      <c r="B28" s="2">
        <v>421</v>
      </c>
      <c r="C28" s="2">
        <v>283</v>
      </c>
      <c r="D28" s="2">
        <v>0.59801136363636365</v>
      </c>
      <c r="E28" s="2">
        <v>1.113695060809213E-7</v>
      </c>
      <c r="F28" s="2">
        <v>0.99999992614603173</v>
      </c>
      <c r="G28" s="2">
        <v>2.2273901216184249E-7</v>
      </c>
      <c r="H28" s="2">
        <v>9.9071855386156926E-8</v>
      </c>
      <c r="I28" s="2">
        <v>0.99999990092814461</v>
      </c>
      <c r="J28" s="2">
        <v>1.9814371077231391E-7</v>
      </c>
      <c r="K28" s="2" t="s">
        <v>1</v>
      </c>
    </row>
    <row r="29" spans="1:11" x14ac:dyDescent="0.35">
      <c r="A29" s="2" t="s">
        <v>39</v>
      </c>
      <c r="B29" s="2">
        <v>302</v>
      </c>
      <c r="C29" s="2">
        <v>402</v>
      </c>
      <c r="D29" s="2">
        <v>0.42897727272727271</v>
      </c>
      <c r="E29" s="2">
        <v>0.99993127286383343</v>
      </c>
      <c r="F29" s="2">
        <v>9.3132563399741616E-5</v>
      </c>
      <c r="G29" s="2">
        <v>1.8626512679948321E-4</v>
      </c>
      <c r="H29" s="2">
        <v>0.99991801303050887</v>
      </c>
      <c r="I29" s="2">
        <v>8.1986969491158737E-5</v>
      </c>
      <c r="J29" s="2">
        <v>1.6397393898226481E-4</v>
      </c>
      <c r="K29" s="2" t="s">
        <v>2</v>
      </c>
    </row>
    <row r="30" spans="1:11" x14ac:dyDescent="0.35">
      <c r="A30" s="2" t="s">
        <v>40</v>
      </c>
      <c r="B30" s="2">
        <v>269</v>
      </c>
      <c r="C30" s="2">
        <v>435</v>
      </c>
      <c r="D30" s="2">
        <v>0.38210227272727271</v>
      </c>
      <c r="E30" s="2">
        <v>0.99999999987208177</v>
      </c>
      <c r="F30" s="2">
        <v>2.0924884743097259E-10</v>
      </c>
      <c r="G30" s="2">
        <v>4.1849769486194508E-10</v>
      </c>
      <c r="H30" s="2">
        <v>0.99999999980296728</v>
      </c>
      <c r="I30" s="2">
        <v>1.9703275787215481E-10</v>
      </c>
      <c r="J30" s="2">
        <v>3.9406544694031709E-10</v>
      </c>
      <c r="K30" s="2" t="s">
        <v>2</v>
      </c>
    </row>
    <row r="31" spans="1:11" x14ac:dyDescent="0.35">
      <c r="A31" s="2" t="s">
        <v>41</v>
      </c>
      <c r="B31" s="2">
        <v>317</v>
      </c>
      <c r="C31" s="2">
        <v>387</v>
      </c>
      <c r="D31" s="2">
        <v>0.45028409090909088</v>
      </c>
      <c r="E31" s="2">
        <v>0.99629541745891781</v>
      </c>
      <c r="F31" s="2">
        <v>4.6298355537997774E-3</v>
      </c>
      <c r="G31" s="2">
        <v>9.2596711075995548E-3</v>
      </c>
      <c r="H31" s="2">
        <v>0.99583292771109133</v>
      </c>
      <c r="I31" s="2">
        <v>4.1670722889086756E-3</v>
      </c>
      <c r="J31" s="2">
        <v>8.3341445778173373E-3</v>
      </c>
      <c r="K31" s="2" t="s">
        <v>2</v>
      </c>
    </row>
    <row r="32" spans="1:11" x14ac:dyDescent="0.35">
      <c r="A32" s="2" t="s">
        <v>42</v>
      </c>
      <c r="B32" s="2">
        <v>326</v>
      </c>
      <c r="C32" s="2">
        <v>378</v>
      </c>
      <c r="D32" s="2">
        <v>0.46306818181818182</v>
      </c>
      <c r="E32" s="2">
        <v>0.97715363504431529</v>
      </c>
      <c r="F32" s="2">
        <v>2.7255805301668649E-2</v>
      </c>
      <c r="G32" s="2">
        <v>5.4511610603337292E-2</v>
      </c>
      <c r="H32" s="2">
        <v>0.97499180225717708</v>
      </c>
      <c r="I32" s="2">
        <v>2.5008197742822879E-2</v>
      </c>
      <c r="J32" s="2">
        <v>5.0016395485645848E-2</v>
      </c>
      <c r="K32" s="2" t="s">
        <v>2</v>
      </c>
    </row>
    <row r="33" spans="1:11" x14ac:dyDescent="0.35">
      <c r="A33" s="2" t="s">
        <v>43</v>
      </c>
      <c r="B33" s="2">
        <v>364</v>
      </c>
      <c r="C33" s="2">
        <v>340</v>
      </c>
      <c r="D33" s="2">
        <v>0.51704545454545459</v>
      </c>
      <c r="E33" s="2">
        <v>0.19302048399242741</v>
      </c>
      <c r="F33" s="2">
        <v>0.82695748928708979</v>
      </c>
      <c r="G33" s="2">
        <v>0.38604096798485482</v>
      </c>
      <c r="H33" s="2">
        <v>0.18285614814075599</v>
      </c>
      <c r="I33" s="2">
        <v>0.81714385185924399</v>
      </c>
      <c r="J33" s="2">
        <v>0.36571229628151197</v>
      </c>
      <c r="K33" s="2" t="s">
        <v>12</v>
      </c>
    </row>
    <row r="34" spans="1:11" x14ac:dyDescent="0.35">
      <c r="A34" s="2" t="s">
        <v>44</v>
      </c>
      <c r="B34" s="2">
        <v>451</v>
      </c>
      <c r="C34" s="2">
        <v>253</v>
      </c>
      <c r="D34" s="2">
        <v>0.640625</v>
      </c>
      <c r="E34" s="2">
        <v>3.8989699383371863E-14</v>
      </c>
      <c r="F34" s="2">
        <v>0.99999999999997835</v>
      </c>
      <c r="G34" s="2">
        <v>7.7979398766743726E-14</v>
      </c>
      <c r="H34" s="2">
        <v>4.2521541843143502E-14</v>
      </c>
      <c r="I34" s="2">
        <v>0.99999999999995748</v>
      </c>
      <c r="J34" s="2">
        <v>8.5043083686286991E-14</v>
      </c>
      <c r="K34" s="2" t="s">
        <v>1</v>
      </c>
    </row>
    <row r="35" spans="1:11" x14ac:dyDescent="0.35">
      <c r="A35" s="2" t="s">
        <v>45</v>
      </c>
      <c r="B35" s="2">
        <v>359</v>
      </c>
      <c r="C35" s="2">
        <v>345</v>
      </c>
      <c r="D35" s="2">
        <v>0.50994318181818177</v>
      </c>
      <c r="E35" s="2">
        <v>0.33924030681285811</v>
      </c>
      <c r="F35" s="2">
        <v>0.68790182259992472</v>
      </c>
      <c r="G35" s="2">
        <v>0.6784806136257161</v>
      </c>
      <c r="H35" s="2">
        <v>0.29887292785152092</v>
      </c>
      <c r="I35" s="2">
        <v>0.70112707214847914</v>
      </c>
      <c r="J35" s="2">
        <v>0.59774585570304173</v>
      </c>
      <c r="K35" s="2" t="s">
        <v>12</v>
      </c>
    </row>
    <row r="36" spans="1:11" x14ac:dyDescent="0.35">
      <c r="A36" s="2" t="s">
        <v>46</v>
      </c>
      <c r="B36" s="2">
        <v>413</v>
      </c>
      <c r="C36" s="2">
        <v>291</v>
      </c>
      <c r="D36" s="2">
        <v>0.58664772727272729</v>
      </c>
      <c r="E36" s="2">
        <v>2.425141220284132E-6</v>
      </c>
      <c r="F36" s="2">
        <v>0.99999831688327856</v>
      </c>
      <c r="G36" s="2">
        <v>4.8502824405682632E-6</v>
      </c>
      <c r="H36" s="2">
        <v>2.1323387218163958E-6</v>
      </c>
      <c r="I36" s="2">
        <v>0.99999786766127818</v>
      </c>
      <c r="J36" s="2">
        <v>4.2646774436327917E-6</v>
      </c>
      <c r="K36" s="2" t="s">
        <v>1</v>
      </c>
    </row>
    <row r="37" spans="1:11" x14ac:dyDescent="0.35">
      <c r="A37" s="2" t="s">
        <v>47</v>
      </c>
      <c r="B37" s="2">
        <v>343</v>
      </c>
      <c r="C37" s="2">
        <v>361</v>
      </c>
      <c r="D37" s="2">
        <v>0.48721590909090912</v>
      </c>
      <c r="E37" s="2">
        <v>0.76301913543624389</v>
      </c>
      <c r="F37" s="2">
        <v>0.26086961327395092</v>
      </c>
      <c r="G37" s="2">
        <v>0.52173922654790184</v>
      </c>
      <c r="H37" s="2">
        <v>0.7512411119350052</v>
      </c>
      <c r="I37" s="2">
        <v>0.2487588880649948</v>
      </c>
      <c r="J37" s="2">
        <v>0.4975177761299896</v>
      </c>
      <c r="K37" s="2" t="s">
        <v>12</v>
      </c>
    </row>
    <row r="38" spans="1:11" x14ac:dyDescent="0.35">
      <c r="A38" s="2" t="s">
        <v>48</v>
      </c>
      <c r="B38" s="2">
        <v>538</v>
      </c>
      <c r="C38" s="2">
        <v>166</v>
      </c>
      <c r="D38" s="2">
        <v>0.76420454545454541</v>
      </c>
      <c r="E38" s="2">
        <v>5.9628957811031605E-47</v>
      </c>
      <c r="F38" s="2">
        <v>1</v>
      </c>
      <c r="G38" s="2">
        <v>1.1925791562206321E-46</v>
      </c>
      <c r="H38" s="2">
        <v>0</v>
      </c>
      <c r="I38" s="2">
        <v>1</v>
      </c>
      <c r="J38" s="2">
        <v>0</v>
      </c>
      <c r="K38" s="2" t="s">
        <v>1</v>
      </c>
    </row>
    <row r="39" spans="1:11" x14ac:dyDescent="0.35">
      <c r="A39" s="2" t="s">
        <v>49</v>
      </c>
      <c r="B39" s="2">
        <v>520</v>
      </c>
      <c r="C39" s="2">
        <v>184</v>
      </c>
      <c r="D39" s="2">
        <v>0.73863636363636365</v>
      </c>
      <c r="E39" s="2">
        <v>2.755242345259783E-38</v>
      </c>
      <c r="F39" s="2">
        <v>1</v>
      </c>
      <c r="G39" s="2">
        <v>5.510484690519566E-38</v>
      </c>
      <c r="H39" s="2">
        <v>0</v>
      </c>
      <c r="I39" s="2">
        <v>1</v>
      </c>
      <c r="J39" s="2">
        <v>0</v>
      </c>
      <c r="K39" s="2" t="s">
        <v>1</v>
      </c>
    </row>
    <row r="40" spans="1:11" x14ac:dyDescent="0.35">
      <c r="A40" s="2" t="s">
        <v>50</v>
      </c>
      <c r="B40" s="2">
        <v>372</v>
      </c>
      <c r="C40" s="2">
        <v>332</v>
      </c>
      <c r="D40" s="2">
        <v>0.52840909090909094</v>
      </c>
      <c r="E40" s="2">
        <v>7.0771444478710852E-2</v>
      </c>
      <c r="F40" s="2">
        <v>0.93888725506558557</v>
      </c>
      <c r="G40" s="2">
        <v>0.1415428889574217</v>
      </c>
      <c r="H40" s="2">
        <v>6.583400801140693E-2</v>
      </c>
      <c r="I40" s="2">
        <v>0.93416599198859307</v>
      </c>
      <c r="J40" s="2">
        <v>0.13166801602281389</v>
      </c>
      <c r="K40" s="2" t="s">
        <v>12</v>
      </c>
    </row>
    <row r="41" spans="1:11" x14ac:dyDescent="0.35">
      <c r="A41" s="2" t="s">
        <v>51</v>
      </c>
      <c r="B41" s="2">
        <v>387</v>
      </c>
      <c r="C41" s="2">
        <v>317</v>
      </c>
      <c r="D41" s="2">
        <v>0.54971590909090906</v>
      </c>
      <c r="E41" s="2">
        <v>4.6298355537997774E-3</v>
      </c>
      <c r="F41" s="2">
        <v>0.99629541745891781</v>
      </c>
      <c r="G41" s="2">
        <v>9.2596711075995548E-3</v>
      </c>
      <c r="H41" s="2">
        <v>4.1670722889086687E-3</v>
      </c>
      <c r="I41" s="2">
        <v>0.99583292771109133</v>
      </c>
      <c r="J41" s="2">
        <v>8.3341445778173373E-3</v>
      </c>
      <c r="K41" s="2" t="s">
        <v>1</v>
      </c>
    </row>
    <row r="42" spans="1:11" x14ac:dyDescent="0.35">
      <c r="A42" s="2" t="s">
        <v>52</v>
      </c>
      <c r="B42" s="2">
        <v>479</v>
      </c>
      <c r="C42" s="2">
        <v>225</v>
      </c>
      <c r="D42" s="2">
        <v>0.68039772727272729</v>
      </c>
      <c r="E42" s="2">
        <v>2.66113438101818E-22</v>
      </c>
      <c r="F42" s="2">
        <v>1</v>
      </c>
      <c r="G42" s="2">
        <v>5.3222687620363591E-22</v>
      </c>
      <c r="H42" s="2">
        <v>0</v>
      </c>
      <c r="I42" s="2">
        <v>1</v>
      </c>
      <c r="J42" s="2">
        <v>0</v>
      </c>
      <c r="K42" s="2" t="s">
        <v>1</v>
      </c>
    </row>
    <row r="43" spans="1:11" x14ac:dyDescent="0.35">
      <c r="A43" s="2" t="s">
        <v>53</v>
      </c>
      <c r="B43" s="2">
        <v>481</v>
      </c>
      <c r="C43" s="2">
        <v>223</v>
      </c>
      <c r="D43" s="2">
        <v>0.68323863636363635</v>
      </c>
      <c r="E43" s="2">
        <v>5.7444478971644066E-23</v>
      </c>
      <c r="F43" s="2">
        <v>1</v>
      </c>
      <c r="G43" s="2">
        <v>1.1488895794328811E-22</v>
      </c>
      <c r="H43" s="2">
        <v>0</v>
      </c>
      <c r="I43" s="2">
        <v>1</v>
      </c>
      <c r="J43" s="2">
        <v>0</v>
      </c>
      <c r="K43" s="2" t="s">
        <v>1</v>
      </c>
    </row>
    <row r="44" spans="1:11" x14ac:dyDescent="0.35">
      <c r="A44" s="2" t="s">
        <v>54</v>
      </c>
      <c r="B44" s="2">
        <v>502</v>
      </c>
      <c r="C44" s="2">
        <v>202</v>
      </c>
      <c r="D44" s="2">
        <v>0.71306818181818177</v>
      </c>
      <c r="E44" s="2">
        <v>2.9522028872401471E-30</v>
      </c>
      <c r="F44" s="2">
        <v>1</v>
      </c>
      <c r="G44" s="2">
        <v>5.9044057744802949E-30</v>
      </c>
      <c r="H44" s="2">
        <v>0</v>
      </c>
      <c r="I44" s="2">
        <v>1</v>
      </c>
      <c r="J44" s="2">
        <v>0</v>
      </c>
      <c r="K44" s="2" t="s">
        <v>1</v>
      </c>
    </row>
    <row r="45" spans="1:11" x14ac:dyDescent="0.35">
      <c r="A45" s="2" t="s">
        <v>55</v>
      </c>
      <c r="B45" s="2">
        <v>359</v>
      </c>
      <c r="C45" s="2">
        <v>345</v>
      </c>
      <c r="D45" s="2">
        <v>0.50994318181818177</v>
      </c>
      <c r="E45" s="2">
        <v>0.33924030681285811</v>
      </c>
      <c r="F45" s="2">
        <v>0.68790182259992472</v>
      </c>
      <c r="G45" s="2">
        <v>0.6784806136257161</v>
      </c>
      <c r="H45" s="2">
        <v>0.29887292785152092</v>
      </c>
      <c r="I45" s="2">
        <v>0.70112707214847914</v>
      </c>
      <c r="J45" s="2">
        <v>0.59774585570304173</v>
      </c>
      <c r="K45" s="2" t="s">
        <v>12</v>
      </c>
    </row>
    <row r="46" spans="1:11" x14ac:dyDescent="0.35">
      <c r="A46" s="2" t="s">
        <v>56</v>
      </c>
      <c r="B46" s="2">
        <v>239</v>
      </c>
      <c r="C46" s="2">
        <v>465</v>
      </c>
      <c r="D46" s="2">
        <v>0.33948863636363641</v>
      </c>
      <c r="E46" s="2">
        <v>1</v>
      </c>
      <c r="F46" s="2">
        <v>5.947395794988822E-18</v>
      </c>
      <c r="G46" s="2">
        <v>1.1894791589977639E-17</v>
      </c>
      <c r="H46" s="2">
        <v>1</v>
      </c>
      <c r="I46" s="2">
        <v>8.1379739360316048E-18</v>
      </c>
      <c r="J46" s="2">
        <v>0</v>
      </c>
      <c r="K46" s="2" t="s">
        <v>2</v>
      </c>
    </row>
    <row r="47" spans="1:11" x14ac:dyDescent="0.35">
      <c r="A47" s="2" t="s">
        <v>57</v>
      </c>
      <c r="B47" s="2">
        <v>570</v>
      </c>
      <c r="C47" s="2">
        <v>134</v>
      </c>
      <c r="D47" s="2">
        <v>0.80965909090909094</v>
      </c>
      <c r="E47" s="2">
        <v>3.837347498761025E-65</v>
      </c>
      <c r="F47" s="2">
        <v>1</v>
      </c>
      <c r="G47" s="2">
        <v>7.6746949975220501E-65</v>
      </c>
      <c r="H47" s="2">
        <v>0</v>
      </c>
      <c r="I47" s="2">
        <v>1</v>
      </c>
      <c r="J47" s="2">
        <v>0</v>
      </c>
      <c r="K47" s="2" t="s">
        <v>1</v>
      </c>
    </row>
    <row r="48" spans="1:11" x14ac:dyDescent="0.35">
      <c r="A48" s="2" t="s">
        <v>58</v>
      </c>
      <c r="B48" s="2">
        <v>523</v>
      </c>
      <c r="C48" s="2">
        <v>181</v>
      </c>
      <c r="D48" s="2">
        <v>0.74289772727272729</v>
      </c>
      <c r="E48" s="2">
        <v>1.173198000799468E-39</v>
      </c>
      <c r="F48" s="2">
        <v>1</v>
      </c>
      <c r="G48" s="2">
        <v>2.346396001598936E-39</v>
      </c>
      <c r="H48" s="2">
        <v>0</v>
      </c>
      <c r="I48" s="2">
        <v>1</v>
      </c>
      <c r="J48" s="2">
        <v>0</v>
      </c>
      <c r="K48" s="2" t="s">
        <v>1</v>
      </c>
    </row>
    <row r="49" spans="1:11" x14ac:dyDescent="0.35">
      <c r="A49" s="2" t="s">
        <v>59</v>
      </c>
      <c r="B49" s="2">
        <v>516</v>
      </c>
      <c r="C49" s="2">
        <v>188</v>
      </c>
      <c r="D49" s="2">
        <v>0.73295454545454541</v>
      </c>
      <c r="E49" s="2">
        <v>1.672935226012477E-36</v>
      </c>
      <c r="F49" s="2">
        <v>1</v>
      </c>
      <c r="G49" s="2">
        <v>3.3458704520249527E-36</v>
      </c>
      <c r="H49" s="2">
        <v>0</v>
      </c>
      <c r="I49" s="2">
        <v>1</v>
      </c>
      <c r="J49" s="2">
        <v>0</v>
      </c>
      <c r="K49" s="2" t="s">
        <v>1</v>
      </c>
    </row>
    <row r="50" spans="1:11" x14ac:dyDescent="0.35">
      <c r="A50" s="2" t="s">
        <v>60</v>
      </c>
      <c r="B50" s="2">
        <v>361</v>
      </c>
      <c r="C50" s="2">
        <v>343</v>
      </c>
      <c r="D50" s="2">
        <v>0.51278409090909094</v>
      </c>
      <c r="E50" s="2">
        <v>0.26086961327395092</v>
      </c>
      <c r="F50" s="2">
        <v>0.76301913543624389</v>
      </c>
      <c r="G50" s="2">
        <v>0.52173922654790184</v>
      </c>
      <c r="H50" s="2">
        <v>0.2487588880649938</v>
      </c>
      <c r="I50" s="2">
        <v>0.7512411119350062</v>
      </c>
      <c r="J50" s="2">
        <v>0.4975177761299876</v>
      </c>
      <c r="K50" s="2" t="s">
        <v>12</v>
      </c>
    </row>
    <row r="51" spans="1:11" x14ac:dyDescent="0.35">
      <c r="A51" s="2" t="s">
        <v>61</v>
      </c>
      <c r="B51" s="2">
        <v>462</v>
      </c>
      <c r="C51" s="2">
        <v>242</v>
      </c>
      <c r="D51" s="2">
        <v>0.65625</v>
      </c>
      <c r="E51" s="2">
        <v>4.3296064439747961E-17</v>
      </c>
      <c r="F51" s="2">
        <v>1</v>
      </c>
      <c r="G51" s="2">
        <v>8.6592128879495922E-17</v>
      </c>
      <c r="H51" s="2">
        <v>1.110223024625157E-16</v>
      </c>
      <c r="I51" s="2">
        <v>0.99999999999999989</v>
      </c>
      <c r="J51" s="2">
        <v>2.2204460492503131E-16</v>
      </c>
      <c r="K51" s="2" t="s">
        <v>1</v>
      </c>
    </row>
    <row r="52" spans="1:11" x14ac:dyDescent="0.35">
      <c r="A52" s="2" t="s">
        <v>62</v>
      </c>
      <c r="B52" s="2">
        <v>476</v>
      </c>
      <c r="C52" s="2">
        <v>228</v>
      </c>
      <c r="D52" s="2">
        <v>0.67613636363636365</v>
      </c>
      <c r="E52" s="2">
        <v>2.527851327681256E-21</v>
      </c>
      <c r="F52" s="2">
        <v>1</v>
      </c>
      <c r="G52" s="2">
        <v>5.0557026553625112E-21</v>
      </c>
      <c r="H52" s="2">
        <v>0</v>
      </c>
      <c r="I52" s="2">
        <v>1</v>
      </c>
      <c r="J52" s="2">
        <v>0</v>
      </c>
      <c r="K52" s="2" t="s">
        <v>1</v>
      </c>
    </row>
    <row r="53" spans="1:11" x14ac:dyDescent="0.35">
      <c r="A53" s="2" t="s">
        <v>63</v>
      </c>
      <c r="B53" s="2">
        <v>471</v>
      </c>
      <c r="C53" s="2">
        <v>233</v>
      </c>
      <c r="D53" s="2">
        <v>0.66903409090909094</v>
      </c>
      <c r="E53" s="2">
        <v>9.4747657568744627E-20</v>
      </c>
      <c r="F53" s="2">
        <v>1</v>
      </c>
      <c r="G53" s="2">
        <v>1.894953151374893E-19</v>
      </c>
      <c r="H53" s="2">
        <v>0</v>
      </c>
      <c r="I53" s="2">
        <v>1</v>
      </c>
      <c r="J53" s="2">
        <v>0</v>
      </c>
      <c r="K53" s="2" t="s">
        <v>1</v>
      </c>
    </row>
    <row r="54" spans="1:11" x14ac:dyDescent="0.35">
      <c r="A54" s="2" t="s">
        <v>64</v>
      </c>
      <c r="B54" s="2">
        <v>402</v>
      </c>
      <c r="C54" s="2">
        <v>302</v>
      </c>
      <c r="D54" s="2">
        <v>0.57102272727272729</v>
      </c>
      <c r="E54" s="2">
        <v>9.3132563399741616E-5</v>
      </c>
      <c r="F54" s="2">
        <v>0.99993127286383343</v>
      </c>
      <c r="G54" s="2">
        <v>1.8626512679948321E-4</v>
      </c>
      <c r="H54" s="2">
        <v>8.1986969491132378E-5</v>
      </c>
      <c r="I54" s="2">
        <v>0.99991801303050887</v>
      </c>
      <c r="J54" s="2">
        <v>1.6397393898226481E-4</v>
      </c>
      <c r="K54" s="2" t="s">
        <v>1</v>
      </c>
    </row>
    <row r="55" spans="1:11" x14ac:dyDescent="0.35">
      <c r="A55" s="2" t="s">
        <v>65</v>
      </c>
      <c r="B55" s="2">
        <v>561</v>
      </c>
      <c r="C55" s="2">
        <v>143</v>
      </c>
      <c r="D55" s="2">
        <v>0.796875</v>
      </c>
      <c r="E55" s="2">
        <v>1.213894333138013E-59</v>
      </c>
      <c r="F55" s="2">
        <v>1</v>
      </c>
      <c r="G55" s="2">
        <v>2.4277886662760269E-59</v>
      </c>
      <c r="H55" s="2">
        <v>0</v>
      </c>
      <c r="I55" s="2">
        <v>1</v>
      </c>
      <c r="J55" s="2">
        <v>0</v>
      </c>
      <c r="K55" s="2" t="s">
        <v>1</v>
      </c>
    </row>
    <row r="56" spans="1:11" x14ac:dyDescent="0.35">
      <c r="A56" s="2" t="s">
        <v>66</v>
      </c>
      <c r="B56" s="2">
        <v>553</v>
      </c>
      <c r="C56" s="2">
        <v>151</v>
      </c>
      <c r="D56" s="2">
        <v>0.78551136363636365</v>
      </c>
      <c r="E56" s="2">
        <v>5.1856979116479421E-55</v>
      </c>
      <c r="F56" s="2">
        <v>1</v>
      </c>
      <c r="G56" s="2">
        <v>1.037139582329588E-54</v>
      </c>
      <c r="H56" s="2">
        <v>0</v>
      </c>
      <c r="I56" s="2">
        <v>1</v>
      </c>
      <c r="J56" s="2">
        <v>0</v>
      </c>
      <c r="K56" s="2" t="s">
        <v>1</v>
      </c>
    </row>
    <row r="57" spans="1:11" x14ac:dyDescent="0.35">
      <c r="A57" s="2" t="s">
        <v>67</v>
      </c>
      <c r="B57" s="2">
        <v>581</v>
      </c>
      <c r="C57" s="2">
        <v>123</v>
      </c>
      <c r="D57" s="2">
        <v>0.82528409090909094</v>
      </c>
      <c r="E57" s="2">
        <v>2.6395519188984468E-72</v>
      </c>
      <c r="F57" s="2">
        <v>1</v>
      </c>
      <c r="G57" s="2">
        <v>5.2791038377968947E-72</v>
      </c>
      <c r="H57" s="2">
        <v>0</v>
      </c>
      <c r="I57" s="2">
        <v>1</v>
      </c>
      <c r="J57" s="2">
        <v>0</v>
      </c>
      <c r="K57" s="2" t="s">
        <v>1</v>
      </c>
    </row>
    <row r="58" spans="1:11" x14ac:dyDescent="0.35">
      <c r="A58" s="2" t="s">
        <v>68</v>
      </c>
      <c r="B58" s="2">
        <v>396</v>
      </c>
      <c r="C58" s="2">
        <v>308</v>
      </c>
      <c r="D58" s="2">
        <v>0.5625</v>
      </c>
      <c r="E58" s="2">
        <v>5.140143795173258E-4</v>
      </c>
      <c r="F58" s="2">
        <v>0.99960803532611964</v>
      </c>
      <c r="G58" s="2">
        <v>1.028028759034652E-3</v>
      </c>
      <c r="H58" s="2">
        <v>4.555594385768913E-4</v>
      </c>
      <c r="I58" s="2">
        <v>0.99954444056142311</v>
      </c>
      <c r="J58" s="2">
        <v>9.1111887715378259E-4</v>
      </c>
      <c r="K58" s="2" t="s">
        <v>1</v>
      </c>
    </row>
    <row r="59" spans="1:11" x14ac:dyDescent="0.35">
      <c r="A59" s="2" t="s">
        <v>69</v>
      </c>
      <c r="B59" s="2">
        <v>292</v>
      </c>
      <c r="C59" s="2">
        <v>412</v>
      </c>
      <c r="D59" s="2">
        <v>0.41477272727272729</v>
      </c>
      <c r="E59" s="2">
        <v>0.99999757485877971</v>
      </c>
      <c r="F59" s="2">
        <v>3.4746484737434672E-6</v>
      </c>
      <c r="G59" s="2">
        <v>6.9492969474869344E-6</v>
      </c>
      <c r="H59" s="2">
        <v>0.99999694678212048</v>
      </c>
      <c r="I59" s="2">
        <v>3.0532178795044568E-6</v>
      </c>
      <c r="J59" s="2">
        <v>6.1064357590456808E-6</v>
      </c>
      <c r="K59" s="2" t="s">
        <v>2</v>
      </c>
    </row>
    <row r="60" spans="1:11" x14ac:dyDescent="0.35">
      <c r="A60" s="2" t="s">
        <v>70</v>
      </c>
      <c r="B60" s="2">
        <v>301</v>
      </c>
      <c r="C60" s="2">
        <v>403</v>
      </c>
      <c r="D60" s="2">
        <v>0.42755681818181818</v>
      </c>
      <c r="E60" s="2">
        <v>0.99994956179441508</v>
      </c>
      <c r="F60" s="2">
        <v>6.8727136166595653E-5</v>
      </c>
      <c r="G60" s="2">
        <v>1.3745427233319131E-4</v>
      </c>
      <c r="H60" s="2">
        <v>0.99993954399936102</v>
      </c>
      <c r="I60" s="2">
        <v>6.0456000639001708E-5</v>
      </c>
      <c r="J60" s="2">
        <v>1.2091200127795081E-4</v>
      </c>
      <c r="K60" s="2" t="s">
        <v>2</v>
      </c>
    </row>
    <row r="61" spans="1:11" x14ac:dyDescent="0.35">
      <c r="A61" s="2" t="s">
        <v>71</v>
      </c>
      <c r="B61" s="2">
        <v>209</v>
      </c>
      <c r="C61" s="2">
        <v>495</v>
      </c>
      <c r="D61" s="2">
        <v>0.296875</v>
      </c>
      <c r="E61" s="2">
        <v>1</v>
      </c>
      <c r="F61" s="2">
        <v>6.0128866720584896E-28</v>
      </c>
      <c r="G61" s="2">
        <v>1.2025773344116979E-27</v>
      </c>
      <c r="H61" s="2">
        <v>1</v>
      </c>
      <c r="I61" s="2">
        <v>2.162094319784073E-27</v>
      </c>
      <c r="J61" s="2">
        <v>0</v>
      </c>
      <c r="K61" s="2" t="s">
        <v>2</v>
      </c>
    </row>
    <row r="62" spans="1:11" x14ac:dyDescent="0.35">
      <c r="A62" s="2" t="s">
        <v>72</v>
      </c>
      <c r="B62" s="2">
        <v>489</v>
      </c>
      <c r="C62" s="2">
        <v>215</v>
      </c>
      <c r="D62" s="2">
        <v>0.69460227272727271</v>
      </c>
      <c r="E62" s="2">
        <v>9.6049905137288658E-26</v>
      </c>
      <c r="F62" s="2">
        <v>1</v>
      </c>
      <c r="G62" s="2">
        <v>1.9209981027457729E-25</v>
      </c>
      <c r="H62" s="2">
        <v>0</v>
      </c>
      <c r="I62" s="2">
        <v>1</v>
      </c>
      <c r="J62" s="2">
        <v>0</v>
      </c>
      <c r="K62" s="2" t="s">
        <v>1</v>
      </c>
    </row>
    <row r="63" spans="1:11" x14ac:dyDescent="0.35">
      <c r="A63" s="2" t="s">
        <v>73</v>
      </c>
      <c r="B63" s="2">
        <v>665</v>
      </c>
      <c r="C63" s="2">
        <v>39</v>
      </c>
      <c r="D63" s="2">
        <v>0.94460227272727271</v>
      </c>
      <c r="E63" s="2">
        <v>2.404943654208772E-148</v>
      </c>
      <c r="F63" s="2">
        <v>1</v>
      </c>
      <c r="G63" s="2">
        <v>4.8098873084175447E-148</v>
      </c>
      <c r="H63" s="2">
        <v>0</v>
      </c>
      <c r="I63" s="2">
        <v>1</v>
      </c>
      <c r="J63" s="2">
        <v>0</v>
      </c>
      <c r="K63" s="2" t="s">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334</v>
      </c>
      <c r="C2" s="2">
        <v>370</v>
      </c>
      <c r="D2" s="2">
        <v>0.47443181818181818</v>
      </c>
      <c r="E2" s="2">
        <v>0.91843865693126425</v>
      </c>
      <c r="F2" s="2">
        <v>9.3546529825919919E-2</v>
      </c>
      <c r="G2" s="2">
        <v>0.18709305965183981</v>
      </c>
      <c r="H2" s="2">
        <v>0.91257778319479266</v>
      </c>
      <c r="I2" s="2">
        <v>8.7422216805207342E-2</v>
      </c>
      <c r="J2" s="2">
        <v>0.17484443361041471</v>
      </c>
      <c r="K2" s="2" t="s">
        <v>12</v>
      </c>
    </row>
    <row r="3" spans="1:11" x14ac:dyDescent="0.35">
      <c r="A3" s="2" t="s">
        <v>13</v>
      </c>
      <c r="B3" s="2">
        <v>337</v>
      </c>
      <c r="C3" s="2">
        <v>367</v>
      </c>
      <c r="D3" s="2">
        <v>0.47869318181818182</v>
      </c>
      <c r="E3" s="2">
        <v>0.87867863039430649</v>
      </c>
      <c r="F3" s="2">
        <v>0.1371961135641718</v>
      </c>
      <c r="G3" s="2">
        <v>0.27439222712834371</v>
      </c>
      <c r="H3" s="2">
        <v>0.8709024762080273</v>
      </c>
      <c r="I3" s="2">
        <v>0.12909752379197259</v>
      </c>
      <c r="J3" s="2">
        <v>0.2581950475839454</v>
      </c>
      <c r="K3" s="2" t="s">
        <v>12</v>
      </c>
    </row>
    <row r="4" spans="1:11" x14ac:dyDescent="0.35">
      <c r="A4" s="2" t="s">
        <v>14</v>
      </c>
      <c r="B4" s="2">
        <v>398</v>
      </c>
      <c r="C4" s="2">
        <v>306</v>
      </c>
      <c r="D4" s="2">
        <v>0.56534090909090906</v>
      </c>
      <c r="E4" s="2">
        <v>2.9727623726529142E-4</v>
      </c>
      <c r="F4" s="2">
        <v>0.99977576233067644</v>
      </c>
      <c r="G4" s="2">
        <v>5.9455247453058272E-4</v>
      </c>
      <c r="H4" s="2">
        <v>2.6277871913638062E-4</v>
      </c>
      <c r="I4" s="2">
        <v>0.99973722128086362</v>
      </c>
      <c r="J4" s="2">
        <v>5.2555743827276125E-4</v>
      </c>
      <c r="K4" s="2" t="s">
        <v>1</v>
      </c>
    </row>
    <row r="5" spans="1:11" x14ac:dyDescent="0.35">
      <c r="A5" s="2" t="s">
        <v>15</v>
      </c>
      <c r="B5" s="2">
        <v>390</v>
      </c>
      <c r="C5" s="2">
        <v>314</v>
      </c>
      <c r="D5" s="2">
        <v>0.55397727272727271</v>
      </c>
      <c r="E5" s="2">
        <v>2.334560481166707E-3</v>
      </c>
      <c r="F5" s="2">
        <v>0.99816142786523809</v>
      </c>
      <c r="G5" s="2">
        <v>4.669120962333414E-3</v>
      </c>
      <c r="H5" s="2">
        <v>2.0892787840832709E-3</v>
      </c>
      <c r="I5" s="2">
        <v>0.99791072121591673</v>
      </c>
      <c r="J5" s="2">
        <v>4.178557568166541E-3</v>
      </c>
      <c r="K5" s="2" t="s">
        <v>1</v>
      </c>
    </row>
    <row r="6" spans="1:11" x14ac:dyDescent="0.35">
      <c r="A6" s="2" t="s">
        <v>16</v>
      </c>
      <c r="B6" s="2">
        <v>375</v>
      </c>
      <c r="C6" s="2">
        <v>329</v>
      </c>
      <c r="D6" s="2">
        <v>0.53267045454545459</v>
      </c>
      <c r="E6" s="2">
        <v>4.4907133435382003E-2</v>
      </c>
      <c r="F6" s="2">
        <v>0.96178842758226124</v>
      </c>
      <c r="G6" s="2">
        <v>8.9814266870763992E-2</v>
      </c>
      <c r="H6" s="2">
        <v>4.1486530362206182E-2</v>
      </c>
      <c r="I6" s="2">
        <v>0.95851346963779382</v>
      </c>
      <c r="J6" s="2">
        <v>8.2973060724412351E-2</v>
      </c>
      <c r="K6" s="2" t="s">
        <v>1</v>
      </c>
    </row>
    <row r="7" spans="1:11" x14ac:dyDescent="0.35">
      <c r="A7" s="2" t="s">
        <v>17</v>
      </c>
      <c r="B7" s="2">
        <v>340</v>
      </c>
      <c r="C7" s="2">
        <v>364</v>
      </c>
      <c r="D7" s="2">
        <v>0.48295454545454553</v>
      </c>
      <c r="E7" s="2">
        <v>0.82695748928708979</v>
      </c>
      <c r="F7" s="2">
        <v>0.19302048399242741</v>
      </c>
      <c r="G7" s="2">
        <v>0.38604096798485482</v>
      </c>
      <c r="H7" s="2">
        <v>0.8171438518592431</v>
      </c>
      <c r="I7" s="2">
        <v>0.18285614814075679</v>
      </c>
      <c r="J7" s="2">
        <v>0.3657122962815138</v>
      </c>
      <c r="K7" s="2" t="s">
        <v>12</v>
      </c>
    </row>
    <row r="8" spans="1:11" x14ac:dyDescent="0.35">
      <c r="A8" s="2" t="s">
        <v>18</v>
      </c>
      <c r="B8" s="2">
        <v>333</v>
      </c>
      <c r="C8" s="2">
        <v>371</v>
      </c>
      <c r="D8" s="2">
        <v>0.47301136363636359</v>
      </c>
      <c r="E8" s="2">
        <v>0.92922855552128913</v>
      </c>
      <c r="F8" s="2">
        <v>8.1561343068735734E-2</v>
      </c>
      <c r="G8" s="2">
        <v>0.1631226861374715</v>
      </c>
      <c r="H8" s="2">
        <v>0.92395368375921005</v>
      </c>
      <c r="I8" s="2">
        <v>7.6046316240789988E-2</v>
      </c>
      <c r="J8" s="2">
        <v>0.15209263248157989</v>
      </c>
      <c r="K8" s="2" t="s">
        <v>12</v>
      </c>
    </row>
    <row r="9" spans="1:11" x14ac:dyDescent="0.35">
      <c r="A9" s="2" t="s">
        <v>19</v>
      </c>
      <c r="B9" s="2">
        <v>376</v>
      </c>
      <c r="C9" s="2">
        <v>328</v>
      </c>
      <c r="D9" s="2">
        <v>0.53409090909090906</v>
      </c>
      <c r="E9" s="2">
        <v>3.8211572417738697E-2</v>
      </c>
      <c r="F9" s="2">
        <v>0.9676470434726987</v>
      </c>
      <c r="G9" s="2">
        <v>7.6423144835477408E-2</v>
      </c>
      <c r="H9" s="2">
        <v>3.5220214636044078E-2</v>
      </c>
      <c r="I9" s="2">
        <v>0.96477978536395592</v>
      </c>
      <c r="J9" s="2">
        <v>7.0440429272088156E-2</v>
      </c>
      <c r="K9" s="2" t="s">
        <v>1</v>
      </c>
    </row>
    <row r="10" spans="1:11" x14ac:dyDescent="0.35">
      <c r="A10" s="2" t="s">
        <v>20</v>
      </c>
      <c r="B10" s="2">
        <v>249</v>
      </c>
      <c r="C10" s="2">
        <v>455</v>
      </c>
      <c r="D10" s="2">
        <v>0.35369318181818182</v>
      </c>
      <c r="E10" s="2">
        <v>0.99999999999999811</v>
      </c>
      <c r="F10" s="2">
        <v>3.5800149477577373E-15</v>
      </c>
      <c r="G10" s="2">
        <v>7.160029895515473E-15</v>
      </c>
      <c r="H10" s="2">
        <v>0.99999999999999589</v>
      </c>
      <c r="I10" s="2">
        <v>4.1172859136787213E-15</v>
      </c>
      <c r="J10" s="2">
        <v>8.2156503822261584E-15</v>
      </c>
      <c r="K10" s="2" t="s">
        <v>2</v>
      </c>
    </row>
    <row r="11" spans="1:11" x14ac:dyDescent="0.35">
      <c r="A11" s="2" t="s">
        <v>21</v>
      </c>
      <c r="B11" s="2">
        <v>290</v>
      </c>
      <c r="C11" s="2">
        <v>414</v>
      </c>
      <c r="D11" s="2">
        <v>0.41193181818181818</v>
      </c>
      <c r="E11" s="2">
        <v>0.99999883845122339</v>
      </c>
      <c r="F11" s="2">
        <v>1.6831167214701571E-6</v>
      </c>
      <c r="G11" s="2">
        <v>3.366233442940315E-6</v>
      </c>
      <c r="H11" s="2">
        <v>0.99999851891653035</v>
      </c>
      <c r="I11" s="2">
        <v>1.4810834696294611E-6</v>
      </c>
      <c r="J11" s="2">
        <v>2.9621669392909671E-6</v>
      </c>
      <c r="K11" s="2" t="s">
        <v>2</v>
      </c>
    </row>
    <row r="12" spans="1:11" x14ac:dyDescent="0.35">
      <c r="A12" s="2" t="s">
        <v>22</v>
      </c>
      <c r="B12" s="2">
        <v>398</v>
      </c>
      <c r="C12" s="2">
        <v>306</v>
      </c>
      <c r="D12" s="2">
        <v>0.56534090909090906</v>
      </c>
      <c r="E12" s="2">
        <v>2.9727623726529142E-4</v>
      </c>
      <c r="F12" s="2">
        <v>0.99977576233067644</v>
      </c>
      <c r="G12" s="2">
        <v>5.9455247453058272E-4</v>
      </c>
      <c r="H12" s="2">
        <v>2.6277871913638062E-4</v>
      </c>
      <c r="I12" s="2">
        <v>0.99973722128086362</v>
      </c>
      <c r="J12" s="2">
        <v>5.2555743827276125E-4</v>
      </c>
      <c r="K12" s="2" t="s">
        <v>1</v>
      </c>
    </row>
    <row r="13" spans="1:11" x14ac:dyDescent="0.35">
      <c r="A13" s="2" t="s">
        <v>23</v>
      </c>
      <c r="B13" s="2">
        <v>363</v>
      </c>
      <c r="C13" s="2">
        <v>341</v>
      </c>
      <c r="D13" s="2">
        <v>0.515625</v>
      </c>
      <c r="E13" s="2">
        <v>0.21434594520575251</v>
      </c>
      <c r="F13" s="2">
        <v>0.80697951600757256</v>
      </c>
      <c r="G13" s="2">
        <v>0.42869189041150513</v>
      </c>
      <c r="H13" s="2">
        <v>0.20350801363568721</v>
      </c>
      <c r="I13" s="2">
        <v>0.79649198636431284</v>
      </c>
      <c r="J13" s="2">
        <v>0.40701602727137431</v>
      </c>
      <c r="K13" s="2" t="s">
        <v>12</v>
      </c>
    </row>
    <row r="14" spans="1:11" x14ac:dyDescent="0.35">
      <c r="A14" s="2" t="s">
        <v>24</v>
      </c>
      <c r="B14" s="2">
        <v>365</v>
      </c>
      <c r="C14" s="2">
        <v>339</v>
      </c>
      <c r="D14" s="2">
        <v>0.51846590909090906</v>
      </c>
      <c r="E14" s="2">
        <v>0.17304251071291021</v>
      </c>
      <c r="F14" s="2">
        <v>0.84556710823239156</v>
      </c>
      <c r="G14" s="2">
        <v>0.34608502142582048</v>
      </c>
      <c r="H14" s="2">
        <v>0.16356481161757741</v>
      </c>
      <c r="I14" s="2">
        <v>0.83643518838242259</v>
      </c>
      <c r="J14" s="2">
        <v>0.32712962323515482</v>
      </c>
      <c r="K14" s="2" t="s">
        <v>12</v>
      </c>
    </row>
    <row r="15" spans="1:11" x14ac:dyDescent="0.35">
      <c r="A15" s="2" t="s">
        <v>25</v>
      </c>
      <c r="B15" s="2">
        <v>277</v>
      </c>
      <c r="C15" s="2">
        <v>427</v>
      </c>
      <c r="D15" s="2">
        <v>0.39346590909090912</v>
      </c>
      <c r="E15" s="2">
        <v>0.99999999443458498</v>
      </c>
      <c r="F15" s="2">
        <v>8.6880052469512098E-9</v>
      </c>
      <c r="G15" s="2">
        <v>1.737601049390242E-8</v>
      </c>
      <c r="H15" s="2">
        <v>0.99999999213191548</v>
      </c>
      <c r="I15" s="2">
        <v>7.8680844944330399E-9</v>
      </c>
      <c r="J15" s="2">
        <v>1.5736169034497038E-8</v>
      </c>
      <c r="K15" s="2" t="s">
        <v>2</v>
      </c>
    </row>
    <row r="16" spans="1:11" x14ac:dyDescent="0.35">
      <c r="A16" s="2" t="s">
        <v>26</v>
      </c>
      <c r="B16" s="2">
        <v>419</v>
      </c>
      <c r="C16" s="2">
        <v>285</v>
      </c>
      <c r="D16" s="2">
        <v>0.59517045454545459</v>
      </c>
      <c r="E16" s="2">
        <v>2.4893806564397472E-7</v>
      </c>
      <c r="F16" s="2">
        <v>0.99999983301767192</v>
      </c>
      <c r="G16" s="2">
        <v>4.9787613128794933E-7</v>
      </c>
      <c r="H16" s="2">
        <v>2.205410271072239E-7</v>
      </c>
      <c r="I16" s="2">
        <v>0.99999977945897289</v>
      </c>
      <c r="J16" s="2">
        <v>4.4108205421444779E-7</v>
      </c>
      <c r="K16" s="2" t="s">
        <v>1</v>
      </c>
    </row>
    <row r="17" spans="1:11" x14ac:dyDescent="0.35">
      <c r="A17" s="2" t="s">
        <v>27</v>
      </c>
      <c r="B17" s="2">
        <v>430</v>
      </c>
      <c r="C17" s="2">
        <v>274</v>
      </c>
      <c r="D17" s="2">
        <v>0.61079545454545459</v>
      </c>
      <c r="E17" s="2">
        <v>2.2443084356065412E-9</v>
      </c>
      <c r="F17" s="2">
        <v>0.99999999858720068</v>
      </c>
      <c r="G17" s="2">
        <v>4.4886168712130824E-9</v>
      </c>
      <c r="H17" s="2">
        <v>2.0578957427019869E-9</v>
      </c>
      <c r="I17" s="2">
        <v>0.99999999794210426</v>
      </c>
      <c r="J17" s="2">
        <v>4.1157914854039754E-9</v>
      </c>
      <c r="K17" s="2" t="s">
        <v>1</v>
      </c>
    </row>
    <row r="18" spans="1:11" x14ac:dyDescent="0.35">
      <c r="A18" s="2" t="s">
        <v>28</v>
      </c>
      <c r="B18" s="2">
        <v>311</v>
      </c>
      <c r="C18" s="2">
        <v>393</v>
      </c>
      <c r="D18" s="2">
        <v>0.44176136363636359</v>
      </c>
      <c r="E18" s="2">
        <v>0.99913027169606761</v>
      </c>
      <c r="F18" s="2">
        <v>1.122218591755879E-3</v>
      </c>
      <c r="G18" s="2">
        <v>2.244437183511758E-3</v>
      </c>
      <c r="H18" s="2">
        <v>0.99900087164584905</v>
      </c>
      <c r="I18" s="2">
        <v>9.9912835415090127E-4</v>
      </c>
      <c r="J18" s="2">
        <v>1.9982567083018932E-3</v>
      </c>
      <c r="K18" s="2" t="s">
        <v>2</v>
      </c>
    </row>
    <row r="19" spans="1:11" x14ac:dyDescent="0.35">
      <c r="A19" s="2" t="s">
        <v>29</v>
      </c>
      <c r="B19" s="2">
        <v>378</v>
      </c>
      <c r="C19" s="2">
        <v>326</v>
      </c>
      <c r="D19" s="2">
        <v>0.53693181818181823</v>
      </c>
      <c r="E19" s="2">
        <v>2.7255805301668649E-2</v>
      </c>
      <c r="F19" s="2">
        <v>0.97715363504431529</v>
      </c>
      <c r="G19" s="2">
        <v>5.4511610603337292E-2</v>
      </c>
      <c r="H19" s="2">
        <v>2.5008197742822699E-2</v>
      </c>
      <c r="I19" s="2">
        <v>0.9749918022571773</v>
      </c>
      <c r="J19" s="2">
        <v>5.0016395485645397E-2</v>
      </c>
      <c r="K19" s="2" t="s">
        <v>1</v>
      </c>
    </row>
    <row r="20" spans="1:11" x14ac:dyDescent="0.35">
      <c r="A20" s="2" t="s">
        <v>30</v>
      </c>
      <c r="B20" s="2">
        <v>421</v>
      </c>
      <c r="C20" s="2">
        <v>283</v>
      </c>
      <c r="D20" s="2">
        <v>0.59801136363636365</v>
      </c>
      <c r="E20" s="2">
        <v>1.113695060809213E-7</v>
      </c>
      <c r="F20" s="2">
        <v>0.99999992614603173</v>
      </c>
      <c r="G20" s="2">
        <v>2.2273901216184249E-7</v>
      </c>
      <c r="H20" s="2">
        <v>9.9071855386156926E-8</v>
      </c>
      <c r="I20" s="2">
        <v>0.99999990092814461</v>
      </c>
      <c r="J20" s="2">
        <v>1.9814371077231391E-7</v>
      </c>
      <c r="K20" s="2" t="s">
        <v>1</v>
      </c>
    </row>
    <row r="21" spans="1:11" x14ac:dyDescent="0.35">
      <c r="A21" s="2" t="s">
        <v>31</v>
      </c>
      <c r="B21" s="2">
        <v>361</v>
      </c>
      <c r="C21" s="2">
        <v>343</v>
      </c>
      <c r="D21" s="2">
        <v>0.51278409090909094</v>
      </c>
      <c r="E21" s="2">
        <v>0.26086961327395092</v>
      </c>
      <c r="F21" s="2">
        <v>0.76301913543624389</v>
      </c>
      <c r="G21" s="2">
        <v>0.52173922654790184</v>
      </c>
      <c r="H21" s="2">
        <v>0.2487588880649938</v>
      </c>
      <c r="I21" s="2">
        <v>0.7512411119350062</v>
      </c>
      <c r="J21" s="2">
        <v>0.4975177761299876</v>
      </c>
      <c r="K21" s="2" t="s">
        <v>12</v>
      </c>
    </row>
    <row r="22" spans="1:11" x14ac:dyDescent="0.35">
      <c r="A22" s="2" t="s">
        <v>32</v>
      </c>
      <c r="B22" s="2">
        <v>429</v>
      </c>
      <c r="C22" s="2">
        <v>275</v>
      </c>
      <c r="D22" s="2">
        <v>0.609375</v>
      </c>
      <c r="E22" s="2">
        <v>3.5444863431141359E-9</v>
      </c>
      <c r="F22" s="2">
        <v>0.99999999775569159</v>
      </c>
      <c r="G22" s="2">
        <v>7.088972686228271E-9</v>
      </c>
      <c r="H22" s="2">
        <v>3.2357602153254561E-9</v>
      </c>
      <c r="I22" s="2">
        <v>0.99999999676423978</v>
      </c>
      <c r="J22" s="2">
        <v>6.4715204306509122E-9</v>
      </c>
      <c r="K22" s="2" t="s">
        <v>1</v>
      </c>
    </row>
    <row r="23" spans="1:11" x14ac:dyDescent="0.35">
      <c r="A23" s="2" t="s">
        <v>33</v>
      </c>
      <c r="B23" s="2">
        <v>357</v>
      </c>
      <c r="C23" s="2">
        <v>347</v>
      </c>
      <c r="D23" s="2">
        <v>0.50710227272727271</v>
      </c>
      <c r="E23" s="2">
        <v>0.36724284954996672</v>
      </c>
      <c r="F23" s="2">
        <v>0.66075969318714201</v>
      </c>
      <c r="G23" s="2">
        <v>0.73448569909993344</v>
      </c>
      <c r="H23" s="2">
        <v>0.35312798105242671</v>
      </c>
      <c r="I23" s="2">
        <v>0.64687201894757329</v>
      </c>
      <c r="J23" s="2">
        <v>0.70625596210485342</v>
      </c>
      <c r="K23" s="2" t="s">
        <v>12</v>
      </c>
    </row>
    <row r="24" spans="1:11" x14ac:dyDescent="0.35">
      <c r="A24" s="2" t="s">
        <v>34</v>
      </c>
      <c r="B24" s="2">
        <v>335</v>
      </c>
      <c r="C24" s="2">
        <v>369</v>
      </c>
      <c r="D24" s="2">
        <v>0.47585227272727271</v>
      </c>
      <c r="E24" s="2">
        <v>0.90645347017408007</v>
      </c>
      <c r="F24" s="2">
        <v>0.1067839002741523</v>
      </c>
      <c r="G24" s="2">
        <v>0.21356780054830449</v>
      </c>
      <c r="H24" s="2">
        <v>0.89997747274533557</v>
      </c>
      <c r="I24" s="2">
        <v>0.1000225272546645</v>
      </c>
      <c r="J24" s="2">
        <v>0.20004505450932891</v>
      </c>
      <c r="K24" s="2" t="s">
        <v>12</v>
      </c>
    </row>
    <row r="25" spans="1:11" x14ac:dyDescent="0.35">
      <c r="A25" s="2" t="s">
        <v>35</v>
      </c>
      <c r="B25" s="2">
        <v>464</v>
      </c>
      <c r="C25" s="2">
        <v>240</v>
      </c>
      <c r="D25" s="2">
        <v>0.65909090909090906</v>
      </c>
      <c r="E25" s="2">
        <v>1.1598697554267099E-17</v>
      </c>
      <c r="F25" s="2">
        <v>1</v>
      </c>
      <c r="G25" s="2">
        <v>2.3197395108534199E-17</v>
      </c>
      <c r="H25" s="2">
        <v>0</v>
      </c>
      <c r="I25" s="2">
        <v>1</v>
      </c>
      <c r="J25" s="2">
        <v>0</v>
      </c>
      <c r="K25" s="2" t="s">
        <v>1</v>
      </c>
    </row>
    <row r="26" spans="1:11" x14ac:dyDescent="0.35">
      <c r="A26" s="2" t="s">
        <v>36</v>
      </c>
      <c r="B26" s="2">
        <v>270</v>
      </c>
      <c r="C26" s="2">
        <v>434</v>
      </c>
      <c r="D26" s="2">
        <v>0.38352272727272729</v>
      </c>
      <c r="E26" s="2">
        <v>0.99999999979075116</v>
      </c>
      <c r="F26" s="2">
        <v>3.402815753304427E-10</v>
      </c>
      <c r="G26" s="2">
        <v>6.8056315066088541E-10</v>
      </c>
      <c r="H26" s="2">
        <v>0.99999999968148079</v>
      </c>
      <c r="I26" s="2">
        <v>3.1851926549481152E-10</v>
      </c>
      <c r="J26" s="2">
        <v>6.3703842201334737E-10</v>
      </c>
      <c r="K26" s="2" t="s">
        <v>2</v>
      </c>
    </row>
    <row r="27" spans="1:11" x14ac:dyDescent="0.35">
      <c r="A27" s="2" t="s">
        <v>37</v>
      </c>
      <c r="B27" s="2">
        <v>236</v>
      </c>
      <c r="C27" s="2">
        <v>468</v>
      </c>
      <c r="D27" s="2">
        <v>0.33522727272727271</v>
      </c>
      <c r="E27" s="2">
        <v>1</v>
      </c>
      <c r="F27" s="2">
        <v>7.7224614927399764E-19</v>
      </c>
      <c r="G27" s="2">
        <v>1.5444922985479951E-18</v>
      </c>
      <c r="H27" s="2">
        <v>1</v>
      </c>
      <c r="I27" s="2">
        <v>1.126702200502399E-18</v>
      </c>
      <c r="J27" s="2">
        <v>0</v>
      </c>
      <c r="K27" s="2" t="s">
        <v>2</v>
      </c>
    </row>
    <row r="28" spans="1:11" x14ac:dyDescent="0.35">
      <c r="A28" s="2" t="s">
        <v>38</v>
      </c>
      <c r="B28" s="2">
        <v>227</v>
      </c>
      <c r="C28" s="2">
        <v>477</v>
      </c>
      <c r="D28" s="2">
        <v>0.32244318181818182</v>
      </c>
      <c r="E28" s="2">
        <v>1</v>
      </c>
      <c r="F28" s="2">
        <v>1.2013044069375279E-21</v>
      </c>
      <c r="G28" s="2">
        <v>2.4026088138750559E-21</v>
      </c>
      <c r="H28" s="2">
        <v>1</v>
      </c>
      <c r="I28" s="2">
        <v>2.2080482742620952E-21</v>
      </c>
      <c r="J28" s="2">
        <v>0</v>
      </c>
      <c r="K28" s="2" t="s">
        <v>2</v>
      </c>
    </row>
    <row r="29" spans="1:11" x14ac:dyDescent="0.35">
      <c r="A29" s="2" t="s">
        <v>39</v>
      </c>
      <c r="B29" s="2">
        <v>357</v>
      </c>
      <c r="C29" s="2">
        <v>347</v>
      </c>
      <c r="D29" s="2">
        <v>0.50710227272727271</v>
      </c>
      <c r="E29" s="2">
        <v>0.36724284954996672</v>
      </c>
      <c r="F29" s="2">
        <v>0.66075969318714201</v>
      </c>
      <c r="G29" s="2">
        <v>0.73448569909993344</v>
      </c>
      <c r="H29" s="2">
        <v>0.35312798105242671</v>
      </c>
      <c r="I29" s="2">
        <v>0.64687201894757329</v>
      </c>
      <c r="J29" s="2">
        <v>0.70625596210485342</v>
      </c>
      <c r="K29" s="2" t="s">
        <v>12</v>
      </c>
    </row>
    <row r="30" spans="1:11" x14ac:dyDescent="0.35">
      <c r="A30" s="2" t="s">
        <v>40</v>
      </c>
      <c r="B30" s="2">
        <v>301</v>
      </c>
      <c r="C30" s="2">
        <v>403</v>
      </c>
      <c r="D30" s="2">
        <v>0.42755681818181818</v>
      </c>
      <c r="E30" s="2">
        <v>0.99994956179441508</v>
      </c>
      <c r="F30" s="2">
        <v>6.8727136166595653E-5</v>
      </c>
      <c r="G30" s="2">
        <v>1.3745427233319131E-4</v>
      </c>
      <c r="H30" s="2">
        <v>0.99993954399936102</v>
      </c>
      <c r="I30" s="2">
        <v>6.0456000639001708E-5</v>
      </c>
      <c r="J30" s="2">
        <v>1.2091200127795081E-4</v>
      </c>
      <c r="K30" s="2" t="s">
        <v>2</v>
      </c>
    </row>
    <row r="31" spans="1:11" x14ac:dyDescent="0.35">
      <c r="A31" s="2" t="s">
        <v>41</v>
      </c>
      <c r="B31" s="2">
        <v>292</v>
      </c>
      <c r="C31" s="2">
        <v>412</v>
      </c>
      <c r="D31" s="2">
        <v>0.41477272727272729</v>
      </c>
      <c r="E31" s="2">
        <v>0.99999757485877971</v>
      </c>
      <c r="F31" s="2">
        <v>3.4746484737434672E-6</v>
      </c>
      <c r="G31" s="2">
        <v>6.9492969474869344E-6</v>
      </c>
      <c r="H31" s="2">
        <v>0.99999694678212048</v>
      </c>
      <c r="I31" s="2">
        <v>3.0532178795044568E-6</v>
      </c>
      <c r="J31" s="2">
        <v>6.1064357590456808E-6</v>
      </c>
      <c r="K31" s="2" t="s">
        <v>2</v>
      </c>
    </row>
    <row r="32" spans="1:11" x14ac:dyDescent="0.35">
      <c r="A32" s="2" t="s">
        <v>42</v>
      </c>
      <c r="B32" s="2">
        <v>318</v>
      </c>
      <c r="C32" s="2">
        <v>386</v>
      </c>
      <c r="D32" s="2">
        <v>0.45170454545454553</v>
      </c>
      <c r="E32" s="2">
        <v>0.99537016444620019</v>
      </c>
      <c r="F32" s="2">
        <v>5.7558510126729696E-3</v>
      </c>
      <c r="G32" s="2">
        <v>1.1511702025345939E-2</v>
      </c>
      <c r="H32" s="2">
        <v>0.99480910210514906</v>
      </c>
      <c r="I32" s="2">
        <v>5.1908978948508964E-3</v>
      </c>
      <c r="J32" s="2">
        <v>1.038179578970189E-2</v>
      </c>
      <c r="K32" s="2" t="s">
        <v>2</v>
      </c>
    </row>
    <row r="33" spans="1:11" x14ac:dyDescent="0.35">
      <c r="A33" s="2" t="s">
        <v>43</v>
      </c>
      <c r="B33" s="2">
        <v>270</v>
      </c>
      <c r="C33" s="2">
        <v>434</v>
      </c>
      <c r="D33" s="2">
        <v>0.38352272727272729</v>
      </c>
      <c r="E33" s="2">
        <v>0.99999999979075116</v>
      </c>
      <c r="F33" s="2">
        <v>3.402815753304427E-10</v>
      </c>
      <c r="G33" s="2">
        <v>6.8056315066088541E-10</v>
      </c>
      <c r="H33" s="2">
        <v>0.99999999968148079</v>
      </c>
      <c r="I33" s="2">
        <v>3.1851926549481152E-10</v>
      </c>
      <c r="J33" s="2">
        <v>6.3703842201334737E-10</v>
      </c>
      <c r="K33" s="2" t="s">
        <v>2</v>
      </c>
    </row>
    <row r="34" spans="1:11" x14ac:dyDescent="0.35">
      <c r="A34" s="2" t="s">
        <v>44</v>
      </c>
      <c r="B34" s="2">
        <v>337</v>
      </c>
      <c r="C34" s="2">
        <v>367</v>
      </c>
      <c r="D34" s="2">
        <v>0.47869318181818182</v>
      </c>
      <c r="E34" s="2">
        <v>0.87867863039430649</v>
      </c>
      <c r="F34" s="2">
        <v>0.1371961135641718</v>
      </c>
      <c r="G34" s="2">
        <v>0.27439222712834371</v>
      </c>
      <c r="H34" s="2">
        <v>0.8709024762080273</v>
      </c>
      <c r="I34" s="2">
        <v>0.12909752379197259</v>
      </c>
      <c r="J34" s="2">
        <v>0.2581950475839454</v>
      </c>
      <c r="K34" s="2" t="s">
        <v>12</v>
      </c>
    </row>
    <row r="35" spans="1:11" x14ac:dyDescent="0.35">
      <c r="A35" s="2" t="s">
        <v>45</v>
      </c>
      <c r="B35" s="2">
        <v>401</v>
      </c>
      <c r="C35" s="2">
        <v>303</v>
      </c>
      <c r="D35" s="2">
        <v>0.56960227272727271</v>
      </c>
      <c r="E35" s="2">
        <v>1.2551204111500489E-4</v>
      </c>
      <c r="F35" s="2">
        <v>0.99990686743660029</v>
      </c>
      <c r="G35" s="2">
        <v>2.5102408223000972E-4</v>
      </c>
      <c r="H35" s="2">
        <v>1.105881762928362E-4</v>
      </c>
      <c r="I35" s="2">
        <v>0.99988941182370716</v>
      </c>
      <c r="J35" s="2">
        <v>2.211763525856725E-4</v>
      </c>
      <c r="K35" s="2" t="s">
        <v>1</v>
      </c>
    </row>
    <row r="36" spans="1:11" x14ac:dyDescent="0.35">
      <c r="A36" s="2" t="s">
        <v>46</v>
      </c>
      <c r="B36" s="2">
        <v>383</v>
      </c>
      <c r="C36" s="2">
        <v>321</v>
      </c>
      <c r="D36" s="2">
        <v>0.54403409090909094</v>
      </c>
      <c r="E36" s="2">
        <v>1.07186411397128E-2</v>
      </c>
      <c r="F36" s="2">
        <v>0.99124236032330704</v>
      </c>
      <c r="G36" s="2">
        <v>2.143728227942561E-2</v>
      </c>
      <c r="H36" s="2">
        <v>9.727058132618871E-3</v>
      </c>
      <c r="I36" s="2">
        <v>0.99027294186738113</v>
      </c>
      <c r="J36" s="2">
        <v>1.9454116265237738E-2</v>
      </c>
      <c r="K36" s="2" t="s">
        <v>1</v>
      </c>
    </row>
    <row r="37" spans="1:11" x14ac:dyDescent="0.35">
      <c r="A37" s="2" t="s">
        <v>47</v>
      </c>
      <c r="B37" s="2">
        <v>404</v>
      </c>
      <c r="C37" s="2">
        <v>300</v>
      </c>
      <c r="D37" s="2">
        <v>0.57386363636363635</v>
      </c>
      <c r="E37" s="2">
        <v>5.0438205584933382E-5</v>
      </c>
      <c r="F37" s="2">
        <v>0.99996318795309103</v>
      </c>
      <c r="G37" s="2">
        <v>1.008764111698668E-4</v>
      </c>
      <c r="H37" s="2">
        <v>4.4339291497941247E-5</v>
      </c>
      <c r="I37" s="2">
        <v>0.99995566070850206</v>
      </c>
      <c r="J37" s="2">
        <v>8.8678582995882493E-5</v>
      </c>
      <c r="K37" s="2" t="s">
        <v>1</v>
      </c>
    </row>
    <row r="38" spans="1:11" x14ac:dyDescent="0.35">
      <c r="A38" s="2" t="s">
        <v>48</v>
      </c>
      <c r="B38" s="2">
        <v>301</v>
      </c>
      <c r="C38" s="2">
        <v>403</v>
      </c>
      <c r="D38" s="2">
        <v>0.42755681818181818</v>
      </c>
      <c r="E38" s="2">
        <v>0.99994956179441508</v>
      </c>
      <c r="F38" s="2">
        <v>6.8727136166595653E-5</v>
      </c>
      <c r="G38" s="2">
        <v>1.3745427233319131E-4</v>
      </c>
      <c r="H38" s="2">
        <v>0.99993954399936102</v>
      </c>
      <c r="I38" s="2">
        <v>6.0456000639001708E-5</v>
      </c>
      <c r="J38" s="2">
        <v>1.2091200127795081E-4</v>
      </c>
      <c r="K38" s="2" t="s">
        <v>2</v>
      </c>
    </row>
    <row r="39" spans="1:11" x14ac:dyDescent="0.35">
      <c r="A39" s="2" t="s">
        <v>49</v>
      </c>
      <c r="B39" s="2">
        <v>318</v>
      </c>
      <c r="C39" s="2">
        <v>386</v>
      </c>
      <c r="D39" s="2">
        <v>0.45170454545454553</v>
      </c>
      <c r="E39" s="2">
        <v>0.99537016444620019</v>
      </c>
      <c r="F39" s="2">
        <v>5.7558510126729696E-3</v>
      </c>
      <c r="G39" s="2">
        <v>1.1511702025345939E-2</v>
      </c>
      <c r="H39" s="2">
        <v>0.99480910210514906</v>
      </c>
      <c r="I39" s="2">
        <v>5.1908978948508964E-3</v>
      </c>
      <c r="J39" s="2">
        <v>1.038179578970189E-2</v>
      </c>
      <c r="K39" s="2" t="s">
        <v>2</v>
      </c>
    </row>
    <row r="40" spans="1:11" x14ac:dyDescent="0.35">
      <c r="A40" s="2" t="s">
        <v>50</v>
      </c>
      <c r="B40" s="2">
        <v>368</v>
      </c>
      <c r="C40" s="2">
        <v>336</v>
      </c>
      <c r="D40" s="2">
        <v>0.52272727272727271</v>
      </c>
      <c r="E40" s="2">
        <v>0.12132136960569349</v>
      </c>
      <c r="F40" s="2">
        <v>0.8932160997258477</v>
      </c>
      <c r="G40" s="2">
        <v>0.24264273921138699</v>
      </c>
      <c r="H40" s="2">
        <v>0.11389999699411479</v>
      </c>
      <c r="I40" s="2">
        <v>0.88610000300588521</v>
      </c>
      <c r="J40" s="2">
        <v>0.22779999398822959</v>
      </c>
      <c r="K40" s="2" t="s">
        <v>12</v>
      </c>
    </row>
    <row r="41" spans="1:11" x14ac:dyDescent="0.35">
      <c r="A41" s="2" t="s">
        <v>51</v>
      </c>
      <c r="B41" s="2">
        <v>402</v>
      </c>
      <c r="C41" s="2">
        <v>302</v>
      </c>
      <c r="D41" s="2">
        <v>0.57102272727272729</v>
      </c>
      <c r="E41" s="2">
        <v>9.3132563399741616E-5</v>
      </c>
      <c r="F41" s="2">
        <v>0.99993127286383343</v>
      </c>
      <c r="G41" s="2">
        <v>1.8626512679948321E-4</v>
      </c>
      <c r="H41" s="2">
        <v>8.1986969491132378E-5</v>
      </c>
      <c r="I41" s="2">
        <v>0.99991801303050887</v>
      </c>
      <c r="J41" s="2">
        <v>1.6397393898226481E-4</v>
      </c>
      <c r="K41" s="2" t="s">
        <v>1</v>
      </c>
    </row>
    <row r="42" spans="1:11" x14ac:dyDescent="0.35">
      <c r="A42" s="2" t="s">
        <v>52</v>
      </c>
      <c r="B42" s="2">
        <v>242</v>
      </c>
      <c r="C42" s="2">
        <v>462</v>
      </c>
      <c r="D42" s="2">
        <v>0.34375</v>
      </c>
      <c r="E42" s="2">
        <v>1</v>
      </c>
      <c r="F42" s="2">
        <v>4.3296064439747961E-17</v>
      </c>
      <c r="G42" s="2">
        <v>8.6592128879495922E-17</v>
      </c>
      <c r="H42" s="2">
        <v>0.99999999999999989</v>
      </c>
      <c r="I42" s="2">
        <v>5.5885434417002927E-17</v>
      </c>
      <c r="J42" s="2">
        <v>2.2204460492503131E-16</v>
      </c>
      <c r="K42" s="2" t="s">
        <v>2</v>
      </c>
    </row>
    <row r="43" spans="1:11" x14ac:dyDescent="0.35">
      <c r="A43" s="2" t="s">
        <v>53</v>
      </c>
      <c r="B43" s="2">
        <v>316</v>
      </c>
      <c r="C43" s="2">
        <v>388</v>
      </c>
      <c r="D43" s="2">
        <v>0.44886363636363641</v>
      </c>
      <c r="E43" s="2">
        <v>0.99705135870899886</v>
      </c>
      <c r="F43" s="2">
        <v>3.7045825410822238E-3</v>
      </c>
      <c r="G43" s="2">
        <v>7.4091650821644477E-3</v>
      </c>
      <c r="H43" s="2">
        <v>0.99667219725852529</v>
      </c>
      <c r="I43" s="2">
        <v>3.3278027414746841E-3</v>
      </c>
      <c r="J43" s="2">
        <v>6.6556054829494116E-3</v>
      </c>
      <c r="K43" s="2" t="s">
        <v>2</v>
      </c>
    </row>
    <row r="44" spans="1:11" x14ac:dyDescent="0.35">
      <c r="A44" s="2" t="s">
        <v>54</v>
      </c>
      <c r="B44" s="2">
        <v>276</v>
      </c>
      <c r="C44" s="2">
        <v>428</v>
      </c>
      <c r="D44" s="2">
        <v>0.39204545454545447</v>
      </c>
      <c r="E44" s="2">
        <v>0.99999999645551363</v>
      </c>
      <c r="F44" s="2">
        <v>5.5654150471749074E-9</v>
      </c>
      <c r="G44" s="2">
        <v>1.113083009434981E-8</v>
      </c>
      <c r="H44" s="2">
        <v>0.99999999494030434</v>
      </c>
      <c r="I44" s="2">
        <v>5.0596957075444564E-9</v>
      </c>
      <c r="J44" s="2">
        <v>1.011939132489204E-8</v>
      </c>
      <c r="K44" s="2" t="s">
        <v>2</v>
      </c>
    </row>
    <row r="45" spans="1:11" x14ac:dyDescent="0.35">
      <c r="A45" s="2" t="s">
        <v>55</v>
      </c>
      <c r="B45" s="2">
        <v>368</v>
      </c>
      <c r="C45" s="2">
        <v>336</v>
      </c>
      <c r="D45" s="2">
        <v>0.52272727272727271</v>
      </c>
      <c r="E45" s="2">
        <v>0.12132136960569349</v>
      </c>
      <c r="F45" s="2">
        <v>0.8932160997258477</v>
      </c>
      <c r="G45" s="2">
        <v>0.24264273921138699</v>
      </c>
      <c r="H45" s="2">
        <v>0.11389999699411479</v>
      </c>
      <c r="I45" s="2">
        <v>0.88610000300588521</v>
      </c>
      <c r="J45" s="2">
        <v>0.22779999398822959</v>
      </c>
      <c r="K45" s="2" t="s">
        <v>12</v>
      </c>
    </row>
    <row r="46" spans="1:11" x14ac:dyDescent="0.35">
      <c r="A46" s="2" t="s">
        <v>56</v>
      </c>
      <c r="B46" s="2">
        <v>386</v>
      </c>
      <c r="C46" s="2">
        <v>318</v>
      </c>
      <c r="D46" s="2">
        <v>0.54829545454545459</v>
      </c>
      <c r="E46" s="2">
        <v>5.7558510126729696E-3</v>
      </c>
      <c r="F46" s="2">
        <v>0.99537016444620019</v>
      </c>
      <c r="G46" s="2">
        <v>1.1511702025345939E-2</v>
      </c>
      <c r="H46" s="2">
        <v>5.1908978948508322E-3</v>
      </c>
      <c r="I46" s="2">
        <v>0.99480910210514917</v>
      </c>
      <c r="J46" s="2">
        <v>1.0381795789701659E-2</v>
      </c>
      <c r="K46" s="2" t="s">
        <v>1</v>
      </c>
    </row>
    <row r="47" spans="1:11" x14ac:dyDescent="0.35">
      <c r="A47" s="2" t="s">
        <v>57</v>
      </c>
      <c r="B47" s="2">
        <v>224</v>
      </c>
      <c r="C47" s="2">
        <v>480</v>
      </c>
      <c r="D47" s="2">
        <v>0.31818181818181818</v>
      </c>
      <c r="E47" s="2">
        <v>1</v>
      </c>
      <c r="F47" s="2">
        <v>1.240409552897812E-22</v>
      </c>
      <c r="G47" s="2">
        <v>2.4808191057956239E-22</v>
      </c>
      <c r="H47" s="2">
        <v>1</v>
      </c>
      <c r="I47" s="2">
        <v>2.4973315511776192E-22</v>
      </c>
      <c r="J47" s="2">
        <v>0</v>
      </c>
      <c r="K47" s="2" t="s">
        <v>2</v>
      </c>
    </row>
    <row r="48" spans="1:11" x14ac:dyDescent="0.35">
      <c r="A48" s="2" t="s">
        <v>58</v>
      </c>
      <c r="B48" s="2">
        <v>255</v>
      </c>
      <c r="C48" s="2">
        <v>449</v>
      </c>
      <c r="D48" s="2">
        <v>0.36221590909090912</v>
      </c>
      <c r="E48" s="2">
        <v>0.99999999999993028</v>
      </c>
      <c r="F48" s="2">
        <v>1.240624711943028E-13</v>
      </c>
      <c r="G48" s="2">
        <v>2.4812494238860569E-13</v>
      </c>
      <c r="H48" s="2">
        <v>0.99999999999986811</v>
      </c>
      <c r="I48" s="2">
        <v>1.319407581265117E-13</v>
      </c>
      <c r="J48" s="2">
        <v>2.6378899065093719E-13</v>
      </c>
      <c r="K48" s="2" t="s">
        <v>2</v>
      </c>
    </row>
    <row r="49" spans="1:11" x14ac:dyDescent="0.35">
      <c r="A49" s="2" t="s">
        <v>59</v>
      </c>
      <c r="B49" s="2">
        <v>255</v>
      </c>
      <c r="C49" s="2">
        <v>449</v>
      </c>
      <c r="D49" s="2">
        <v>0.36221590909090912</v>
      </c>
      <c r="E49" s="2">
        <v>0.99999999999993028</v>
      </c>
      <c r="F49" s="2">
        <v>1.240624711943028E-13</v>
      </c>
      <c r="G49" s="2">
        <v>2.4812494238860569E-13</v>
      </c>
      <c r="H49" s="2">
        <v>0.99999999999986811</v>
      </c>
      <c r="I49" s="2">
        <v>1.319407581265117E-13</v>
      </c>
      <c r="J49" s="2">
        <v>2.6378899065093719E-13</v>
      </c>
      <c r="K49" s="2" t="s">
        <v>2</v>
      </c>
    </row>
    <row r="50" spans="1:11" x14ac:dyDescent="0.35">
      <c r="A50" s="2" t="s">
        <v>60</v>
      </c>
      <c r="B50" s="2">
        <v>391</v>
      </c>
      <c r="C50" s="2">
        <v>313</v>
      </c>
      <c r="D50" s="2">
        <v>0.55539772727272729</v>
      </c>
      <c r="E50" s="2">
        <v>1.838572134761929E-3</v>
      </c>
      <c r="F50" s="2">
        <v>0.99855974075723575</v>
      </c>
      <c r="G50" s="2">
        <v>3.6771442695238579E-3</v>
      </c>
      <c r="H50" s="2">
        <v>1.642462080811868E-3</v>
      </c>
      <c r="I50" s="2">
        <v>0.99835753791918813</v>
      </c>
      <c r="J50" s="2">
        <v>3.2849241616237368E-3</v>
      </c>
      <c r="K50" s="2" t="s">
        <v>1</v>
      </c>
    </row>
    <row r="51" spans="1:11" x14ac:dyDescent="0.35">
      <c r="A51" s="2" t="s">
        <v>61</v>
      </c>
      <c r="B51" s="2">
        <v>196</v>
      </c>
      <c r="C51" s="2">
        <v>508</v>
      </c>
      <c r="D51" s="2">
        <v>0.27840909090909088</v>
      </c>
      <c r="E51" s="2">
        <v>1</v>
      </c>
      <c r="F51" s="2">
        <v>1.6755297730258412E-33</v>
      </c>
      <c r="G51" s="2">
        <v>3.3510595460516823E-33</v>
      </c>
      <c r="H51" s="2">
        <v>1</v>
      </c>
      <c r="I51" s="2">
        <v>3.17624928716035E-32</v>
      </c>
      <c r="J51" s="2">
        <v>0</v>
      </c>
      <c r="K51" s="2" t="s">
        <v>2</v>
      </c>
    </row>
    <row r="52" spans="1:11" x14ac:dyDescent="0.35">
      <c r="A52" s="2" t="s">
        <v>62</v>
      </c>
      <c r="B52" s="2">
        <v>224</v>
      </c>
      <c r="C52" s="2">
        <v>480</v>
      </c>
      <c r="D52" s="2">
        <v>0.31818181818181818</v>
      </c>
      <c r="E52" s="2">
        <v>1</v>
      </c>
      <c r="F52" s="2">
        <v>1.240409552897812E-22</v>
      </c>
      <c r="G52" s="2">
        <v>2.4808191057956239E-22</v>
      </c>
      <c r="H52" s="2">
        <v>1</v>
      </c>
      <c r="I52" s="2">
        <v>2.4973315511776192E-22</v>
      </c>
      <c r="J52" s="2">
        <v>0</v>
      </c>
      <c r="K52" s="2" t="s">
        <v>2</v>
      </c>
    </row>
    <row r="53" spans="1:11" x14ac:dyDescent="0.35">
      <c r="A53" s="2" t="s">
        <v>63</v>
      </c>
      <c r="B53" s="2">
        <v>321</v>
      </c>
      <c r="C53" s="2">
        <v>383</v>
      </c>
      <c r="D53" s="2">
        <v>0.45596590909090912</v>
      </c>
      <c r="E53" s="2">
        <v>0.99124236032330704</v>
      </c>
      <c r="F53" s="2">
        <v>1.07186411397128E-2</v>
      </c>
      <c r="G53" s="2">
        <v>2.143728227942561E-2</v>
      </c>
      <c r="H53" s="2">
        <v>0.99027294186738102</v>
      </c>
      <c r="I53" s="2">
        <v>9.7270581326189907E-3</v>
      </c>
      <c r="J53" s="2">
        <v>1.9454116265237961E-2</v>
      </c>
      <c r="K53" s="2" t="s">
        <v>2</v>
      </c>
    </row>
    <row r="54" spans="1:11" x14ac:dyDescent="0.35">
      <c r="A54" s="2" t="s">
        <v>64</v>
      </c>
      <c r="B54" s="2">
        <v>151</v>
      </c>
      <c r="C54" s="2">
        <v>553</v>
      </c>
      <c r="D54" s="2">
        <v>0.21448863636363641</v>
      </c>
      <c r="E54" s="2">
        <v>1</v>
      </c>
      <c r="F54" s="2">
        <v>5.1856979116479421E-55</v>
      </c>
      <c r="G54" s="2">
        <v>1.037139582329588E-54</v>
      </c>
      <c r="H54" s="2">
        <v>1</v>
      </c>
      <c r="I54" s="2">
        <v>3.7342438086888599E-52</v>
      </c>
      <c r="J54" s="2">
        <v>0</v>
      </c>
      <c r="K54" s="2" t="s">
        <v>2</v>
      </c>
    </row>
    <row r="55" spans="1:11" x14ac:dyDescent="0.35">
      <c r="A55" s="2" t="s">
        <v>65</v>
      </c>
      <c r="B55" s="2">
        <v>166</v>
      </c>
      <c r="C55" s="2">
        <v>538</v>
      </c>
      <c r="D55" s="2">
        <v>0.23579545454545461</v>
      </c>
      <c r="E55" s="2">
        <v>1</v>
      </c>
      <c r="F55" s="2">
        <v>5.9628957811031605E-47</v>
      </c>
      <c r="G55" s="2">
        <v>1.1925791562206321E-46</v>
      </c>
      <c r="H55" s="2">
        <v>1</v>
      </c>
      <c r="I55" s="2">
        <v>5.857781257806386E-45</v>
      </c>
      <c r="J55" s="2">
        <v>0</v>
      </c>
      <c r="K55" s="2" t="s">
        <v>2</v>
      </c>
    </row>
    <row r="56" spans="1:11" x14ac:dyDescent="0.35">
      <c r="A56" s="2" t="s">
        <v>66</v>
      </c>
      <c r="B56" s="2">
        <v>282</v>
      </c>
      <c r="C56" s="2">
        <v>422</v>
      </c>
      <c r="D56" s="2">
        <v>0.40056818181818182</v>
      </c>
      <c r="E56" s="2">
        <v>0.99999995130455599</v>
      </c>
      <c r="F56" s="2">
        <v>7.3853968232725039E-8</v>
      </c>
      <c r="G56" s="2">
        <v>1.477079364654501E-7</v>
      </c>
      <c r="H56" s="2">
        <v>0.99999993414425803</v>
      </c>
      <c r="I56" s="2">
        <v>6.5855741945611969E-8</v>
      </c>
      <c r="J56" s="2">
        <v>1.3171148394164331E-7</v>
      </c>
      <c r="K56" s="2" t="s">
        <v>2</v>
      </c>
    </row>
    <row r="57" spans="1:11" x14ac:dyDescent="0.35">
      <c r="A57" s="2" t="s">
        <v>67</v>
      </c>
      <c r="B57" s="2">
        <v>221</v>
      </c>
      <c r="C57" s="2">
        <v>483</v>
      </c>
      <c r="D57" s="2">
        <v>0.31392045454545447</v>
      </c>
      <c r="E57" s="2">
        <v>1</v>
      </c>
      <c r="F57" s="2">
        <v>1.208205309470976E-23</v>
      </c>
      <c r="G57" s="2">
        <v>2.4164106189419519E-23</v>
      </c>
      <c r="H57" s="2">
        <v>1</v>
      </c>
      <c r="I57" s="2">
        <v>2.6850976645161533E-23</v>
      </c>
      <c r="J57" s="2">
        <v>0</v>
      </c>
      <c r="K57" s="2" t="s">
        <v>2</v>
      </c>
    </row>
    <row r="58" spans="1:11" x14ac:dyDescent="0.35">
      <c r="A58" s="2" t="s">
        <v>68</v>
      </c>
      <c r="B58" s="2">
        <v>244</v>
      </c>
      <c r="C58" s="2">
        <v>460</v>
      </c>
      <c r="D58" s="2">
        <v>0.34659090909090912</v>
      </c>
      <c r="E58" s="2">
        <v>0.99999999999999989</v>
      </c>
      <c r="F58" s="2">
        <v>1.576497202618777E-16</v>
      </c>
      <c r="G58" s="2">
        <v>3.1529944052375539E-16</v>
      </c>
      <c r="H58" s="2">
        <v>0.99999999999999978</v>
      </c>
      <c r="I58" s="2">
        <v>1.9632706630690171E-16</v>
      </c>
      <c r="J58" s="2">
        <v>4.4408920985006262E-16</v>
      </c>
      <c r="K58" s="2" t="s">
        <v>2</v>
      </c>
    </row>
    <row r="59" spans="1:11" x14ac:dyDescent="0.35">
      <c r="A59" s="2" t="s">
        <v>69</v>
      </c>
      <c r="B59" s="2">
        <v>174</v>
      </c>
      <c r="C59" s="2">
        <v>530</v>
      </c>
      <c r="D59" s="2">
        <v>0.24715909090909091</v>
      </c>
      <c r="E59" s="2">
        <v>1</v>
      </c>
      <c r="F59" s="2">
        <v>5.727499916965907E-43</v>
      </c>
      <c r="G59" s="2">
        <v>1.1454999833931809E-42</v>
      </c>
      <c r="H59" s="2">
        <v>1</v>
      </c>
      <c r="I59" s="2">
        <v>2.3956757544421009E-41</v>
      </c>
      <c r="J59" s="2">
        <v>0</v>
      </c>
      <c r="K59" s="2" t="s">
        <v>2</v>
      </c>
    </row>
    <row r="60" spans="1:11" x14ac:dyDescent="0.35">
      <c r="A60" s="2" t="s">
        <v>70</v>
      </c>
      <c r="B60" s="2">
        <v>341</v>
      </c>
      <c r="C60" s="2">
        <v>363</v>
      </c>
      <c r="D60" s="2">
        <v>0.484375</v>
      </c>
      <c r="E60" s="2">
        <v>0.80697951600757256</v>
      </c>
      <c r="F60" s="2">
        <v>0.21434594520575251</v>
      </c>
      <c r="G60" s="2">
        <v>0.42869189041150513</v>
      </c>
      <c r="H60" s="2">
        <v>0.79649198636431284</v>
      </c>
      <c r="I60" s="2">
        <v>0.20350801363568721</v>
      </c>
      <c r="J60" s="2">
        <v>0.40701602727137431</v>
      </c>
      <c r="K60" s="2" t="s">
        <v>12</v>
      </c>
    </row>
    <row r="61" spans="1:11" x14ac:dyDescent="0.35">
      <c r="A61" s="2" t="s">
        <v>71</v>
      </c>
      <c r="B61" s="2">
        <v>446</v>
      </c>
      <c r="C61" s="2">
        <v>258</v>
      </c>
      <c r="D61" s="2">
        <v>0.63352272727272729</v>
      </c>
      <c r="E61" s="2">
        <v>6.7296703835153783E-13</v>
      </c>
      <c r="F61" s="2">
        <v>0.99999999999961464</v>
      </c>
      <c r="G61" s="2">
        <v>1.3459340767030761E-12</v>
      </c>
      <c r="H61" s="2">
        <v>6.9266814506363517E-13</v>
      </c>
      <c r="I61" s="2">
        <v>0.99999999999930733</v>
      </c>
      <c r="J61" s="2">
        <v>1.3853362901272699E-12</v>
      </c>
      <c r="K61" s="2" t="s">
        <v>1</v>
      </c>
    </row>
    <row r="62" spans="1:11" x14ac:dyDescent="0.35">
      <c r="A62" s="2" t="s">
        <v>72</v>
      </c>
      <c r="B62" s="2">
        <v>232</v>
      </c>
      <c r="C62" s="2">
        <v>472</v>
      </c>
      <c r="D62" s="2">
        <v>0.32954545454545447</v>
      </c>
      <c r="E62" s="2">
        <v>1</v>
      </c>
      <c r="F62" s="2">
        <v>4.6487864535216721E-20</v>
      </c>
      <c r="G62" s="2">
        <v>9.2975729070433442E-20</v>
      </c>
      <c r="H62" s="2">
        <v>1</v>
      </c>
      <c r="I62" s="2">
        <v>7.4599831984933769E-20</v>
      </c>
      <c r="J62" s="2">
        <v>0</v>
      </c>
      <c r="K62" s="2" t="s">
        <v>2</v>
      </c>
    </row>
    <row r="63" spans="1:11" x14ac:dyDescent="0.35">
      <c r="A63" s="2" t="s">
        <v>73</v>
      </c>
      <c r="B63" s="2">
        <v>49</v>
      </c>
      <c r="C63" s="2">
        <v>655</v>
      </c>
      <c r="D63" s="2">
        <v>6.9602272727272721E-2</v>
      </c>
      <c r="E63" s="2">
        <v>1</v>
      </c>
      <c r="F63" s="2">
        <v>9.6669904004877135E-138</v>
      </c>
      <c r="G63" s="2">
        <v>1.9333980800975429E-137</v>
      </c>
      <c r="H63" s="2">
        <v>1</v>
      </c>
      <c r="I63" s="2">
        <v>9.2953176714590746E-116</v>
      </c>
      <c r="J63" s="2">
        <v>0</v>
      </c>
      <c r="K63" s="2"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348</v>
      </c>
      <c r="C2" s="2">
        <v>356</v>
      </c>
      <c r="D2" s="2">
        <v>0.49431818181818182</v>
      </c>
      <c r="E2" s="2">
        <v>0.63275715045003333</v>
      </c>
      <c r="F2" s="2">
        <v>0.39596959597855169</v>
      </c>
      <c r="G2" s="2">
        <v>0.79193919195710338</v>
      </c>
      <c r="H2" s="2">
        <v>0.61848769972350237</v>
      </c>
      <c r="I2" s="2">
        <v>0.38151230027649757</v>
      </c>
      <c r="J2" s="2">
        <v>0.76302460055299526</v>
      </c>
      <c r="K2" s="2" t="s">
        <v>12</v>
      </c>
    </row>
    <row r="3" spans="1:11" x14ac:dyDescent="0.35">
      <c r="A3" s="2" t="s">
        <v>13</v>
      </c>
      <c r="B3" s="2">
        <v>390</v>
      </c>
      <c r="C3" s="2">
        <v>314</v>
      </c>
      <c r="D3" s="2">
        <v>0.55397727272727271</v>
      </c>
      <c r="E3" s="2">
        <v>2.334560481166707E-3</v>
      </c>
      <c r="F3" s="2">
        <v>0.99816142786523809</v>
      </c>
      <c r="G3" s="2">
        <v>4.669120962333414E-3</v>
      </c>
      <c r="H3" s="2">
        <v>2.0892787840832709E-3</v>
      </c>
      <c r="I3" s="2">
        <v>0.99791072121591673</v>
      </c>
      <c r="J3" s="2">
        <v>4.178557568166541E-3</v>
      </c>
      <c r="K3" s="2" t="s">
        <v>1</v>
      </c>
    </row>
    <row r="4" spans="1:11" x14ac:dyDescent="0.35">
      <c r="A4" s="2" t="s">
        <v>14</v>
      </c>
      <c r="B4" s="2">
        <v>328</v>
      </c>
      <c r="C4" s="2">
        <v>376</v>
      </c>
      <c r="D4" s="2">
        <v>0.46590909090909088</v>
      </c>
      <c r="E4" s="2">
        <v>0.9676470434726987</v>
      </c>
      <c r="F4" s="2">
        <v>3.8211572417738697E-2</v>
      </c>
      <c r="G4" s="2">
        <v>7.6423144835477408E-2</v>
      </c>
      <c r="H4" s="2">
        <v>0.96477978536395614</v>
      </c>
      <c r="I4" s="2">
        <v>3.5220214636043863E-2</v>
      </c>
      <c r="J4" s="2">
        <v>7.0440429272087712E-2</v>
      </c>
      <c r="K4" s="2" t="s">
        <v>2</v>
      </c>
    </row>
    <row r="5" spans="1:11" x14ac:dyDescent="0.35">
      <c r="A5" s="2" t="s">
        <v>15</v>
      </c>
      <c r="B5" s="2">
        <v>286</v>
      </c>
      <c r="C5" s="2">
        <v>418</v>
      </c>
      <c r="D5" s="2">
        <v>0.40625</v>
      </c>
      <c r="E5" s="2">
        <v>0.99999975106193439</v>
      </c>
      <c r="F5" s="2">
        <v>3.6900608683083041E-7</v>
      </c>
      <c r="G5" s="2">
        <v>7.3801217366166082E-7</v>
      </c>
      <c r="H5" s="2">
        <v>0.99999967365599507</v>
      </c>
      <c r="I5" s="2">
        <v>3.2634400491955672E-7</v>
      </c>
      <c r="J5" s="2">
        <v>6.5268800986117981E-7</v>
      </c>
      <c r="K5" s="2" t="s">
        <v>2</v>
      </c>
    </row>
    <row r="6" spans="1:11" x14ac:dyDescent="0.35">
      <c r="A6" s="2" t="s">
        <v>16</v>
      </c>
      <c r="B6" s="2">
        <v>259</v>
      </c>
      <c r="C6" s="2">
        <v>445</v>
      </c>
      <c r="D6" s="2">
        <v>0.36789772727272729</v>
      </c>
      <c r="E6" s="2">
        <v>0.99999999999932698</v>
      </c>
      <c r="F6" s="2">
        <v>1.168289654423001E-12</v>
      </c>
      <c r="G6" s="2">
        <v>2.3365793088460009E-12</v>
      </c>
      <c r="H6" s="2">
        <v>0.99999999999880962</v>
      </c>
      <c r="I6" s="2">
        <v>1.1904094046586059E-12</v>
      </c>
      <c r="J6" s="2">
        <v>2.3807622540061861E-12</v>
      </c>
      <c r="K6" s="2" t="s">
        <v>2</v>
      </c>
    </row>
    <row r="7" spans="1:11" x14ac:dyDescent="0.35">
      <c r="A7" s="2" t="s">
        <v>17</v>
      </c>
      <c r="B7" s="2">
        <v>285</v>
      </c>
      <c r="C7" s="2">
        <v>419</v>
      </c>
      <c r="D7" s="2">
        <v>0.40482954545454553</v>
      </c>
      <c r="E7" s="2">
        <v>0.99999983301767192</v>
      </c>
      <c r="F7" s="2">
        <v>2.4893806564397472E-7</v>
      </c>
      <c r="G7" s="2">
        <v>4.9787613128794933E-7</v>
      </c>
      <c r="H7" s="2">
        <v>0.99999977945897289</v>
      </c>
      <c r="I7" s="2">
        <v>2.2054102707509811E-7</v>
      </c>
      <c r="J7" s="2">
        <v>4.4108205421444779E-7</v>
      </c>
      <c r="K7" s="2" t="s">
        <v>2</v>
      </c>
    </row>
    <row r="8" spans="1:11" x14ac:dyDescent="0.35">
      <c r="A8" s="2" t="s">
        <v>18</v>
      </c>
      <c r="B8" s="2">
        <v>468</v>
      </c>
      <c r="C8" s="2">
        <v>236</v>
      </c>
      <c r="D8" s="2">
        <v>0.66477272727272729</v>
      </c>
      <c r="E8" s="2">
        <v>7.7224614927399764E-19</v>
      </c>
      <c r="F8" s="2">
        <v>1</v>
      </c>
      <c r="G8" s="2">
        <v>1.5444922985479951E-18</v>
      </c>
      <c r="H8" s="2">
        <v>0</v>
      </c>
      <c r="I8" s="2">
        <v>1</v>
      </c>
      <c r="J8" s="2">
        <v>0</v>
      </c>
      <c r="K8" s="2" t="s">
        <v>1</v>
      </c>
    </row>
    <row r="9" spans="1:11" x14ac:dyDescent="0.35">
      <c r="A9" s="2" t="s">
        <v>19</v>
      </c>
      <c r="B9" s="2">
        <v>442</v>
      </c>
      <c r="C9" s="2">
        <v>262</v>
      </c>
      <c r="D9" s="2">
        <v>0.62784090909090906</v>
      </c>
      <c r="E9" s="2">
        <v>5.8967090318025666E-12</v>
      </c>
      <c r="F9" s="2">
        <v>0.99999999999654177</v>
      </c>
      <c r="G9" s="2">
        <v>1.179341806360513E-11</v>
      </c>
      <c r="H9" s="2">
        <v>5.8444360462317491E-12</v>
      </c>
      <c r="I9" s="2">
        <v>0.99999999999415556</v>
      </c>
      <c r="J9" s="2">
        <v>1.16888720924635E-11</v>
      </c>
      <c r="K9" s="2" t="s">
        <v>1</v>
      </c>
    </row>
    <row r="10" spans="1:11" x14ac:dyDescent="0.35">
      <c r="A10" s="2" t="s">
        <v>20</v>
      </c>
      <c r="B10" s="2">
        <v>449</v>
      </c>
      <c r="C10" s="2">
        <v>255</v>
      </c>
      <c r="D10" s="2">
        <v>0.63778409090909094</v>
      </c>
      <c r="E10" s="2">
        <v>1.240624711943028E-13</v>
      </c>
      <c r="F10" s="2">
        <v>0.99999999999993028</v>
      </c>
      <c r="G10" s="2">
        <v>2.4812494238860569E-13</v>
      </c>
      <c r="H10" s="2">
        <v>1.318944953254686E-13</v>
      </c>
      <c r="I10" s="2">
        <v>0.99999999999986811</v>
      </c>
      <c r="J10" s="2">
        <v>2.6378899065093719E-13</v>
      </c>
      <c r="K10" s="2" t="s">
        <v>1</v>
      </c>
    </row>
    <row r="11" spans="1:11" x14ac:dyDescent="0.35">
      <c r="A11" s="2" t="s">
        <v>21</v>
      </c>
      <c r="B11" s="2">
        <v>296</v>
      </c>
      <c r="C11" s="2">
        <v>408</v>
      </c>
      <c r="D11" s="2">
        <v>0.42045454545454553</v>
      </c>
      <c r="E11" s="2">
        <v>0.99999011925657677</v>
      </c>
      <c r="F11" s="2">
        <v>1.3842638494642849E-5</v>
      </c>
      <c r="G11" s="2">
        <v>2.7685276989285692E-5</v>
      </c>
      <c r="H11" s="2">
        <v>0.99998784751965264</v>
      </c>
      <c r="I11" s="2">
        <v>1.2152480347389529E-5</v>
      </c>
      <c r="J11" s="2">
        <v>2.430496069472099E-5</v>
      </c>
      <c r="K11" s="2" t="s">
        <v>2</v>
      </c>
    </row>
    <row r="12" spans="1:11" x14ac:dyDescent="0.35">
      <c r="A12" s="2" t="s">
        <v>22</v>
      </c>
      <c r="B12" s="2">
        <v>210</v>
      </c>
      <c r="C12" s="2">
        <v>494</v>
      </c>
      <c r="D12" s="2">
        <v>0.29829545454545447</v>
      </c>
      <c r="E12" s="2">
        <v>1</v>
      </c>
      <c r="F12" s="2">
        <v>1.4242880456734839E-27</v>
      </c>
      <c r="G12" s="2">
        <v>2.848576091346969E-27</v>
      </c>
      <c r="H12" s="2">
        <v>1</v>
      </c>
      <c r="I12" s="2">
        <v>4.8921766065608342E-27</v>
      </c>
      <c r="J12" s="2">
        <v>0</v>
      </c>
      <c r="K12" s="2" t="s">
        <v>2</v>
      </c>
    </row>
    <row r="13" spans="1:11" x14ac:dyDescent="0.35">
      <c r="A13" s="2" t="s">
        <v>23</v>
      </c>
      <c r="B13" s="2">
        <v>183</v>
      </c>
      <c r="C13" s="2">
        <v>521</v>
      </c>
      <c r="D13" s="2">
        <v>0.25994318181818182</v>
      </c>
      <c r="E13" s="2">
        <v>1</v>
      </c>
      <c r="F13" s="2">
        <v>9.692158585558598E-39</v>
      </c>
      <c r="G13" s="2">
        <v>1.9384317171117201E-38</v>
      </c>
      <c r="H13" s="2">
        <v>1</v>
      </c>
      <c r="I13" s="2">
        <v>1.798186331341236E-37</v>
      </c>
      <c r="J13" s="2">
        <v>0</v>
      </c>
      <c r="K13" s="2" t="s">
        <v>2</v>
      </c>
    </row>
    <row r="14" spans="1:11" x14ac:dyDescent="0.35">
      <c r="A14" s="2" t="s">
        <v>24</v>
      </c>
      <c r="B14" s="2">
        <v>187</v>
      </c>
      <c r="C14" s="2">
        <v>517</v>
      </c>
      <c r="D14" s="2">
        <v>0.265625</v>
      </c>
      <c r="E14" s="2">
        <v>1</v>
      </c>
      <c r="F14" s="2">
        <v>6.0586065370963564E-37</v>
      </c>
      <c r="G14" s="2">
        <v>1.2117213074192709E-36</v>
      </c>
      <c r="H14" s="2">
        <v>1</v>
      </c>
      <c r="I14" s="2">
        <v>8.1932282042043511E-36</v>
      </c>
      <c r="J14" s="2">
        <v>0</v>
      </c>
      <c r="K14" s="2" t="s">
        <v>2</v>
      </c>
    </row>
    <row r="15" spans="1:11" x14ac:dyDescent="0.35">
      <c r="A15" s="2" t="s">
        <v>25</v>
      </c>
      <c r="B15" s="2">
        <v>216</v>
      </c>
      <c r="C15" s="2">
        <v>488</v>
      </c>
      <c r="D15" s="2">
        <v>0.30681818181818182</v>
      </c>
      <c r="E15" s="2">
        <v>1</v>
      </c>
      <c r="F15" s="2">
        <v>2.185738596483581E-25</v>
      </c>
      <c r="G15" s="2">
        <v>4.3714771929671629E-25</v>
      </c>
      <c r="H15" s="2">
        <v>1</v>
      </c>
      <c r="I15" s="2">
        <v>5.8329460102882498E-25</v>
      </c>
      <c r="J15" s="2">
        <v>0</v>
      </c>
      <c r="K15" s="2" t="s">
        <v>2</v>
      </c>
    </row>
    <row r="16" spans="1:11" x14ac:dyDescent="0.35">
      <c r="A16" s="2" t="s">
        <v>26</v>
      </c>
      <c r="B16" s="2">
        <v>390</v>
      </c>
      <c r="C16" s="2">
        <v>314</v>
      </c>
      <c r="D16" s="2">
        <v>0.55397727272727271</v>
      </c>
      <c r="E16" s="2">
        <v>2.334560481166707E-3</v>
      </c>
      <c r="F16" s="2">
        <v>0.99816142786523809</v>
      </c>
      <c r="G16" s="2">
        <v>4.669120962333414E-3</v>
      </c>
      <c r="H16" s="2">
        <v>2.0892787840832709E-3</v>
      </c>
      <c r="I16" s="2">
        <v>0.99791072121591673</v>
      </c>
      <c r="J16" s="2">
        <v>4.178557568166541E-3</v>
      </c>
      <c r="K16" s="2" t="s">
        <v>1</v>
      </c>
    </row>
    <row r="17" spans="1:11" x14ac:dyDescent="0.35">
      <c r="A17" s="2" t="s">
        <v>27</v>
      </c>
      <c r="B17" s="2">
        <v>377</v>
      </c>
      <c r="C17" s="2">
        <v>327</v>
      </c>
      <c r="D17" s="2">
        <v>0.53551136363636365</v>
      </c>
      <c r="E17" s="2">
        <v>3.2352956527301337E-2</v>
      </c>
      <c r="F17" s="2">
        <v>0.9727441946983314</v>
      </c>
      <c r="G17" s="2">
        <v>6.4705913054602687E-2</v>
      </c>
      <c r="H17" s="2">
        <v>2.975234282021488E-2</v>
      </c>
      <c r="I17" s="2">
        <v>0.97024765717978512</v>
      </c>
      <c r="J17" s="2">
        <v>5.9504685640429773E-2</v>
      </c>
      <c r="K17" s="2" t="s">
        <v>1</v>
      </c>
    </row>
    <row r="18" spans="1:11" x14ac:dyDescent="0.35">
      <c r="A18" s="2" t="s">
        <v>28</v>
      </c>
      <c r="B18" s="2">
        <v>179</v>
      </c>
      <c r="C18" s="2">
        <v>525</v>
      </c>
      <c r="D18" s="2">
        <v>0.25426136363636359</v>
      </c>
      <c r="E18" s="2">
        <v>1</v>
      </c>
      <c r="F18" s="2">
        <v>1.378744080652062E-40</v>
      </c>
      <c r="G18" s="2">
        <v>2.7574881613041239E-40</v>
      </c>
      <c r="H18" s="2">
        <v>1</v>
      </c>
      <c r="I18" s="2">
        <v>3.6055191761920078E-39</v>
      </c>
      <c r="J18" s="2">
        <v>0</v>
      </c>
      <c r="K18" s="2" t="s">
        <v>2</v>
      </c>
    </row>
    <row r="19" spans="1:11" x14ac:dyDescent="0.35">
      <c r="A19" s="2" t="s">
        <v>29</v>
      </c>
      <c r="B19" s="2">
        <v>268</v>
      </c>
      <c r="C19" s="2">
        <v>436</v>
      </c>
      <c r="D19" s="2">
        <v>0.38068181818181818</v>
      </c>
      <c r="E19" s="2">
        <v>0.99999999992226063</v>
      </c>
      <c r="F19" s="2">
        <v>1.279181887347529E-10</v>
      </c>
      <c r="G19" s="2">
        <v>2.5583637746950579E-10</v>
      </c>
      <c r="H19" s="2">
        <v>0.99999999987879273</v>
      </c>
      <c r="I19" s="2">
        <v>1.212072519999565E-10</v>
      </c>
      <c r="J19" s="2">
        <v>2.4241453289164378E-10</v>
      </c>
      <c r="K19" s="2" t="s">
        <v>2</v>
      </c>
    </row>
    <row r="20" spans="1:11" x14ac:dyDescent="0.35">
      <c r="A20" s="2" t="s">
        <v>30</v>
      </c>
      <c r="B20" s="2">
        <v>412</v>
      </c>
      <c r="C20" s="2">
        <v>292</v>
      </c>
      <c r="D20" s="2">
        <v>0.58522727272727271</v>
      </c>
      <c r="E20" s="2">
        <v>3.4746484737434672E-6</v>
      </c>
      <c r="F20" s="2">
        <v>0.99999757485877971</v>
      </c>
      <c r="G20" s="2">
        <v>6.9492969474869344E-6</v>
      </c>
      <c r="H20" s="2">
        <v>3.05321787952284E-6</v>
      </c>
      <c r="I20" s="2">
        <v>0.99999694678212048</v>
      </c>
      <c r="J20" s="2">
        <v>6.1064357590456808E-6</v>
      </c>
      <c r="K20" s="2" t="s">
        <v>1</v>
      </c>
    </row>
    <row r="21" spans="1:11" x14ac:dyDescent="0.35">
      <c r="A21" s="2" t="s">
        <v>31</v>
      </c>
      <c r="B21" s="2">
        <v>374</v>
      </c>
      <c r="C21" s="2">
        <v>330</v>
      </c>
      <c r="D21" s="2">
        <v>0.53125</v>
      </c>
      <c r="E21" s="2">
        <v>5.2515725500884958E-2</v>
      </c>
      <c r="F21" s="2">
        <v>0.955092866564618</v>
      </c>
      <c r="G21" s="2">
        <v>0.1050314510017699</v>
      </c>
      <c r="H21" s="2">
        <v>4.8627214219501669E-2</v>
      </c>
      <c r="I21" s="2">
        <v>0.95137278578049833</v>
      </c>
      <c r="J21" s="2">
        <v>9.7254428439003338E-2</v>
      </c>
      <c r="K21" s="2" t="s">
        <v>12</v>
      </c>
    </row>
    <row r="22" spans="1:11" x14ac:dyDescent="0.35">
      <c r="A22" s="2" t="s">
        <v>32</v>
      </c>
      <c r="B22" s="2">
        <v>399</v>
      </c>
      <c r="C22" s="2">
        <v>305</v>
      </c>
      <c r="D22" s="2">
        <v>0.56676136363636365</v>
      </c>
      <c r="E22" s="2">
        <v>2.2423766932352069E-4</v>
      </c>
      <c r="F22" s="2">
        <v>0.99983177687150404</v>
      </c>
      <c r="G22" s="2">
        <v>4.4847533864704139E-4</v>
      </c>
      <c r="H22" s="2">
        <v>1.9798271821658281E-4</v>
      </c>
      <c r="I22" s="2">
        <v>0.99980201728178342</v>
      </c>
      <c r="J22" s="2">
        <v>3.9596543643316551E-4</v>
      </c>
      <c r="K22" s="2" t="s">
        <v>1</v>
      </c>
    </row>
    <row r="23" spans="1:11" x14ac:dyDescent="0.35">
      <c r="A23" s="2" t="s">
        <v>33</v>
      </c>
      <c r="B23" s="2">
        <v>411</v>
      </c>
      <c r="C23" s="2">
        <v>293</v>
      </c>
      <c r="D23" s="2">
        <v>0.58380681818181823</v>
      </c>
      <c r="E23" s="2">
        <v>4.9504061134201882E-6</v>
      </c>
      <c r="F23" s="2">
        <v>0.99999652535152628</v>
      </c>
      <c r="G23" s="2">
        <v>9.9008122268403763E-6</v>
      </c>
      <c r="H23" s="2">
        <v>4.3479729709972048E-6</v>
      </c>
      <c r="I23" s="2">
        <v>0.999995652027029</v>
      </c>
      <c r="J23" s="2">
        <v>8.6959459419944096E-6</v>
      </c>
      <c r="K23" s="2" t="s">
        <v>1</v>
      </c>
    </row>
    <row r="24" spans="1:11" x14ac:dyDescent="0.35">
      <c r="A24" s="2" t="s">
        <v>34</v>
      </c>
      <c r="B24" s="2">
        <v>411</v>
      </c>
      <c r="C24" s="2">
        <v>293</v>
      </c>
      <c r="D24" s="2">
        <v>0.58380681818181823</v>
      </c>
      <c r="E24" s="2">
        <v>4.9504061134201882E-6</v>
      </c>
      <c r="F24" s="2">
        <v>0.99999652535152628</v>
      </c>
      <c r="G24" s="2">
        <v>9.9008122268403763E-6</v>
      </c>
      <c r="H24" s="2">
        <v>4.3479729709972048E-6</v>
      </c>
      <c r="I24" s="2">
        <v>0.999995652027029</v>
      </c>
      <c r="J24" s="2">
        <v>8.6959459419944096E-6</v>
      </c>
      <c r="K24" s="2" t="s">
        <v>1</v>
      </c>
    </row>
    <row r="25" spans="1:11" x14ac:dyDescent="0.35">
      <c r="A25" s="2" t="s">
        <v>35</v>
      </c>
      <c r="B25" s="2">
        <v>511</v>
      </c>
      <c r="C25" s="2">
        <v>193</v>
      </c>
      <c r="D25" s="2">
        <v>0.72585227272727271</v>
      </c>
      <c r="E25" s="2">
        <v>2.4113559914503591E-34</v>
      </c>
      <c r="F25" s="2">
        <v>1</v>
      </c>
      <c r="G25" s="2">
        <v>4.8227119829007181E-34</v>
      </c>
      <c r="H25" s="2">
        <v>0</v>
      </c>
      <c r="I25" s="2">
        <v>1</v>
      </c>
      <c r="J25" s="2">
        <v>0</v>
      </c>
      <c r="K25" s="2" t="s">
        <v>1</v>
      </c>
    </row>
    <row r="26" spans="1:11" x14ac:dyDescent="0.35">
      <c r="A26" s="2" t="s">
        <v>36</v>
      </c>
      <c r="B26" s="2">
        <v>295</v>
      </c>
      <c r="C26" s="2">
        <v>409</v>
      </c>
      <c r="D26" s="2">
        <v>0.41903409090909088</v>
      </c>
      <c r="E26" s="2">
        <v>0.99999298654494129</v>
      </c>
      <c r="F26" s="2">
        <v>9.8807434232840573E-6</v>
      </c>
      <c r="G26" s="2">
        <v>1.9761486846568111E-5</v>
      </c>
      <c r="H26" s="2">
        <v>0.99999132563559712</v>
      </c>
      <c r="I26" s="2">
        <v>8.6743644029296506E-6</v>
      </c>
      <c r="J26" s="2">
        <v>1.73487288057661E-5</v>
      </c>
      <c r="K26" s="2" t="s">
        <v>2</v>
      </c>
    </row>
    <row r="27" spans="1:11" x14ac:dyDescent="0.35">
      <c r="A27" s="2" t="s">
        <v>37</v>
      </c>
      <c r="B27" s="2">
        <v>343</v>
      </c>
      <c r="C27" s="2">
        <v>361</v>
      </c>
      <c r="D27" s="2">
        <v>0.48721590909090912</v>
      </c>
      <c r="E27" s="2">
        <v>0.76301913543624389</v>
      </c>
      <c r="F27" s="2">
        <v>0.26086961327395092</v>
      </c>
      <c r="G27" s="2">
        <v>0.52173922654790184</v>
      </c>
      <c r="H27" s="2">
        <v>0.7512411119350052</v>
      </c>
      <c r="I27" s="2">
        <v>0.2487588880649948</v>
      </c>
      <c r="J27" s="2">
        <v>0.4975177761299896</v>
      </c>
      <c r="K27" s="2" t="s">
        <v>12</v>
      </c>
    </row>
    <row r="28" spans="1:11" x14ac:dyDescent="0.35">
      <c r="A28" s="2" t="s">
        <v>38</v>
      </c>
      <c r="B28" s="2">
        <v>335</v>
      </c>
      <c r="C28" s="2">
        <v>369</v>
      </c>
      <c r="D28" s="2">
        <v>0.47585227272727271</v>
      </c>
      <c r="E28" s="2">
        <v>0.90645347017408007</v>
      </c>
      <c r="F28" s="2">
        <v>0.1067839002741523</v>
      </c>
      <c r="G28" s="2">
        <v>0.21356780054830449</v>
      </c>
      <c r="H28" s="2">
        <v>0.89997747274533557</v>
      </c>
      <c r="I28" s="2">
        <v>0.1000225272546645</v>
      </c>
      <c r="J28" s="2">
        <v>0.20004505450932891</v>
      </c>
      <c r="K28" s="2" t="s">
        <v>12</v>
      </c>
    </row>
    <row r="29" spans="1:11" x14ac:dyDescent="0.35">
      <c r="A29" s="2" t="s">
        <v>39</v>
      </c>
      <c r="B29" s="2">
        <v>388</v>
      </c>
      <c r="C29" s="2">
        <v>316</v>
      </c>
      <c r="D29" s="2">
        <v>0.55113636363636365</v>
      </c>
      <c r="E29" s="2">
        <v>3.7045825410822238E-3</v>
      </c>
      <c r="F29" s="2">
        <v>0.99705135870899886</v>
      </c>
      <c r="G29" s="2">
        <v>7.4091650821644477E-3</v>
      </c>
      <c r="H29" s="2">
        <v>3.3278027414747058E-3</v>
      </c>
      <c r="I29" s="2">
        <v>0.99667219725852529</v>
      </c>
      <c r="J29" s="2">
        <v>6.6556054829494116E-3</v>
      </c>
      <c r="K29" s="2" t="s">
        <v>1</v>
      </c>
    </row>
    <row r="30" spans="1:11" x14ac:dyDescent="0.35">
      <c r="A30" s="2" t="s">
        <v>40</v>
      </c>
      <c r="B30" s="2">
        <v>476</v>
      </c>
      <c r="C30" s="2">
        <v>228</v>
      </c>
      <c r="D30" s="2">
        <v>0.67613636363636365</v>
      </c>
      <c r="E30" s="2">
        <v>2.527851327681256E-21</v>
      </c>
      <c r="F30" s="2">
        <v>1</v>
      </c>
      <c r="G30" s="2">
        <v>5.0557026553625112E-21</v>
      </c>
      <c r="H30" s="2">
        <v>0</v>
      </c>
      <c r="I30" s="2">
        <v>1</v>
      </c>
      <c r="J30" s="2">
        <v>0</v>
      </c>
      <c r="K30" s="2" t="s">
        <v>1</v>
      </c>
    </row>
    <row r="31" spans="1:11" x14ac:dyDescent="0.35">
      <c r="A31" s="2" t="s">
        <v>41</v>
      </c>
      <c r="B31" s="2">
        <v>274</v>
      </c>
      <c r="C31" s="2">
        <v>430</v>
      </c>
      <c r="D31" s="2">
        <v>0.38920454545454553</v>
      </c>
      <c r="E31" s="2">
        <v>0.99999999858720068</v>
      </c>
      <c r="F31" s="2">
        <v>2.2443084356065412E-9</v>
      </c>
      <c r="G31" s="2">
        <v>4.4886168712130824E-9</v>
      </c>
      <c r="H31" s="2">
        <v>0.99999999794210426</v>
      </c>
      <c r="I31" s="2">
        <v>2.057895758847207E-9</v>
      </c>
      <c r="J31" s="2">
        <v>4.1157914854039754E-9</v>
      </c>
      <c r="K31" s="2" t="s">
        <v>2</v>
      </c>
    </row>
    <row r="32" spans="1:11" x14ac:dyDescent="0.35">
      <c r="A32" s="2" t="s">
        <v>42</v>
      </c>
      <c r="B32" s="2">
        <v>358</v>
      </c>
      <c r="C32" s="2">
        <v>346</v>
      </c>
      <c r="D32" s="2">
        <v>0.50852272727272729</v>
      </c>
      <c r="E32" s="2">
        <v>0.33924030681285811</v>
      </c>
      <c r="F32" s="2">
        <v>0.68790182259992472</v>
      </c>
      <c r="G32" s="2">
        <v>0.6784806136257161</v>
      </c>
      <c r="H32" s="2">
        <v>0.32553831703891678</v>
      </c>
      <c r="I32" s="2">
        <v>0.67446168296108322</v>
      </c>
      <c r="J32" s="2">
        <v>0.65107663407783356</v>
      </c>
      <c r="K32" s="2" t="s">
        <v>12</v>
      </c>
    </row>
    <row r="33" spans="1:11" x14ac:dyDescent="0.35">
      <c r="A33" s="2" t="s">
        <v>43</v>
      </c>
      <c r="B33" s="2">
        <v>366</v>
      </c>
      <c r="C33" s="2">
        <v>338</v>
      </c>
      <c r="D33" s="2">
        <v>0.51988636363636365</v>
      </c>
      <c r="E33" s="2">
        <v>0.15443289176760841</v>
      </c>
      <c r="F33" s="2">
        <v>0.86280388643582817</v>
      </c>
      <c r="G33" s="2">
        <v>0.30886578353521688</v>
      </c>
      <c r="H33" s="2">
        <v>0.14564642380890641</v>
      </c>
      <c r="I33" s="2">
        <v>0.85435357619109364</v>
      </c>
      <c r="J33" s="2">
        <v>0.29129284761781271</v>
      </c>
      <c r="K33" s="2" t="s">
        <v>12</v>
      </c>
    </row>
    <row r="34" spans="1:11" x14ac:dyDescent="0.35">
      <c r="A34" s="2" t="s">
        <v>44</v>
      </c>
      <c r="B34" s="2">
        <v>315</v>
      </c>
      <c r="C34" s="2">
        <v>389</v>
      </c>
      <c r="D34" s="2">
        <v>0.44744318181818182</v>
      </c>
      <c r="E34" s="2">
        <v>0.99766543951883324</v>
      </c>
      <c r="F34" s="2">
        <v>2.9486412910011898E-3</v>
      </c>
      <c r="G34" s="2">
        <v>5.8972825820023797E-3</v>
      </c>
      <c r="H34" s="2">
        <v>0.99735628298165491</v>
      </c>
      <c r="I34" s="2">
        <v>2.6437170183450541E-3</v>
      </c>
      <c r="J34" s="2">
        <v>5.2874340366901862E-3</v>
      </c>
      <c r="K34" s="2" t="s">
        <v>2</v>
      </c>
    </row>
    <row r="35" spans="1:11" x14ac:dyDescent="0.35">
      <c r="A35" s="2" t="s">
        <v>45</v>
      </c>
      <c r="B35" s="2">
        <v>366</v>
      </c>
      <c r="C35" s="2">
        <v>338</v>
      </c>
      <c r="D35" s="2">
        <v>0.51988636363636365</v>
      </c>
      <c r="E35" s="2">
        <v>0.15443289176760841</v>
      </c>
      <c r="F35" s="2">
        <v>0.86280388643582817</v>
      </c>
      <c r="G35" s="2">
        <v>0.30886578353521688</v>
      </c>
      <c r="H35" s="2">
        <v>0.14564642380890641</v>
      </c>
      <c r="I35" s="2">
        <v>0.85435357619109364</v>
      </c>
      <c r="J35" s="2">
        <v>0.29129284761781271</v>
      </c>
      <c r="K35" s="2" t="s">
        <v>12</v>
      </c>
    </row>
    <row r="36" spans="1:11" x14ac:dyDescent="0.35">
      <c r="A36" s="2" t="s">
        <v>46</v>
      </c>
      <c r="B36" s="2">
        <v>194</v>
      </c>
      <c r="C36" s="2">
        <v>510</v>
      </c>
      <c r="D36" s="2">
        <v>0.27556818181818182</v>
      </c>
      <c r="E36" s="2">
        <v>1</v>
      </c>
      <c r="F36" s="2">
        <v>6.3788292383545346E-34</v>
      </c>
      <c r="G36" s="2">
        <v>1.2757658476709069E-33</v>
      </c>
      <c r="H36" s="2">
        <v>1</v>
      </c>
      <c r="I36" s="2">
        <v>5.2679007680601183E-33</v>
      </c>
      <c r="J36" s="2">
        <v>0</v>
      </c>
      <c r="K36" s="2" t="s">
        <v>2</v>
      </c>
    </row>
    <row r="37" spans="1:11" x14ac:dyDescent="0.35">
      <c r="A37" s="2" t="s">
        <v>47</v>
      </c>
      <c r="B37" s="2">
        <v>294</v>
      </c>
      <c r="C37" s="2">
        <v>410</v>
      </c>
      <c r="D37" s="2">
        <v>0.41761363636363641</v>
      </c>
      <c r="E37" s="2">
        <v>0.99999504959388663</v>
      </c>
      <c r="F37" s="2">
        <v>7.0134550586825282E-6</v>
      </c>
      <c r="G37" s="2">
        <v>1.402691011736506E-5</v>
      </c>
      <c r="H37" s="2">
        <v>0.99999384191193175</v>
      </c>
      <c r="I37" s="2">
        <v>6.1580880682640709E-6</v>
      </c>
      <c r="J37" s="2">
        <v>1.231617613650648E-5</v>
      </c>
      <c r="K37" s="2" t="s">
        <v>2</v>
      </c>
    </row>
    <row r="38" spans="1:11" x14ac:dyDescent="0.35">
      <c r="A38" s="2" t="s">
        <v>48</v>
      </c>
      <c r="B38" s="2">
        <v>214</v>
      </c>
      <c r="C38" s="2">
        <v>490</v>
      </c>
      <c r="D38" s="2">
        <v>0.30397727272727271</v>
      </c>
      <c r="E38" s="2">
        <v>1</v>
      </c>
      <c r="F38" s="2">
        <v>4.1928894555716279E-26</v>
      </c>
      <c r="G38" s="2">
        <v>8.3857789111432569E-26</v>
      </c>
      <c r="H38" s="2">
        <v>1</v>
      </c>
      <c r="I38" s="2">
        <v>1.21211528725007E-25</v>
      </c>
      <c r="J38" s="2">
        <v>0</v>
      </c>
      <c r="K38" s="2" t="s">
        <v>2</v>
      </c>
    </row>
    <row r="39" spans="1:11" x14ac:dyDescent="0.35">
      <c r="A39" s="2" t="s">
        <v>49</v>
      </c>
      <c r="B39" s="2">
        <v>232</v>
      </c>
      <c r="C39" s="2">
        <v>472</v>
      </c>
      <c r="D39" s="2">
        <v>0.32954545454545447</v>
      </c>
      <c r="E39" s="2">
        <v>1</v>
      </c>
      <c r="F39" s="2">
        <v>4.6487864535216721E-20</v>
      </c>
      <c r="G39" s="2">
        <v>9.2975729070433442E-20</v>
      </c>
      <c r="H39" s="2">
        <v>1</v>
      </c>
      <c r="I39" s="2">
        <v>7.4599831984933769E-20</v>
      </c>
      <c r="J39" s="2">
        <v>0</v>
      </c>
      <c r="K39" s="2" t="s">
        <v>2</v>
      </c>
    </row>
    <row r="40" spans="1:11" x14ac:dyDescent="0.35">
      <c r="A40" s="2" t="s">
        <v>50</v>
      </c>
      <c r="B40" s="2">
        <v>307</v>
      </c>
      <c r="C40" s="2">
        <v>397</v>
      </c>
      <c r="D40" s="2">
        <v>0.43607954545454553</v>
      </c>
      <c r="E40" s="2">
        <v>0.99970272376273472</v>
      </c>
      <c r="F40" s="2">
        <v>3.9196467388036299E-4</v>
      </c>
      <c r="G40" s="2">
        <v>7.8392934776072597E-4</v>
      </c>
      <c r="H40" s="2">
        <v>0.99965308112455031</v>
      </c>
      <c r="I40" s="2">
        <v>3.4691887544967281E-4</v>
      </c>
      <c r="J40" s="2">
        <v>6.9383775089937316E-4</v>
      </c>
      <c r="K40" s="2" t="s">
        <v>2</v>
      </c>
    </row>
    <row r="41" spans="1:11" x14ac:dyDescent="0.35">
      <c r="A41" s="2" t="s">
        <v>51</v>
      </c>
      <c r="B41" s="2">
        <v>355</v>
      </c>
      <c r="C41" s="2">
        <v>349</v>
      </c>
      <c r="D41" s="2">
        <v>0.50426136363636365</v>
      </c>
      <c r="E41" s="2">
        <v>0.42527252356759487</v>
      </c>
      <c r="F41" s="2">
        <v>0.60403040402144836</v>
      </c>
      <c r="G41" s="2">
        <v>0.85054504713518975</v>
      </c>
      <c r="H41" s="2">
        <v>0.41054879177597958</v>
      </c>
      <c r="I41" s="2">
        <v>0.58945120822402042</v>
      </c>
      <c r="J41" s="2">
        <v>0.82109758355195916</v>
      </c>
      <c r="K41" s="2" t="s">
        <v>12</v>
      </c>
    </row>
    <row r="42" spans="1:11" x14ac:dyDescent="0.35">
      <c r="A42" s="2" t="s">
        <v>52</v>
      </c>
      <c r="B42" s="2">
        <v>330</v>
      </c>
      <c r="C42" s="2">
        <v>374</v>
      </c>
      <c r="D42" s="2">
        <v>0.46875</v>
      </c>
      <c r="E42" s="2">
        <v>0.955092866564618</v>
      </c>
      <c r="F42" s="2">
        <v>5.2515725500884958E-2</v>
      </c>
      <c r="G42" s="2">
        <v>0.1050314510017699</v>
      </c>
      <c r="H42" s="2">
        <v>0.95137278578049833</v>
      </c>
      <c r="I42" s="2">
        <v>4.8627214219501641E-2</v>
      </c>
      <c r="J42" s="2">
        <v>9.7254428439003338E-2</v>
      </c>
      <c r="K42" s="2" t="s">
        <v>12</v>
      </c>
    </row>
    <row r="43" spans="1:11" x14ac:dyDescent="0.35">
      <c r="A43" s="2" t="s">
        <v>53</v>
      </c>
      <c r="B43" s="2">
        <v>348</v>
      </c>
      <c r="C43" s="2">
        <v>356</v>
      </c>
      <c r="D43" s="2">
        <v>0.49431818181818182</v>
      </c>
      <c r="E43" s="2">
        <v>0.63275715045003333</v>
      </c>
      <c r="F43" s="2">
        <v>0.39596959597855169</v>
      </c>
      <c r="G43" s="2">
        <v>0.79193919195710338</v>
      </c>
      <c r="H43" s="2">
        <v>0.61848769972350237</v>
      </c>
      <c r="I43" s="2">
        <v>0.38151230027649757</v>
      </c>
      <c r="J43" s="2">
        <v>0.76302460055299526</v>
      </c>
      <c r="K43" s="2" t="s">
        <v>12</v>
      </c>
    </row>
    <row r="44" spans="1:11" x14ac:dyDescent="0.35">
      <c r="A44" s="2" t="s">
        <v>54</v>
      </c>
      <c r="B44" s="2">
        <v>375</v>
      </c>
      <c r="C44" s="2">
        <v>329</v>
      </c>
      <c r="D44" s="2">
        <v>0.53267045454545459</v>
      </c>
      <c r="E44" s="2">
        <v>4.4907133435382003E-2</v>
      </c>
      <c r="F44" s="2">
        <v>0.96178842758226124</v>
      </c>
      <c r="G44" s="2">
        <v>8.9814266870763992E-2</v>
      </c>
      <c r="H44" s="2">
        <v>4.1486530362206182E-2</v>
      </c>
      <c r="I44" s="2">
        <v>0.95851346963779382</v>
      </c>
      <c r="J44" s="2">
        <v>8.2973060724412351E-2</v>
      </c>
      <c r="K44" s="2" t="s">
        <v>1</v>
      </c>
    </row>
    <row r="45" spans="1:11" x14ac:dyDescent="0.35">
      <c r="A45" s="2" t="s">
        <v>55</v>
      </c>
      <c r="B45" s="2">
        <v>264</v>
      </c>
      <c r="C45" s="2">
        <v>440</v>
      </c>
      <c r="D45" s="2">
        <v>0.375</v>
      </c>
      <c r="E45" s="2">
        <v>0.99999999999000511</v>
      </c>
      <c r="F45" s="2">
        <v>1.6840591736383231E-11</v>
      </c>
      <c r="G45" s="2">
        <v>3.3681183472766463E-11</v>
      </c>
      <c r="H45" s="2">
        <v>0.99999999998358124</v>
      </c>
      <c r="I45" s="2">
        <v>1.6418793249366909E-11</v>
      </c>
      <c r="J45" s="2">
        <v>3.2837510488548112E-11</v>
      </c>
      <c r="K45" s="2" t="s">
        <v>2</v>
      </c>
    </row>
    <row r="46" spans="1:11" x14ac:dyDescent="0.35">
      <c r="A46" s="2" t="s">
        <v>56</v>
      </c>
      <c r="B46" s="2">
        <v>278</v>
      </c>
      <c r="C46" s="2">
        <v>426</v>
      </c>
      <c r="D46" s="2">
        <v>0.39488636363636359</v>
      </c>
      <c r="E46" s="2">
        <v>0.9999999913119948</v>
      </c>
      <c r="F46" s="2">
        <v>1.348421393509673E-8</v>
      </c>
      <c r="G46" s="2">
        <v>2.6968427870193469E-8</v>
      </c>
      <c r="H46" s="2">
        <v>0.99999998783221156</v>
      </c>
      <c r="I46" s="2">
        <v>1.2167788454856519E-8</v>
      </c>
      <c r="J46" s="2">
        <v>2.4335576886969079E-8</v>
      </c>
      <c r="K46" s="2" t="s">
        <v>2</v>
      </c>
    </row>
    <row r="47" spans="1:11" x14ac:dyDescent="0.35">
      <c r="A47" s="2" t="s">
        <v>57</v>
      </c>
      <c r="B47" s="2">
        <v>367</v>
      </c>
      <c r="C47" s="2">
        <v>337</v>
      </c>
      <c r="D47" s="2">
        <v>0.52130681818181823</v>
      </c>
      <c r="E47" s="2">
        <v>0.1371961135641718</v>
      </c>
      <c r="F47" s="2">
        <v>0.87867863039430649</v>
      </c>
      <c r="G47" s="2">
        <v>0.27439222712834371</v>
      </c>
      <c r="H47" s="2">
        <v>0.12909752379197201</v>
      </c>
      <c r="I47" s="2">
        <v>0.87090247620802796</v>
      </c>
      <c r="J47" s="2">
        <v>0.25819504758394413</v>
      </c>
      <c r="K47" s="2" t="s">
        <v>12</v>
      </c>
    </row>
    <row r="48" spans="1:11" x14ac:dyDescent="0.35">
      <c r="A48" s="2" t="s">
        <v>58</v>
      </c>
      <c r="B48" s="2">
        <v>245</v>
      </c>
      <c r="C48" s="2">
        <v>459</v>
      </c>
      <c r="D48" s="2">
        <v>0.34801136363636359</v>
      </c>
      <c r="E48" s="2">
        <v>0.99999999999999989</v>
      </c>
      <c r="F48" s="2">
        <v>2.9804535640973499E-16</v>
      </c>
      <c r="G48" s="2">
        <v>5.9609071281946999E-16</v>
      </c>
      <c r="H48" s="2">
        <v>0.99999999999999967</v>
      </c>
      <c r="I48" s="2">
        <v>3.648972880327134E-16</v>
      </c>
      <c r="J48" s="2">
        <v>6.6613381477509392E-16</v>
      </c>
      <c r="K48" s="2" t="s">
        <v>2</v>
      </c>
    </row>
    <row r="49" spans="1:11" x14ac:dyDescent="0.35">
      <c r="A49" s="2" t="s">
        <v>59</v>
      </c>
      <c r="B49" s="2">
        <v>363</v>
      </c>
      <c r="C49" s="2">
        <v>341</v>
      </c>
      <c r="D49" s="2">
        <v>0.515625</v>
      </c>
      <c r="E49" s="2">
        <v>0.21434594520575251</v>
      </c>
      <c r="F49" s="2">
        <v>0.80697951600757256</v>
      </c>
      <c r="G49" s="2">
        <v>0.42869189041150513</v>
      </c>
      <c r="H49" s="2">
        <v>0.20350801363568721</v>
      </c>
      <c r="I49" s="2">
        <v>0.79649198636431284</v>
      </c>
      <c r="J49" s="2">
        <v>0.40701602727137431</v>
      </c>
      <c r="K49" s="2" t="s">
        <v>12</v>
      </c>
    </row>
    <row r="50" spans="1:11" x14ac:dyDescent="0.35">
      <c r="A50" s="2" t="s">
        <v>60</v>
      </c>
      <c r="B50" s="2">
        <v>277</v>
      </c>
      <c r="C50" s="2">
        <v>427</v>
      </c>
      <c r="D50" s="2">
        <v>0.39346590909090912</v>
      </c>
      <c r="E50" s="2">
        <v>0.99999999443458498</v>
      </c>
      <c r="F50" s="2">
        <v>8.6880052469512098E-9</v>
      </c>
      <c r="G50" s="2">
        <v>1.737601049390242E-8</v>
      </c>
      <c r="H50" s="2">
        <v>0.99999999213191548</v>
      </c>
      <c r="I50" s="2">
        <v>7.8680844944330399E-9</v>
      </c>
      <c r="J50" s="2">
        <v>1.5736169034497038E-8</v>
      </c>
      <c r="K50" s="2" t="s">
        <v>2</v>
      </c>
    </row>
    <row r="51" spans="1:11" x14ac:dyDescent="0.35">
      <c r="A51" s="2" t="s">
        <v>61</v>
      </c>
      <c r="B51" s="2">
        <v>173</v>
      </c>
      <c r="C51" s="2">
        <v>531</v>
      </c>
      <c r="D51" s="2">
        <v>0.24573863636363641</v>
      </c>
      <c r="E51" s="2">
        <v>1</v>
      </c>
      <c r="F51" s="2">
        <v>1.869928608147261E-43</v>
      </c>
      <c r="G51" s="2">
        <v>3.739857216294522E-43</v>
      </c>
      <c r="H51" s="2">
        <v>1</v>
      </c>
      <c r="I51" s="2">
        <v>8.6408752887271399E-42</v>
      </c>
      <c r="J51" s="2">
        <v>0</v>
      </c>
      <c r="K51" s="2" t="s">
        <v>2</v>
      </c>
    </row>
    <row r="52" spans="1:11" x14ac:dyDescent="0.35">
      <c r="A52" s="2" t="s">
        <v>62</v>
      </c>
      <c r="B52" s="2">
        <v>477</v>
      </c>
      <c r="C52" s="2">
        <v>227</v>
      </c>
      <c r="D52" s="2">
        <v>0.67755681818181823</v>
      </c>
      <c r="E52" s="2">
        <v>1.2013044069375279E-21</v>
      </c>
      <c r="F52" s="2">
        <v>1</v>
      </c>
      <c r="G52" s="2">
        <v>2.4026088138750559E-21</v>
      </c>
      <c r="H52" s="2">
        <v>0</v>
      </c>
      <c r="I52" s="2">
        <v>1</v>
      </c>
      <c r="J52" s="2">
        <v>0</v>
      </c>
      <c r="K52" s="2" t="s">
        <v>1</v>
      </c>
    </row>
    <row r="53" spans="1:11" x14ac:dyDescent="0.35">
      <c r="A53" s="2" t="s">
        <v>63</v>
      </c>
      <c r="B53" s="2">
        <v>498</v>
      </c>
      <c r="C53" s="2">
        <v>206</v>
      </c>
      <c r="D53" s="2">
        <v>0.70738636363636365</v>
      </c>
      <c r="E53" s="2">
        <v>4.3442945899577279E-29</v>
      </c>
      <c r="F53" s="2">
        <v>1</v>
      </c>
      <c r="G53" s="2">
        <v>8.6885891799154569E-29</v>
      </c>
      <c r="H53" s="2">
        <v>0</v>
      </c>
      <c r="I53" s="2">
        <v>1</v>
      </c>
      <c r="J53" s="2">
        <v>0</v>
      </c>
      <c r="K53" s="2" t="s">
        <v>1</v>
      </c>
    </row>
    <row r="54" spans="1:11" x14ac:dyDescent="0.35">
      <c r="A54" s="2" t="s">
        <v>64</v>
      </c>
      <c r="B54" s="2">
        <v>416</v>
      </c>
      <c r="C54" s="2">
        <v>288</v>
      </c>
      <c r="D54" s="2">
        <v>0.59090909090909094</v>
      </c>
      <c r="E54" s="2">
        <v>7.9707961039300455E-7</v>
      </c>
      <c r="F54" s="2">
        <v>0.99999945612132479</v>
      </c>
      <c r="G54" s="2">
        <v>1.5941592207860091E-6</v>
      </c>
      <c r="H54" s="2">
        <v>7.028967590194668E-7</v>
      </c>
      <c r="I54" s="2">
        <v>0.99999929710324098</v>
      </c>
      <c r="J54" s="2">
        <v>1.405793518038934E-6</v>
      </c>
      <c r="K54" s="2" t="s">
        <v>1</v>
      </c>
    </row>
    <row r="55" spans="1:11" x14ac:dyDescent="0.35">
      <c r="A55" s="2" t="s">
        <v>65</v>
      </c>
      <c r="B55" s="2">
        <v>497</v>
      </c>
      <c r="C55" s="2">
        <v>207</v>
      </c>
      <c r="D55" s="2">
        <v>0.70596590909090906</v>
      </c>
      <c r="E55" s="2">
        <v>1.050152150140678E-28</v>
      </c>
      <c r="F55" s="2">
        <v>1</v>
      </c>
      <c r="G55" s="2">
        <v>2.1003043002813569E-28</v>
      </c>
      <c r="H55" s="2">
        <v>0</v>
      </c>
      <c r="I55" s="2">
        <v>1</v>
      </c>
      <c r="J55" s="2">
        <v>0</v>
      </c>
      <c r="K55" s="2" t="s">
        <v>1</v>
      </c>
    </row>
    <row r="56" spans="1:11" x14ac:dyDescent="0.35">
      <c r="A56" s="2" t="s">
        <v>66</v>
      </c>
      <c r="B56" s="2">
        <v>582</v>
      </c>
      <c r="C56" s="2">
        <v>122</v>
      </c>
      <c r="D56" s="2">
        <v>0.82670454545454541</v>
      </c>
      <c r="E56" s="2">
        <v>5.5638477973692838E-73</v>
      </c>
      <c r="F56" s="2">
        <v>1</v>
      </c>
      <c r="G56" s="2">
        <v>1.112769559473857E-72</v>
      </c>
      <c r="H56" s="2">
        <v>0</v>
      </c>
      <c r="I56" s="2">
        <v>1</v>
      </c>
      <c r="J56" s="2">
        <v>0</v>
      </c>
      <c r="K56" s="2" t="s">
        <v>1</v>
      </c>
    </row>
    <row r="57" spans="1:11" x14ac:dyDescent="0.35">
      <c r="A57" s="2" t="s">
        <v>67</v>
      </c>
      <c r="B57" s="2">
        <v>333</v>
      </c>
      <c r="C57" s="2">
        <v>371</v>
      </c>
      <c r="D57" s="2">
        <v>0.47301136363636359</v>
      </c>
      <c r="E57" s="2">
        <v>0.92922855552128913</v>
      </c>
      <c r="F57" s="2">
        <v>8.1561343068735734E-2</v>
      </c>
      <c r="G57" s="2">
        <v>0.1631226861374715</v>
      </c>
      <c r="H57" s="2">
        <v>0.92395368375921005</v>
      </c>
      <c r="I57" s="2">
        <v>7.6046316240789988E-2</v>
      </c>
      <c r="J57" s="2">
        <v>0.15209263248157989</v>
      </c>
      <c r="K57" s="2" t="s">
        <v>12</v>
      </c>
    </row>
    <row r="58" spans="1:11" x14ac:dyDescent="0.35">
      <c r="A58" s="2" t="s">
        <v>68</v>
      </c>
      <c r="B58" s="2">
        <v>278</v>
      </c>
      <c r="C58" s="2">
        <v>426</v>
      </c>
      <c r="D58" s="2">
        <v>0.39488636363636359</v>
      </c>
      <c r="E58" s="2">
        <v>0.9999999913119948</v>
      </c>
      <c r="F58" s="2">
        <v>1.348421393509673E-8</v>
      </c>
      <c r="G58" s="2">
        <v>2.6968427870193469E-8</v>
      </c>
      <c r="H58" s="2">
        <v>0.99999998783221156</v>
      </c>
      <c r="I58" s="2">
        <v>1.2167788454856519E-8</v>
      </c>
      <c r="J58" s="2">
        <v>2.4335576886969079E-8</v>
      </c>
      <c r="K58" s="2" t="s">
        <v>2</v>
      </c>
    </row>
    <row r="59" spans="1:11" x14ac:dyDescent="0.35">
      <c r="A59" s="2" t="s">
        <v>69</v>
      </c>
      <c r="B59" s="2">
        <v>173</v>
      </c>
      <c r="C59" s="2">
        <v>531</v>
      </c>
      <c r="D59" s="2">
        <v>0.24573863636363641</v>
      </c>
      <c r="E59" s="2">
        <v>1</v>
      </c>
      <c r="F59" s="2">
        <v>1.869928608147261E-43</v>
      </c>
      <c r="G59" s="2">
        <v>3.739857216294522E-43</v>
      </c>
      <c r="H59" s="2">
        <v>1</v>
      </c>
      <c r="I59" s="2">
        <v>8.6408752887271399E-42</v>
      </c>
      <c r="J59" s="2">
        <v>0</v>
      </c>
      <c r="K59" s="2" t="s">
        <v>2</v>
      </c>
    </row>
    <row r="60" spans="1:11" x14ac:dyDescent="0.35">
      <c r="A60" s="2" t="s">
        <v>70</v>
      </c>
      <c r="B60" s="2">
        <v>108</v>
      </c>
      <c r="C60" s="2">
        <v>596</v>
      </c>
      <c r="D60" s="2">
        <v>0.15340909090909091</v>
      </c>
      <c r="E60" s="2">
        <v>1</v>
      </c>
      <c r="F60" s="2">
        <v>6.5456300674276173E-83</v>
      </c>
      <c r="G60" s="2">
        <v>1.309126013485523E-82</v>
      </c>
      <c r="H60" s="2">
        <v>1</v>
      </c>
      <c r="I60" s="2">
        <v>7.5859967229968314E-76</v>
      </c>
      <c r="J60" s="2">
        <v>0</v>
      </c>
      <c r="K60" s="2" t="s">
        <v>2</v>
      </c>
    </row>
    <row r="61" spans="1:11" x14ac:dyDescent="0.35">
      <c r="A61" s="2" t="s">
        <v>71</v>
      </c>
      <c r="B61" s="2">
        <v>288</v>
      </c>
      <c r="C61" s="2">
        <v>416</v>
      </c>
      <c r="D61" s="2">
        <v>0.40909090909090912</v>
      </c>
      <c r="E61" s="2">
        <v>0.99999945612132479</v>
      </c>
      <c r="F61" s="2">
        <v>7.9707961039300455E-7</v>
      </c>
      <c r="G61" s="2">
        <v>1.5941592207860091E-6</v>
      </c>
      <c r="H61" s="2">
        <v>0.99999929710324098</v>
      </c>
      <c r="I61" s="2">
        <v>7.0289675904892766E-7</v>
      </c>
      <c r="J61" s="2">
        <v>1.405793518038934E-6</v>
      </c>
      <c r="K61" s="2" t="s">
        <v>2</v>
      </c>
    </row>
    <row r="62" spans="1:11" x14ac:dyDescent="0.35">
      <c r="A62" s="2" t="s">
        <v>72</v>
      </c>
      <c r="B62" s="2">
        <v>479</v>
      </c>
      <c r="C62" s="2">
        <v>225</v>
      </c>
      <c r="D62" s="2">
        <v>0.68039772727272729</v>
      </c>
      <c r="E62" s="2">
        <v>2.66113438101818E-22</v>
      </c>
      <c r="F62" s="2">
        <v>1</v>
      </c>
      <c r="G62" s="2">
        <v>5.3222687620363591E-22</v>
      </c>
      <c r="H62" s="2">
        <v>0</v>
      </c>
      <c r="I62" s="2">
        <v>1</v>
      </c>
      <c r="J62" s="2">
        <v>0</v>
      </c>
      <c r="K62" s="2" t="s">
        <v>1</v>
      </c>
    </row>
    <row r="63" spans="1:11" x14ac:dyDescent="0.35">
      <c r="A63" s="2" t="s">
        <v>73</v>
      </c>
      <c r="B63" s="2">
        <v>305</v>
      </c>
      <c r="C63" s="2">
        <v>399</v>
      </c>
      <c r="D63" s="2">
        <v>0.43323863636363641</v>
      </c>
      <c r="E63" s="2">
        <v>0.99983177687150404</v>
      </c>
      <c r="F63" s="2">
        <v>2.2423766932352069E-4</v>
      </c>
      <c r="G63" s="2">
        <v>4.4847533864704139E-4</v>
      </c>
      <c r="H63" s="2">
        <v>0.99980201728178342</v>
      </c>
      <c r="I63" s="2">
        <v>1.979827182166197E-4</v>
      </c>
      <c r="J63" s="2">
        <v>3.9596543643316551E-4</v>
      </c>
      <c r="K63" s="2" t="s">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319</v>
      </c>
      <c r="C2" s="2">
        <v>385</v>
      </c>
      <c r="D2" s="2">
        <v>0.453125</v>
      </c>
      <c r="E2" s="2">
        <v>0.99424414898732705</v>
      </c>
      <c r="F2" s="2">
        <v>7.1183650161997609E-3</v>
      </c>
      <c r="G2" s="2">
        <v>1.423673003239952E-2</v>
      </c>
      <c r="H2" s="2">
        <v>0.99356720935272191</v>
      </c>
      <c r="I2" s="2">
        <v>6.4327906472780392E-3</v>
      </c>
      <c r="J2" s="2">
        <v>1.286558129455617E-2</v>
      </c>
      <c r="K2" s="2" t="s">
        <v>2</v>
      </c>
    </row>
    <row r="3" spans="1:11" x14ac:dyDescent="0.35">
      <c r="A3" s="2" t="s">
        <v>13</v>
      </c>
      <c r="B3" s="2">
        <v>363</v>
      </c>
      <c r="C3" s="2">
        <v>341</v>
      </c>
      <c r="D3" s="2">
        <v>0.515625</v>
      </c>
      <c r="E3" s="2">
        <v>0.21434594520575251</v>
      </c>
      <c r="F3" s="2">
        <v>0.80697951600757256</v>
      </c>
      <c r="G3" s="2">
        <v>0.42869189041150513</v>
      </c>
      <c r="H3" s="2">
        <v>0.20350801363568721</v>
      </c>
      <c r="I3" s="2">
        <v>0.79649198636431284</v>
      </c>
      <c r="J3" s="2">
        <v>0.40701602727137431</v>
      </c>
      <c r="K3" s="2" t="s">
        <v>12</v>
      </c>
    </row>
    <row r="4" spans="1:11" x14ac:dyDescent="0.35">
      <c r="A4" s="2" t="s">
        <v>14</v>
      </c>
      <c r="B4" s="2">
        <v>319</v>
      </c>
      <c r="C4" s="2">
        <v>385</v>
      </c>
      <c r="D4" s="2">
        <v>0.453125</v>
      </c>
      <c r="E4" s="2">
        <v>0.99424414898732705</v>
      </c>
      <c r="F4" s="2">
        <v>7.1183650161997609E-3</v>
      </c>
      <c r="G4" s="2">
        <v>1.423673003239952E-2</v>
      </c>
      <c r="H4" s="2">
        <v>0.99356720935272191</v>
      </c>
      <c r="I4" s="2">
        <v>6.4327906472780392E-3</v>
      </c>
      <c r="J4" s="2">
        <v>1.286558129455617E-2</v>
      </c>
      <c r="K4" s="2" t="s">
        <v>2</v>
      </c>
    </row>
    <row r="5" spans="1:11" x14ac:dyDescent="0.35">
      <c r="A5" s="2" t="s">
        <v>15</v>
      </c>
      <c r="B5" s="2">
        <v>369</v>
      </c>
      <c r="C5" s="2">
        <v>335</v>
      </c>
      <c r="D5" s="2">
        <v>0.52414772727272729</v>
      </c>
      <c r="E5" s="2">
        <v>0.1067839002741523</v>
      </c>
      <c r="F5" s="2">
        <v>0.90645347017408007</v>
      </c>
      <c r="G5" s="2">
        <v>0.21356780054830449</v>
      </c>
      <c r="H5" s="2">
        <v>0.1000225272546644</v>
      </c>
      <c r="I5" s="2">
        <v>0.89997747274533557</v>
      </c>
      <c r="J5" s="2">
        <v>0.20004505450932891</v>
      </c>
      <c r="K5" s="2" t="s">
        <v>12</v>
      </c>
    </row>
    <row r="6" spans="1:11" x14ac:dyDescent="0.35">
      <c r="A6" s="2" t="s">
        <v>16</v>
      </c>
      <c r="B6" s="2">
        <v>369</v>
      </c>
      <c r="C6" s="2">
        <v>335</v>
      </c>
      <c r="D6" s="2">
        <v>0.52414772727272729</v>
      </c>
      <c r="E6" s="2">
        <v>0.1067839002741523</v>
      </c>
      <c r="F6" s="2">
        <v>0.90645347017408007</v>
      </c>
      <c r="G6" s="2">
        <v>0.21356780054830449</v>
      </c>
      <c r="H6" s="2">
        <v>0.1000225272546644</v>
      </c>
      <c r="I6" s="2">
        <v>0.89997747274533557</v>
      </c>
      <c r="J6" s="2">
        <v>0.20004505450932891</v>
      </c>
      <c r="K6" s="2" t="s">
        <v>12</v>
      </c>
    </row>
    <row r="7" spans="1:11" x14ac:dyDescent="0.35">
      <c r="A7" s="2" t="s">
        <v>17</v>
      </c>
      <c r="B7" s="2">
        <v>376</v>
      </c>
      <c r="C7" s="2">
        <v>328</v>
      </c>
      <c r="D7" s="2">
        <v>0.53409090909090906</v>
      </c>
      <c r="E7" s="2">
        <v>3.8211572417738697E-2</v>
      </c>
      <c r="F7" s="2">
        <v>0.9676470434726987</v>
      </c>
      <c r="G7" s="2">
        <v>7.6423144835477408E-2</v>
      </c>
      <c r="H7" s="2">
        <v>3.5220214636044078E-2</v>
      </c>
      <c r="I7" s="2">
        <v>0.96477978536395592</v>
      </c>
      <c r="J7" s="2">
        <v>7.0440429272088156E-2</v>
      </c>
      <c r="K7" s="2" t="s">
        <v>1</v>
      </c>
    </row>
    <row r="8" spans="1:11" x14ac:dyDescent="0.35">
      <c r="A8" s="2" t="s">
        <v>18</v>
      </c>
      <c r="B8" s="2">
        <v>365</v>
      </c>
      <c r="C8" s="2">
        <v>339</v>
      </c>
      <c r="D8" s="2">
        <v>0.51846590909090906</v>
      </c>
      <c r="E8" s="2">
        <v>0.17304251071291021</v>
      </c>
      <c r="F8" s="2">
        <v>0.84556710823239156</v>
      </c>
      <c r="G8" s="2">
        <v>0.34608502142582048</v>
      </c>
      <c r="H8" s="2">
        <v>0.16356481161757741</v>
      </c>
      <c r="I8" s="2">
        <v>0.83643518838242259</v>
      </c>
      <c r="J8" s="2">
        <v>0.32712962323515482</v>
      </c>
      <c r="K8" s="2" t="s">
        <v>12</v>
      </c>
    </row>
    <row r="9" spans="1:11" x14ac:dyDescent="0.35">
      <c r="A9" s="2" t="s">
        <v>19</v>
      </c>
      <c r="B9" s="2">
        <v>365</v>
      </c>
      <c r="C9" s="2">
        <v>339</v>
      </c>
      <c r="D9" s="2">
        <v>0.51846590909090906</v>
      </c>
      <c r="E9" s="2">
        <v>0.17304251071291021</v>
      </c>
      <c r="F9" s="2">
        <v>0.84556710823239156</v>
      </c>
      <c r="G9" s="2">
        <v>0.34608502142582048</v>
      </c>
      <c r="H9" s="2">
        <v>0.16356481161757741</v>
      </c>
      <c r="I9" s="2">
        <v>0.83643518838242259</v>
      </c>
      <c r="J9" s="2">
        <v>0.32712962323515482</v>
      </c>
      <c r="K9" s="2" t="s">
        <v>12</v>
      </c>
    </row>
    <row r="10" spans="1:11" x14ac:dyDescent="0.35">
      <c r="A10" s="2" t="s">
        <v>20</v>
      </c>
      <c r="B10" s="2">
        <v>330</v>
      </c>
      <c r="C10" s="2">
        <v>374</v>
      </c>
      <c r="D10" s="2">
        <v>0.46875</v>
      </c>
      <c r="E10" s="2">
        <v>0.955092866564618</v>
      </c>
      <c r="F10" s="2">
        <v>5.2515725500884958E-2</v>
      </c>
      <c r="G10" s="2">
        <v>0.1050314510017699</v>
      </c>
      <c r="H10" s="2">
        <v>0.95137278578049833</v>
      </c>
      <c r="I10" s="2">
        <v>4.8627214219501641E-2</v>
      </c>
      <c r="J10" s="2">
        <v>9.7254428439003338E-2</v>
      </c>
      <c r="K10" s="2" t="s">
        <v>12</v>
      </c>
    </row>
    <row r="11" spans="1:11" x14ac:dyDescent="0.35">
      <c r="A11" s="2" t="s">
        <v>21</v>
      </c>
      <c r="B11" s="2">
        <v>354</v>
      </c>
      <c r="C11" s="2">
        <v>350</v>
      </c>
      <c r="D11" s="2">
        <v>0.50284090909090906</v>
      </c>
      <c r="E11" s="2">
        <v>0.45499406440791129</v>
      </c>
      <c r="F11" s="2">
        <v>0.57472747643240507</v>
      </c>
      <c r="G11" s="2">
        <v>0.90998812881582258</v>
      </c>
      <c r="H11" s="2">
        <v>0.4400842274533634</v>
      </c>
      <c r="I11" s="2">
        <v>0.5599157725466366</v>
      </c>
      <c r="J11" s="2">
        <v>0.88016845490672679</v>
      </c>
      <c r="K11" s="2" t="s">
        <v>12</v>
      </c>
    </row>
    <row r="12" spans="1:11" x14ac:dyDescent="0.35">
      <c r="A12" s="2" t="s">
        <v>22</v>
      </c>
      <c r="B12" s="2">
        <v>367</v>
      </c>
      <c r="C12" s="2">
        <v>337</v>
      </c>
      <c r="D12" s="2">
        <v>0.52130681818181823</v>
      </c>
      <c r="E12" s="2">
        <v>0.1371961135641718</v>
      </c>
      <c r="F12" s="2">
        <v>0.87867863039430649</v>
      </c>
      <c r="G12" s="2">
        <v>0.27439222712834371</v>
      </c>
      <c r="H12" s="2">
        <v>0.12909752379197201</v>
      </c>
      <c r="I12" s="2">
        <v>0.87090247620802796</v>
      </c>
      <c r="J12" s="2">
        <v>0.25819504758394413</v>
      </c>
      <c r="K12" s="2" t="s">
        <v>12</v>
      </c>
    </row>
    <row r="13" spans="1:11" x14ac:dyDescent="0.35">
      <c r="A13" s="2" t="s">
        <v>23</v>
      </c>
      <c r="B13" s="2">
        <v>283</v>
      </c>
      <c r="C13" s="2">
        <v>421</v>
      </c>
      <c r="D13" s="2">
        <v>0.40198863636363641</v>
      </c>
      <c r="E13" s="2">
        <v>0.99999992614603173</v>
      </c>
      <c r="F13" s="2">
        <v>1.113695060809213E-7</v>
      </c>
      <c r="G13" s="2">
        <v>2.2273901216184249E-7</v>
      </c>
      <c r="H13" s="2">
        <v>0.99999990092814461</v>
      </c>
      <c r="I13" s="2">
        <v>9.9071855408947248E-8</v>
      </c>
      <c r="J13" s="2">
        <v>1.9814371077231391E-7</v>
      </c>
      <c r="K13" s="2" t="s">
        <v>2</v>
      </c>
    </row>
    <row r="14" spans="1:11" x14ac:dyDescent="0.35">
      <c r="A14" s="2" t="s">
        <v>24</v>
      </c>
      <c r="B14" s="2">
        <v>271</v>
      </c>
      <c r="C14" s="2">
        <v>433</v>
      </c>
      <c r="D14" s="2">
        <v>0.38494318181818182</v>
      </c>
      <c r="E14" s="2">
        <v>0.99999999965971842</v>
      </c>
      <c r="F14" s="2">
        <v>5.5012734621003682E-10</v>
      </c>
      <c r="G14" s="2">
        <v>1.1002546924200741E-9</v>
      </c>
      <c r="H14" s="2">
        <v>0.99999999948793916</v>
      </c>
      <c r="I14" s="2">
        <v>5.1206087656329149E-10</v>
      </c>
      <c r="J14" s="2">
        <v>1.0241216763517971E-9</v>
      </c>
      <c r="K14" s="2" t="s">
        <v>2</v>
      </c>
    </row>
    <row r="15" spans="1:11" x14ac:dyDescent="0.35">
      <c r="A15" s="2" t="s">
        <v>25</v>
      </c>
      <c r="B15" s="2">
        <v>424</v>
      </c>
      <c r="C15" s="2">
        <v>280</v>
      </c>
      <c r="D15" s="2">
        <v>0.60227272727272729</v>
      </c>
      <c r="E15" s="2">
        <v>3.1923094571434119E-8</v>
      </c>
      <c r="F15" s="2">
        <v>0.99999997919254269</v>
      </c>
      <c r="G15" s="2">
        <v>6.3846189142868239E-8</v>
      </c>
      <c r="H15" s="2">
        <v>2.8621812142581859E-8</v>
      </c>
      <c r="I15" s="2">
        <v>0.99999997137818786</v>
      </c>
      <c r="J15" s="2">
        <v>5.7243624285163719E-8</v>
      </c>
      <c r="K15" s="2" t="s">
        <v>1</v>
      </c>
    </row>
    <row r="16" spans="1:11" x14ac:dyDescent="0.35">
      <c r="A16" s="2" t="s">
        <v>26</v>
      </c>
      <c r="B16" s="2">
        <v>335</v>
      </c>
      <c r="C16" s="2">
        <v>369</v>
      </c>
      <c r="D16" s="2">
        <v>0.47585227272727271</v>
      </c>
      <c r="E16" s="2">
        <v>0.90645347017408007</v>
      </c>
      <c r="F16" s="2">
        <v>0.1067839002741523</v>
      </c>
      <c r="G16" s="2">
        <v>0.21356780054830449</v>
      </c>
      <c r="H16" s="2">
        <v>0.89997747274533557</v>
      </c>
      <c r="I16" s="2">
        <v>0.1000225272546645</v>
      </c>
      <c r="J16" s="2">
        <v>0.20004505450932891</v>
      </c>
      <c r="K16" s="2" t="s">
        <v>12</v>
      </c>
    </row>
    <row r="17" spans="1:11" x14ac:dyDescent="0.35">
      <c r="A17" s="2" t="s">
        <v>27</v>
      </c>
      <c r="B17" s="2">
        <v>335</v>
      </c>
      <c r="C17" s="2">
        <v>369</v>
      </c>
      <c r="D17" s="2">
        <v>0.47585227272727271</v>
      </c>
      <c r="E17" s="2">
        <v>0.90645347017408007</v>
      </c>
      <c r="F17" s="2">
        <v>0.1067839002741523</v>
      </c>
      <c r="G17" s="2">
        <v>0.21356780054830449</v>
      </c>
      <c r="H17" s="2">
        <v>0.89997747274533557</v>
      </c>
      <c r="I17" s="2">
        <v>0.1000225272546645</v>
      </c>
      <c r="J17" s="2">
        <v>0.20004505450932891</v>
      </c>
      <c r="K17" s="2" t="s">
        <v>12</v>
      </c>
    </row>
    <row r="18" spans="1:11" x14ac:dyDescent="0.35">
      <c r="A18" s="2" t="s">
        <v>28</v>
      </c>
      <c r="B18" s="2">
        <v>380</v>
      </c>
      <c r="C18" s="2">
        <v>324</v>
      </c>
      <c r="D18" s="2">
        <v>0.53977272727272729</v>
      </c>
      <c r="E18" s="2">
        <v>1.9053548193704001E-2</v>
      </c>
      <c r="F18" s="2">
        <v>0.98419030824746367</v>
      </c>
      <c r="G18" s="2">
        <v>3.8107096387408002E-2</v>
      </c>
      <c r="H18" s="2">
        <v>1.7404239405933501E-2</v>
      </c>
      <c r="I18" s="2">
        <v>0.9825957605940665</v>
      </c>
      <c r="J18" s="2">
        <v>3.4808478811866987E-2</v>
      </c>
      <c r="K18" s="2" t="s">
        <v>1</v>
      </c>
    </row>
    <row r="19" spans="1:11" x14ac:dyDescent="0.35">
      <c r="A19" s="2" t="s">
        <v>29</v>
      </c>
      <c r="B19" s="2">
        <v>279</v>
      </c>
      <c r="C19" s="2">
        <v>425</v>
      </c>
      <c r="D19" s="2">
        <v>0.39630681818181818</v>
      </c>
      <c r="E19" s="2">
        <v>0.99999998651578603</v>
      </c>
      <c r="F19" s="2">
        <v>2.080745730839368E-8</v>
      </c>
      <c r="G19" s="2">
        <v>4.1614914616787348E-8</v>
      </c>
      <c r="H19" s="2">
        <v>0.99999998128655132</v>
      </c>
      <c r="I19" s="2">
        <v>1.8713448634302529E-8</v>
      </c>
      <c r="J19" s="2">
        <v>3.7426897359083E-8</v>
      </c>
      <c r="K19" s="2" t="s">
        <v>2</v>
      </c>
    </row>
    <row r="20" spans="1:11" x14ac:dyDescent="0.35">
      <c r="A20" s="2" t="s">
        <v>30</v>
      </c>
      <c r="B20" s="2">
        <v>223</v>
      </c>
      <c r="C20" s="2">
        <v>481</v>
      </c>
      <c r="D20" s="2">
        <v>0.31676136363636359</v>
      </c>
      <c r="E20" s="2">
        <v>1</v>
      </c>
      <c r="F20" s="2">
        <v>5.7444478971644066E-23</v>
      </c>
      <c r="G20" s="2">
        <v>1.1488895794328811E-22</v>
      </c>
      <c r="H20" s="2">
        <v>1</v>
      </c>
      <c r="I20" s="2">
        <v>1.19420978376642E-22</v>
      </c>
      <c r="J20" s="2">
        <v>0</v>
      </c>
      <c r="K20" s="2" t="s">
        <v>2</v>
      </c>
    </row>
    <row r="21" spans="1:11" x14ac:dyDescent="0.35">
      <c r="A21" s="2" t="s">
        <v>31</v>
      </c>
      <c r="B21" s="2">
        <v>252</v>
      </c>
      <c r="C21" s="2">
        <v>452</v>
      </c>
      <c r="D21" s="2">
        <v>0.35795454545454553</v>
      </c>
      <c r="E21" s="2">
        <v>0.99999999999998801</v>
      </c>
      <c r="F21" s="2">
        <v>2.1659689066834469E-14</v>
      </c>
      <c r="G21" s="2">
        <v>4.3319378133668937E-14</v>
      </c>
      <c r="H21" s="2">
        <v>0.99999999999997613</v>
      </c>
      <c r="I21" s="2">
        <v>2.3901309250039109E-14</v>
      </c>
      <c r="J21" s="2">
        <v>4.7739590058881731E-14</v>
      </c>
      <c r="K21" s="2" t="s">
        <v>2</v>
      </c>
    </row>
    <row r="22" spans="1:11" x14ac:dyDescent="0.35">
      <c r="A22" s="2" t="s">
        <v>32</v>
      </c>
      <c r="B22" s="2">
        <v>268</v>
      </c>
      <c r="C22" s="2">
        <v>436</v>
      </c>
      <c r="D22" s="2">
        <v>0.38068181818181818</v>
      </c>
      <c r="E22" s="2">
        <v>0.99999999992226063</v>
      </c>
      <c r="F22" s="2">
        <v>1.279181887347529E-10</v>
      </c>
      <c r="G22" s="2">
        <v>2.5583637746950579E-10</v>
      </c>
      <c r="H22" s="2">
        <v>0.99999999987879273</v>
      </c>
      <c r="I22" s="2">
        <v>1.212072519999565E-10</v>
      </c>
      <c r="J22" s="2">
        <v>2.4241453289164378E-10</v>
      </c>
      <c r="K22" s="2" t="s">
        <v>2</v>
      </c>
    </row>
    <row r="23" spans="1:11" x14ac:dyDescent="0.35">
      <c r="A23" s="2" t="s">
        <v>33</v>
      </c>
      <c r="B23" s="2">
        <v>229</v>
      </c>
      <c r="C23" s="2">
        <v>475</v>
      </c>
      <c r="D23" s="2">
        <v>0.32528409090909088</v>
      </c>
      <c r="E23" s="2">
        <v>1</v>
      </c>
      <c r="F23" s="2">
        <v>2.527851327681256E-21</v>
      </c>
      <c r="G23" s="2">
        <v>5.0557026553625112E-21</v>
      </c>
      <c r="H23" s="2">
        <v>1</v>
      </c>
      <c r="I23" s="2">
        <v>9.1795622358505517E-21</v>
      </c>
      <c r="J23" s="2">
        <v>0</v>
      </c>
      <c r="K23" s="2" t="s">
        <v>2</v>
      </c>
    </row>
    <row r="24" spans="1:11" x14ac:dyDescent="0.35">
      <c r="A24" s="2" t="s">
        <v>34</v>
      </c>
      <c r="B24" s="2">
        <v>171</v>
      </c>
      <c r="C24" s="2">
        <v>533</v>
      </c>
      <c r="D24" s="2">
        <v>0.24289772727272729</v>
      </c>
      <c r="E24" s="2">
        <v>1</v>
      </c>
      <c r="F24" s="2">
        <v>1.948076402871339E-44</v>
      </c>
      <c r="G24" s="2">
        <v>3.8961528057426781E-44</v>
      </c>
      <c r="H24" s="2">
        <v>1</v>
      </c>
      <c r="I24" s="2">
        <v>1.1052324561334901E-42</v>
      </c>
      <c r="J24" s="2">
        <v>0</v>
      </c>
      <c r="K24" s="2" t="s">
        <v>2</v>
      </c>
    </row>
    <row r="25" spans="1:11" x14ac:dyDescent="0.35">
      <c r="A25" s="2" t="s">
        <v>35</v>
      </c>
      <c r="B25" s="2">
        <v>281</v>
      </c>
      <c r="C25" s="2">
        <v>423</v>
      </c>
      <c r="D25" s="2">
        <v>0.39914772727272729</v>
      </c>
      <c r="E25" s="2">
        <v>0.99999996807690539</v>
      </c>
      <c r="F25" s="2">
        <v>4.8695444035950358E-8</v>
      </c>
      <c r="G25" s="2">
        <v>9.7390888071900728E-8</v>
      </c>
      <c r="H25" s="2">
        <v>0.99999995646453665</v>
      </c>
      <c r="I25" s="2">
        <v>4.3535463367751409E-8</v>
      </c>
      <c r="J25" s="2">
        <v>8.7070926690913097E-8</v>
      </c>
      <c r="K25" s="2" t="s">
        <v>2</v>
      </c>
    </row>
    <row r="26" spans="1:11" x14ac:dyDescent="0.35">
      <c r="A26" s="2" t="s">
        <v>36</v>
      </c>
      <c r="B26" s="2">
        <v>402</v>
      </c>
      <c r="C26" s="2">
        <v>302</v>
      </c>
      <c r="D26" s="2">
        <v>0.57102272727272729</v>
      </c>
      <c r="E26" s="2">
        <v>9.3132563399741616E-5</v>
      </c>
      <c r="F26" s="2">
        <v>0.99993127286383343</v>
      </c>
      <c r="G26" s="2">
        <v>1.8626512679948321E-4</v>
      </c>
      <c r="H26" s="2">
        <v>8.1986969491132378E-5</v>
      </c>
      <c r="I26" s="2">
        <v>0.99991801303050887</v>
      </c>
      <c r="J26" s="2">
        <v>1.6397393898226481E-4</v>
      </c>
      <c r="K26" s="2" t="s">
        <v>1</v>
      </c>
    </row>
    <row r="27" spans="1:11" x14ac:dyDescent="0.35">
      <c r="A27" s="2" t="s">
        <v>37</v>
      </c>
      <c r="B27" s="2">
        <v>476</v>
      </c>
      <c r="C27" s="2">
        <v>228</v>
      </c>
      <c r="D27" s="2">
        <v>0.67613636363636365</v>
      </c>
      <c r="E27" s="2">
        <v>2.527851327681256E-21</v>
      </c>
      <c r="F27" s="2">
        <v>1</v>
      </c>
      <c r="G27" s="2">
        <v>5.0557026553625112E-21</v>
      </c>
      <c r="H27" s="2">
        <v>0</v>
      </c>
      <c r="I27" s="2">
        <v>1</v>
      </c>
      <c r="J27" s="2">
        <v>0</v>
      </c>
      <c r="K27" s="2" t="s">
        <v>1</v>
      </c>
    </row>
    <row r="28" spans="1:11" x14ac:dyDescent="0.35">
      <c r="A28" s="2" t="s">
        <v>38</v>
      </c>
      <c r="B28" s="2">
        <v>416</v>
      </c>
      <c r="C28" s="2">
        <v>288</v>
      </c>
      <c r="D28" s="2">
        <v>0.59090909090909094</v>
      </c>
      <c r="E28" s="2">
        <v>7.9707961039300455E-7</v>
      </c>
      <c r="F28" s="2">
        <v>0.99999945612132479</v>
      </c>
      <c r="G28" s="2">
        <v>1.5941592207860091E-6</v>
      </c>
      <c r="H28" s="2">
        <v>7.028967590194668E-7</v>
      </c>
      <c r="I28" s="2">
        <v>0.99999929710324098</v>
      </c>
      <c r="J28" s="2">
        <v>1.405793518038934E-6</v>
      </c>
      <c r="K28" s="2" t="s">
        <v>1</v>
      </c>
    </row>
    <row r="29" spans="1:11" x14ac:dyDescent="0.35">
      <c r="A29" s="2" t="s">
        <v>39</v>
      </c>
      <c r="B29" s="2">
        <v>376</v>
      </c>
      <c r="C29" s="2">
        <v>328</v>
      </c>
      <c r="D29" s="2">
        <v>0.53409090909090906</v>
      </c>
      <c r="E29" s="2">
        <v>3.8211572417738697E-2</v>
      </c>
      <c r="F29" s="2">
        <v>0.9676470434726987</v>
      </c>
      <c r="G29" s="2">
        <v>7.6423144835477408E-2</v>
      </c>
      <c r="H29" s="2">
        <v>3.5220214636044078E-2</v>
      </c>
      <c r="I29" s="2">
        <v>0.96477978536395592</v>
      </c>
      <c r="J29" s="2">
        <v>7.0440429272088156E-2</v>
      </c>
      <c r="K29" s="2" t="s">
        <v>1</v>
      </c>
    </row>
    <row r="30" spans="1:11" x14ac:dyDescent="0.35">
      <c r="A30" s="2" t="s">
        <v>40</v>
      </c>
      <c r="B30" s="2">
        <v>215</v>
      </c>
      <c r="C30" s="2">
        <v>489</v>
      </c>
      <c r="D30" s="2">
        <v>0.30539772727272729</v>
      </c>
      <c r="E30" s="2">
        <v>1</v>
      </c>
      <c r="F30" s="2">
        <v>9.6049905137288658E-26</v>
      </c>
      <c r="G30" s="2">
        <v>1.9209981027457729E-25</v>
      </c>
      <c r="H30" s="2">
        <v>1</v>
      </c>
      <c r="I30" s="2">
        <v>2.6664826888956972E-25</v>
      </c>
      <c r="J30" s="2">
        <v>0</v>
      </c>
      <c r="K30" s="2" t="s">
        <v>2</v>
      </c>
    </row>
    <row r="31" spans="1:11" x14ac:dyDescent="0.35">
      <c r="A31" s="2" t="s">
        <v>41</v>
      </c>
      <c r="B31" s="2">
        <v>358</v>
      </c>
      <c r="C31" s="2">
        <v>346</v>
      </c>
      <c r="D31" s="2">
        <v>0.50852272727272729</v>
      </c>
      <c r="E31" s="2">
        <v>0.33924030681285811</v>
      </c>
      <c r="F31" s="2">
        <v>0.68790182259992472</v>
      </c>
      <c r="G31" s="2">
        <v>0.6784806136257161</v>
      </c>
      <c r="H31" s="2">
        <v>0.32553831703891678</v>
      </c>
      <c r="I31" s="2">
        <v>0.67446168296108322</v>
      </c>
      <c r="J31" s="2">
        <v>0.65107663407783356</v>
      </c>
      <c r="K31" s="2" t="s">
        <v>12</v>
      </c>
    </row>
    <row r="32" spans="1:11" x14ac:dyDescent="0.35">
      <c r="A32" s="2" t="s">
        <v>42</v>
      </c>
      <c r="B32" s="2">
        <v>315</v>
      </c>
      <c r="C32" s="2">
        <v>389</v>
      </c>
      <c r="D32" s="2">
        <v>0.44744318181818182</v>
      </c>
      <c r="E32" s="2">
        <v>0.99766543951883324</v>
      </c>
      <c r="F32" s="2">
        <v>2.9486412910011898E-3</v>
      </c>
      <c r="G32" s="2">
        <v>5.8972825820023797E-3</v>
      </c>
      <c r="H32" s="2">
        <v>0.99735628298165491</v>
      </c>
      <c r="I32" s="2">
        <v>2.6437170183450541E-3</v>
      </c>
      <c r="J32" s="2">
        <v>5.2874340366901862E-3</v>
      </c>
      <c r="K32" s="2" t="s">
        <v>2</v>
      </c>
    </row>
    <row r="33" spans="1:11" x14ac:dyDescent="0.35">
      <c r="A33" s="2" t="s">
        <v>43</v>
      </c>
      <c r="B33" s="2">
        <v>322</v>
      </c>
      <c r="C33" s="2">
        <v>382</v>
      </c>
      <c r="D33" s="2">
        <v>0.45738636363636359</v>
      </c>
      <c r="E33" s="2">
        <v>0.98928135886028723</v>
      </c>
      <c r="F33" s="2">
        <v>1.305113666870847E-2</v>
      </c>
      <c r="G33" s="2">
        <v>2.610227333741693E-2</v>
      </c>
      <c r="H33" s="2">
        <v>0.98813074237497267</v>
      </c>
      <c r="I33" s="2">
        <v>1.186925762502729E-2</v>
      </c>
      <c r="J33" s="2">
        <v>2.3738515250054659E-2</v>
      </c>
      <c r="K33" s="2" t="s">
        <v>2</v>
      </c>
    </row>
    <row r="34" spans="1:11" x14ac:dyDescent="0.35">
      <c r="A34" s="2" t="s">
        <v>44</v>
      </c>
      <c r="B34" s="2">
        <v>358</v>
      </c>
      <c r="C34" s="2">
        <v>346</v>
      </c>
      <c r="D34" s="2">
        <v>0.50852272727272729</v>
      </c>
      <c r="E34" s="2">
        <v>0.33924030681285811</v>
      </c>
      <c r="F34" s="2">
        <v>0.68790182259992472</v>
      </c>
      <c r="G34" s="2">
        <v>0.6784806136257161</v>
      </c>
      <c r="H34" s="2">
        <v>0.32553831703891678</v>
      </c>
      <c r="I34" s="2">
        <v>0.67446168296108322</v>
      </c>
      <c r="J34" s="2">
        <v>0.65107663407783356</v>
      </c>
      <c r="K34" s="2" t="s">
        <v>12</v>
      </c>
    </row>
    <row r="35" spans="1:11" x14ac:dyDescent="0.35">
      <c r="A35" s="2" t="s">
        <v>45</v>
      </c>
      <c r="B35" s="2">
        <v>272</v>
      </c>
      <c r="C35" s="2">
        <v>432</v>
      </c>
      <c r="D35" s="2">
        <v>0.38636363636363641</v>
      </c>
      <c r="E35" s="2">
        <v>0.99999999944987261</v>
      </c>
      <c r="F35" s="2">
        <v>8.8418329764702732E-10</v>
      </c>
      <c r="G35" s="2">
        <v>1.7683665952940551E-9</v>
      </c>
      <c r="H35" s="2">
        <v>0.99999999918135174</v>
      </c>
      <c r="I35" s="2">
        <v>8.1864822514841845E-10</v>
      </c>
      <c r="J35" s="2">
        <v>1.6372965205846411E-9</v>
      </c>
      <c r="K35" s="2" t="s">
        <v>2</v>
      </c>
    </row>
    <row r="36" spans="1:11" x14ac:dyDescent="0.35">
      <c r="A36" s="2" t="s">
        <v>46</v>
      </c>
      <c r="B36" s="2">
        <v>251</v>
      </c>
      <c r="C36" s="2">
        <v>453</v>
      </c>
      <c r="D36" s="2">
        <v>0.35653409090909088</v>
      </c>
      <c r="E36" s="2">
        <v>0.99999999999999645</v>
      </c>
      <c r="F36" s="2">
        <v>6.5633437089035283E-15</v>
      </c>
      <c r="G36" s="2">
        <v>1.312668741780706E-14</v>
      </c>
      <c r="H36" s="2">
        <v>0.99999999999998668</v>
      </c>
      <c r="I36" s="2">
        <v>1.3373566472415501E-14</v>
      </c>
      <c r="J36" s="2">
        <v>2.664535259100376E-14</v>
      </c>
      <c r="K36" s="2" t="s">
        <v>2</v>
      </c>
    </row>
    <row r="37" spans="1:11" x14ac:dyDescent="0.35">
      <c r="A37" s="2" t="s">
        <v>47</v>
      </c>
      <c r="B37" s="2">
        <v>258</v>
      </c>
      <c r="C37" s="2">
        <v>446</v>
      </c>
      <c r="D37" s="2">
        <v>0.36647727272727271</v>
      </c>
      <c r="E37" s="2">
        <v>0.99999999999961464</v>
      </c>
      <c r="F37" s="2">
        <v>6.7296703835153783E-13</v>
      </c>
      <c r="G37" s="2">
        <v>1.3459340767030761E-12</v>
      </c>
      <c r="H37" s="2">
        <v>0.99999999999930733</v>
      </c>
      <c r="I37" s="2">
        <v>6.9263282631854555E-13</v>
      </c>
      <c r="J37" s="2">
        <v>1.3853362901272699E-12</v>
      </c>
      <c r="K37" s="2" t="s">
        <v>2</v>
      </c>
    </row>
    <row r="38" spans="1:11" x14ac:dyDescent="0.35">
      <c r="A38" s="2" t="s">
        <v>48</v>
      </c>
      <c r="B38" s="2">
        <v>543</v>
      </c>
      <c r="C38" s="2">
        <v>161</v>
      </c>
      <c r="D38" s="2">
        <v>0.77130681818181823</v>
      </c>
      <c r="E38" s="2">
        <v>1.500360979571102E-49</v>
      </c>
      <c r="F38" s="2">
        <v>1</v>
      </c>
      <c r="G38" s="2">
        <v>3.0007219591422051E-49</v>
      </c>
      <c r="H38" s="2">
        <v>0</v>
      </c>
      <c r="I38" s="2">
        <v>1</v>
      </c>
      <c r="J38" s="2">
        <v>0</v>
      </c>
      <c r="K38" s="2" t="s">
        <v>1</v>
      </c>
    </row>
    <row r="39" spans="1:11" x14ac:dyDescent="0.35">
      <c r="A39" s="2" t="s">
        <v>49</v>
      </c>
      <c r="B39" s="2">
        <v>479</v>
      </c>
      <c r="C39" s="2">
        <v>225</v>
      </c>
      <c r="D39" s="2">
        <v>0.68039772727272729</v>
      </c>
      <c r="E39" s="2">
        <v>2.66113438101818E-22</v>
      </c>
      <c r="F39" s="2">
        <v>1</v>
      </c>
      <c r="G39" s="2">
        <v>5.3222687620363591E-22</v>
      </c>
      <c r="H39" s="2">
        <v>0</v>
      </c>
      <c r="I39" s="2">
        <v>1</v>
      </c>
      <c r="J39" s="2">
        <v>0</v>
      </c>
      <c r="K39" s="2" t="s">
        <v>1</v>
      </c>
    </row>
    <row r="40" spans="1:11" x14ac:dyDescent="0.35">
      <c r="A40" s="2" t="s">
        <v>50</v>
      </c>
      <c r="B40" s="2">
        <v>319</v>
      </c>
      <c r="C40" s="2">
        <v>385</v>
      </c>
      <c r="D40" s="2">
        <v>0.453125</v>
      </c>
      <c r="E40" s="2">
        <v>0.99424414898732705</v>
      </c>
      <c r="F40" s="2">
        <v>7.1183650161997609E-3</v>
      </c>
      <c r="G40" s="2">
        <v>1.423673003239952E-2</v>
      </c>
      <c r="H40" s="2">
        <v>0.99356720935272191</v>
      </c>
      <c r="I40" s="2">
        <v>6.4327906472780392E-3</v>
      </c>
      <c r="J40" s="2">
        <v>1.286558129455617E-2</v>
      </c>
      <c r="K40" s="2" t="s">
        <v>2</v>
      </c>
    </row>
    <row r="41" spans="1:11" x14ac:dyDescent="0.35">
      <c r="A41" s="2" t="s">
        <v>51</v>
      </c>
      <c r="B41" s="2">
        <v>310</v>
      </c>
      <c r="C41" s="2">
        <v>394</v>
      </c>
      <c r="D41" s="2">
        <v>0.44034090909090912</v>
      </c>
      <c r="E41" s="2">
        <v>0.99932957240549158</v>
      </c>
      <c r="F41" s="2">
        <v>8.6972830393244492E-4</v>
      </c>
      <c r="G41" s="2">
        <v>1.7394566078648901E-3</v>
      </c>
      <c r="H41" s="2">
        <v>0.99922689826145961</v>
      </c>
      <c r="I41" s="2">
        <v>7.7310173854037219E-4</v>
      </c>
      <c r="J41" s="2">
        <v>1.546203477080788E-3</v>
      </c>
      <c r="K41" s="2" t="s">
        <v>2</v>
      </c>
    </row>
    <row r="42" spans="1:11" x14ac:dyDescent="0.35">
      <c r="A42" s="2" t="s">
        <v>52</v>
      </c>
      <c r="B42" s="2">
        <v>454</v>
      </c>
      <c r="C42" s="2">
        <v>250</v>
      </c>
      <c r="D42" s="2">
        <v>0.64488636363636365</v>
      </c>
      <c r="E42" s="2">
        <v>6.5633437089035283E-15</v>
      </c>
      <c r="F42" s="2">
        <v>0.99999999999999645</v>
      </c>
      <c r="G42" s="2">
        <v>1.312668741780706E-14</v>
      </c>
      <c r="H42" s="2">
        <v>7.4384942649885488E-15</v>
      </c>
      <c r="I42" s="2">
        <v>0.99999999999999256</v>
      </c>
      <c r="J42" s="2">
        <v>1.4876988529977101E-14</v>
      </c>
      <c r="K42" s="2" t="s">
        <v>1</v>
      </c>
    </row>
    <row r="43" spans="1:11" x14ac:dyDescent="0.35">
      <c r="A43" s="2" t="s">
        <v>53</v>
      </c>
      <c r="B43" s="2">
        <v>411</v>
      </c>
      <c r="C43" s="2">
        <v>293</v>
      </c>
      <c r="D43" s="2">
        <v>0.58380681818181823</v>
      </c>
      <c r="E43" s="2">
        <v>4.9504061134201882E-6</v>
      </c>
      <c r="F43" s="2">
        <v>0.99999652535152628</v>
      </c>
      <c r="G43" s="2">
        <v>9.9008122268403763E-6</v>
      </c>
      <c r="H43" s="2">
        <v>4.3479729709972048E-6</v>
      </c>
      <c r="I43" s="2">
        <v>0.999995652027029</v>
      </c>
      <c r="J43" s="2">
        <v>8.6959459419944096E-6</v>
      </c>
      <c r="K43" s="2" t="s">
        <v>1</v>
      </c>
    </row>
    <row r="44" spans="1:11" x14ac:dyDescent="0.35">
      <c r="A44" s="2" t="s">
        <v>54</v>
      </c>
      <c r="B44" s="2">
        <v>470</v>
      </c>
      <c r="C44" s="2">
        <v>234</v>
      </c>
      <c r="D44" s="2">
        <v>0.66761363636363635</v>
      </c>
      <c r="E44" s="2">
        <v>1.918859589311014E-19</v>
      </c>
      <c r="F44" s="2">
        <v>1</v>
      </c>
      <c r="G44" s="2">
        <v>3.837719178622028E-19</v>
      </c>
      <c r="H44" s="2">
        <v>0</v>
      </c>
      <c r="I44" s="2">
        <v>1</v>
      </c>
      <c r="J44" s="2">
        <v>0</v>
      </c>
      <c r="K44" s="2" t="s">
        <v>1</v>
      </c>
    </row>
    <row r="45" spans="1:11" x14ac:dyDescent="0.35">
      <c r="A45" s="2" t="s">
        <v>55</v>
      </c>
      <c r="B45" s="2">
        <v>358</v>
      </c>
      <c r="C45" s="2">
        <v>346</v>
      </c>
      <c r="D45" s="2">
        <v>0.50852272727272729</v>
      </c>
      <c r="E45" s="2">
        <v>0.33924030681285811</v>
      </c>
      <c r="F45" s="2">
        <v>0.68790182259992472</v>
      </c>
      <c r="G45" s="2">
        <v>0.6784806136257161</v>
      </c>
      <c r="H45" s="2">
        <v>0.32553831703891678</v>
      </c>
      <c r="I45" s="2">
        <v>0.67446168296108322</v>
      </c>
      <c r="J45" s="2">
        <v>0.65107663407783356</v>
      </c>
      <c r="K45" s="2" t="s">
        <v>12</v>
      </c>
    </row>
    <row r="46" spans="1:11" x14ac:dyDescent="0.35">
      <c r="A46" s="2" t="s">
        <v>56</v>
      </c>
      <c r="B46" s="2">
        <v>291</v>
      </c>
      <c r="C46" s="2">
        <v>413</v>
      </c>
      <c r="D46" s="2">
        <v>0.41335227272727271</v>
      </c>
      <c r="E46" s="2">
        <v>0.99999831688327856</v>
      </c>
      <c r="F46" s="2">
        <v>2.425141220284132E-6</v>
      </c>
      <c r="G46" s="2">
        <v>4.8502824405682632E-6</v>
      </c>
      <c r="H46" s="2">
        <v>0.99999786766127818</v>
      </c>
      <c r="I46" s="2">
        <v>2.1323387218256759E-6</v>
      </c>
      <c r="J46" s="2">
        <v>4.2646774436327917E-6</v>
      </c>
      <c r="K46" s="2" t="s">
        <v>2</v>
      </c>
    </row>
    <row r="47" spans="1:11" x14ac:dyDescent="0.35">
      <c r="A47" s="2" t="s">
        <v>57</v>
      </c>
      <c r="B47" s="2">
        <v>566</v>
      </c>
      <c r="C47" s="2">
        <v>138</v>
      </c>
      <c r="D47" s="2">
        <v>0.80397727272727271</v>
      </c>
      <c r="E47" s="2">
        <v>1.1679391231761289E-62</v>
      </c>
      <c r="F47" s="2">
        <v>1</v>
      </c>
      <c r="G47" s="2">
        <v>2.3358782463522569E-62</v>
      </c>
      <c r="H47" s="2">
        <v>0</v>
      </c>
      <c r="I47" s="2">
        <v>1</v>
      </c>
      <c r="J47" s="2">
        <v>0</v>
      </c>
      <c r="K47" s="2" t="s">
        <v>1</v>
      </c>
    </row>
    <row r="48" spans="1:11" x14ac:dyDescent="0.35">
      <c r="A48" s="2" t="s">
        <v>58</v>
      </c>
      <c r="B48" s="2">
        <v>476</v>
      </c>
      <c r="C48" s="2">
        <v>228</v>
      </c>
      <c r="D48" s="2">
        <v>0.67613636363636365</v>
      </c>
      <c r="E48" s="2">
        <v>2.527851327681256E-21</v>
      </c>
      <c r="F48" s="2">
        <v>1</v>
      </c>
      <c r="G48" s="2">
        <v>5.0557026553625112E-21</v>
      </c>
      <c r="H48" s="2">
        <v>0</v>
      </c>
      <c r="I48" s="2">
        <v>1</v>
      </c>
      <c r="J48" s="2">
        <v>0</v>
      </c>
      <c r="K48" s="2" t="s">
        <v>1</v>
      </c>
    </row>
    <row r="49" spans="1:11" x14ac:dyDescent="0.35">
      <c r="A49" s="2" t="s">
        <v>59</v>
      </c>
      <c r="B49" s="2">
        <v>598</v>
      </c>
      <c r="C49" s="2">
        <v>106</v>
      </c>
      <c r="D49" s="2">
        <v>0.84943181818181823</v>
      </c>
      <c r="E49" s="2">
        <v>2.1086597790866719E-84</v>
      </c>
      <c r="F49" s="2">
        <v>1</v>
      </c>
      <c r="G49" s="2">
        <v>4.2173195581733448E-84</v>
      </c>
      <c r="H49" s="2">
        <v>0</v>
      </c>
      <c r="I49" s="2">
        <v>1</v>
      </c>
      <c r="J49" s="2">
        <v>0</v>
      </c>
      <c r="K49" s="2" t="s">
        <v>1</v>
      </c>
    </row>
    <row r="50" spans="1:11" x14ac:dyDescent="0.35">
      <c r="A50" s="2" t="s">
        <v>60</v>
      </c>
      <c r="B50" s="2">
        <v>323</v>
      </c>
      <c r="C50" s="2">
        <v>381</v>
      </c>
      <c r="D50" s="2">
        <v>0.45880681818181818</v>
      </c>
      <c r="E50" s="2">
        <v>0.9869488633312915</v>
      </c>
      <c r="F50" s="2">
        <v>1.5809691752536308E-2</v>
      </c>
      <c r="G50" s="2">
        <v>3.1619383505072617E-2</v>
      </c>
      <c r="H50" s="2">
        <v>0.98559063337486219</v>
      </c>
      <c r="I50" s="2">
        <v>1.440936662513778E-2</v>
      </c>
      <c r="J50" s="2">
        <v>2.8818733250275619E-2</v>
      </c>
      <c r="K50" s="2" t="s">
        <v>2</v>
      </c>
    </row>
    <row r="51" spans="1:11" x14ac:dyDescent="0.35">
      <c r="A51" s="2" t="s">
        <v>61</v>
      </c>
      <c r="B51" s="2">
        <v>402</v>
      </c>
      <c r="C51" s="2">
        <v>302</v>
      </c>
      <c r="D51" s="2">
        <v>0.57102272727272729</v>
      </c>
      <c r="E51" s="2">
        <v>9.3132563399741616E-5</v>
      </c>
      <c r="F51" s="2">
        <v>0.99993127286383343</v>
      </c>
      <c r="G51" s="2">
        <v>1.8626512679948321E-4</v>
      </c>
      <c r="H51" s="2">
        <v>8.1986969491132378E-5</v>
      </c>
      <c r="I51" s="2">
        <v>0.99991801303050887</v>
      </c>
      <c r="J51" s="2">
        <v>1.6397393898226481E-4</v>
      </c>
      <c r="K51" s="2" t="s">
        <v>1</v>
      </c>
    </row>
    <row r="52" spans="1:11" x14ac:dyDescent="0.35">
      <c r="A52" s="2" t="s">
        <v>62</v>
      </c>
      <c r="B52" s="2">
        <v>575</v>
      </c>
      <c r="C52" s="2">
        <v>129</v>
      </c>
      <c r="D52" s="2">
        <v>0.81676136363636365</v>
      </c>
      <c r="E52" s="2">
        <v>2.454723128522135E-68</v>
      </c>
      <c r="F52" s="2">
        <v>1</v>
      </c>
      <c r="G52" s="2">
        <v>4.9094462570442692E-68</v>
      </c>
      <c r="H52" s="2">
        <v>0</v>
      </c>
      <c r="I52" s="2">
        <v>1</v>
      </c>
      <c r="J52" s="2">
        <v>0</v>
      </c>
      <c r="K52" s="2" t="s">
        <v>1</v>
      </c>
    </row>
    <row r="53" spans="1:11" x14ac:dyDescent="0.35">
      <c r="A53" s="2" t="s">
        <v>63</v>
      </c>
      <c r="B53" s="2">
        <v>511</v>
      </c>
      <c r="C53" s="2">
        <v>193</v>
      </c>
      <c r="D53" s="2">
        <v>0.72585227272727271</v>
      </c>
      <c r="E53" s="2">
        <v>2.4113559914503591E-34</v>
      </c>
      <c r="F53" s="2">
        <v>1</v>
      </c>
      <c r="G53" s="2">
        <v>4.8227119829007181E-34</v>
      </c>
      <c r="H53" s="2">
        <v>0</v>
      </c>
      <c r="I53" s="2">
        <v>1</v>
      </c>
      <c r="J53" s="2">
        <v>0</v>
      </c>
      <c r="K53" s="2" t="s">
        <v>1</v>
      </c>
    </row>
    <row r="54" spans="1:11" x14ac:dyDescent="0.35">
      <c r="A54" s="2" t="s">
        <v>64</v>
      </c>
      <c r="B54" s="2">
        <v>416</v>
      </c>
      <c r="C54" s="2">
        <v>288</v>
      </c>
      <c r="D54" s="2">
        <v>0.59090909090909094</v>
      </c>
      <c r="E54" s="2">
        <v>7.9707961039300455E-7</v>
      </c>
      <c r="F54" s="2">
        <v>0.99999945612132479</v>
      </c>
      <c r="G54" s="2">
        <v>1.5941592207860091E-6</v>
      </c>
      <c r="H54" s="2">
        <v>7.028967590194668E-7</v>
      </c>
      <c r="I54" s="2">
        <v>0.99999929710324098</v>
      </c>
      <c r="J54" s="2">
        <v>1.405793518038934E-6</v>
      </c>
      <c r="K54" s="2" t="s">
        <v>1</v>
      </c>
    </row>
    <row r="55" spans="1:11" x14ac:dyDescent="0.35">
      <c r="A55" s="2" t="s">
        <v>65</v>
      </c>
      <c r="B55" s="2">
        <v>431</v>
      </c>
      <c r="C55" s="2">
        <v>273</v>
      </c>
      <c r="D55" s="2">
        <v>0.61221590909090906</v>
      </c>
      <c r="E55" s="2">
        <v>1.412799308712125E-9</v>
      </c>
      <c r="F55" s="2">
        <v>0.99999999911581672</v>
      </c>
      <c r="G55" s="2">
        <v>2.82559861742425E-9</v>
      </c>
      <c r="H55" s="2">
        <v>1.301559859889778E-9</v>
      </c>
      <c r="I55" s="2">
        <v>0.99999999869844014</v>
      </c>
      <c r="J55" s="2">
        <v>2.6031197197795559E-9</v>
      </c>
      <c r="K55" s="2" t="s">
        <v>1</v>
      </c>
    </row>
    <row r="56" spans="1:11" x14ac:dyDescent="0.35">
      <c r="A56" s="2" t="s">
        <v>66</v>
      </c>
      <c r="B56" s="2">
        <v>503</v>
      </c>
      <c r="C56" s="2">
        <v>201</v>
      </c>
      <c r="D56" s="2">
        <v>0.71448863636363635</v>
      </c>
      <c r="E56" s="2">
        <v>4.7504017313034421E-31</v>
      </c>
      <c r="F56" s="2">
        <v>1</v>
      </c>
      <c r="G56" s="2">
        <v>9.5008034626068843E-31</v>
      </c>
      <c r="H56" s="2">
        <v>0</v>
      </c>
      <c r="I56" s="2">
        <v>1</v>
      </c>
      <c r="J56" s="2">
        <v>0</v>
      </c>
      <c r="K56" s="2" t="s">
        <v>1</v>
      </c>
    </row>
    <row r="57" spans="1:11" x14ac:dyDescent="0.35">
      <c r="A57" s="2" t="s">
        <v>67</v>
      </c>
      <c r="B57" s="2">
        <v>584</v>
      </c>
      <c r="C57" s="2">
        <v>120</v>
      </c>
      <c r="D57" s="2">
        <v>0.82954545454545459</v>
      </c>
      <c r="E57" s="2">
        <v>2.3998560594315532E-74</v>
      </c>
      <c r="F57" s="2">
        <v>1</v>
      </c>
      <c r="G57" s="2">
        <v>4.7997121188631064E-74</v>
      </c>
      <c r="H57" s="2">
        <v>0</v>
      </c>
      <c r="I57" s="2">
        <v>1</v>
      </c>
      <c r="J57" s="2">
        <v>0</v>
      </c>
      <c r="K57" s="2" t="s">
        <v>1</v>
      </c>
    </row>
    <row r="58" spans="1:11" x14ac:dyDescent="0.35">
      <c r="A58" s="2" t="s">
        <v>68</v>
      </c>
      <c r="B58" s="2">
        <v>306</v>
      </c>
      <c r="C58" s="2">
        <v>398</v>
      </c>
      <c r="D58" s="2">
        <v>0.43465909090909088</v>
      </c>
      <c r="E58" s="2">
        <v>0.99977576233067644</v>
      </c>
      <c r="F58" s="2">
        <v>2.9727623726529142E-4</v>
      </c>
      <c r="G58" s="2">
        <v>5.9455247453058272E-4</v>
      </c>
      <c r="H58" s="2">
        <v>0.99973722128086362</v>
      </c>
      <c r="I58" s="2">
        <v>2.627787191364202E-4</v>
      </c>
      <c r="J58" s="2">
        <v>5.2555743827276125E-4</v>
      </c>
      <c r="K58" s="2" t="s">
        <v>2</v>
      </c>
    </row>
    <row r="59" spans="1:11" x14ac:dyDescent="0.35">
      <c r="A59" s="2" t="s">
        <v>69</v>
      </c>
      <c r="B59" s="2">
        <v>352</v>
      </c>
      <c r="C59" s="2">
        <v>352</v>
      </c>
      <c r="D59" s="2">
        <v>0.5</v>
      </c>
      <c r="E59" s="2">
        <v>0.51503036448818196</v>
      </c>
      <c r="F59" s="2">
        <v>0.51503036448818196</v>
      </c>
      <c r="G59" s="2">
        <v>1</v>
      </c>
      <c r="H59" s="2">
        <v>0.5</v>
      </c>
      <c r="I59" s="2">
        <v>0.5</v>
      </c>
      <c r="J59" s="2">
        <v>1</v>
      </c>
      <c r="K59" s="2" t="s">
        <v>12</v>
      </c>
    </row>
    <row r="60" spans="1:11" x14ac:dyDescent="0.35">
      <c r="A60" s="2" t="s">
        <v>70</v>
      </c>
      <c r="B60" s="2">
        <v>191</v>
      </c>
      <c r="C60" s="2">
        <v>513</v>
      </c>
      <c r="D60" s="2">
        <v>0.27130681818181818</v>
      </c>
      <c r="E60" s="2">
        <v>1</v>
      </c>
      <c r="F60" s="2">
        <v>3.3733096401047361E-35</v>
      </c>
      <c r="G60" s="2">
        <v>6.7466192802094721E-35</v>
      </c>
      <c r="H60" s="2">
        <v>1</v>
      </c>
      <c r="I60" s="2">
        <v>3.410672294450207E-34</v>
      </c>
      <c r="J60" s="2">
        <v>0</v>
      </c>
      <c r="K60" s="2" t="s">
        <v>2</v>
      </c>
    </row>
    <row r="61" spans="1:11" x14ac:dyDescent="0.35">
      <c r="A61" s="2" t="s">
        <v>71</v>
      </c>
      <c r="B61" s="2">
        <v>242</v>
      </c>
      <c r="C61" s="2">
        <v>462</v>
      </c>
      <c r="D61" s="2">
        <v>0.34375</v>
      </c>
      <c r="E61" s="2">
        <v>1</v>
      </c>
      <c r="F61" s="2">
        <v>4.3296064439747961E-17</v>
      </c>
      <c r="G61" s="2">
        <v>8.6592128879495922E-17</v>
      </c>
      <c r="H61" s="2">
        <v>0.99999999999999989</v>
      </c>
      <c r="I61" s="2">
        <v>5.5885434417002927E-17</v>
      </c>
      <c r="J61" s="2">
        <v>2.2204460492503131E-16</v>
      </c>
      <c r="K61" s="2" t="s">
        <v>2</v>
      </c>
    </row>
    <row r="62" spans="1:11" x14ac:dyDescent="0.35">
      <c r="A62" s="2" t="s">
        <v>72</v>
      </c>
      <c r="B62" s="2">
        <v>458</v>
      </c>
      <c r="C62" s="2">
        <v>246</v>
      </c>
      <c r="D62" s="2">
        <v>0.65056818181818177</v>
      </c>
      <c r="E62" s="2">
        <v>1.045738419167208E-15</v>
      </c>
      <c r="F62" s="2">
        <v>0.99999999999999944</v>
      </c>
      <c r="G62" s="2">
        <v>2.0914768383344149E-15</v>
      </c>
      <c r="H62" s="2">
        <v>6.6613381477509392E-16</v>
      </c>
      <c r="I62" s="2">
        <v>0.99999999999999933</v>
      </c>
      <c r="J62" s="2">
        <v>1.332267629550188E-15</v>
      </c>
      <c r="K62" s="2" t="s">
        <v>1</v>
      </c>
    </row>
    <row r="63" spans="1:11" x14ac:dyDescent="0.35">
      <c r="A63" s="2" t="s">
        <v>73</v>
      </c>
      <c r="B63" s="2">
        <v>388</v>
      </c>
      <c r="C63" s="2">
        <v>316</v>
      </c>
      <c r="D63" s="2">
        <v>0.55113636363636365</v>
      </c>
      <c r="E63" s="2">
        <v>3.7045825410822238E-3</v>
      </c>
      <c r="F63" s="2">
        <v>0.99705135870899886</v>
      </c>
      <c r="G63" s="2">
        <v>7.4091650821644477E-3</v>
      </c>
      <c r="H63" s="2">
        <v>3.3278027414747058E-3</v>
      </c>
      <c r="I63" s="2">
        <v>0.99667219725852529</v>
      </c>
      <c r="J63" s="2">
        <v>6.6556054829494116E-3</v>
      </c>
      <c r="K63" s="2" t="s">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312</v>
      </c>
      <c r="C2" s="2">
        <v>392</v>
      </c>
      <c r="D2" s="2">
        <v>0.44318181818181818</v>
      </c>
      <c r="E2" s="2">
        <v>0.99887778140824413</v>
      </c>
      <c r="F2" s="2">
        <v>1.440259242764247E-3</v>
      </c>
      <c r="G2" s="2">
        <v>2.880518485528494E-3</v>
      </c>
      <c r="H2" s="2">
        <v>0.99871558423648865</v>
      </c>
      <c r="I2" s="2">
        <v>1.284415763511356E-3</v>
      </c>
      <c r="J2" s="2">
        <v>2.5688315270226969E-3</v>
      </c>
      <c r="K2" s="2" t="s">
        <v>2</v>
      </c>
    </row>
    <row r="3" spans="1:11" x14ac:dyDescent="0.35">
      <c r="A3" s="2" t="s">
        <v>13</v>
      </c>
      <c r="B3" s="2">
        <v>359</v>
      </c>
      <c r="C3" s="2">
        <v>345</v>
      </c>
      <c r="D3" s="2">
        <v>0.50994318181818177</v>
      </c>
      <c r="E3" s="2">
        <v>0.33924030681285811</v>
      </c>
      <c r="F3" s="2">
        <v>0.68790182259992472</v>
      </c>
      <c r="G3" s="2">
        <v>0.6784806136257161</v>
      </c>
      <c r="H3" s="2">
        <v>0.29887292785152092</v>
      </c>
      <c r="I3" s="2">
        <v>0.70112707214847914</v>
      </c>
      <c r="J3" s="2">
        <v>0.59774585570304173</v>
      </c>
      <c r="K3" s="2" t="s">
        <v>12</v>
      </c>
    </row>
    <row r="4" spans="1:11" x14ac:dyDescent="0.35">
      <c r="A4" s="2" t="s">
        <v>14</v>
      </c>
      <c r="B4" s="2">
        <v>402</v>
      </c>
      <c r="C4" s="2">
        <v>302</v>
      </c>
      <c r="D4" s="2">
        <v>0.57102272727272729</v>
      </c>
      <c r="E4" s="2">
        <v>9.3132563399741616E-5</v>
      </c>
      <c r="F4" s="2">
        <v>0.99993127286383343</v>
      </c>
      <c r="G4" s="2">
        <v>1.8626512679948321E-4</v>
      </c>
      <c r="H4" s="2">
        <v>8.1986969491132378E-5</v>
      </c>
      <c r="I4" s="2">
        <v>0.99991801303050887</v>
      </c>
      <c r="J4" s="2">
        <v>1.6397393898226481E-4</v>
      </c>
      <c r="K4" s="2" t="s">
        <v>1</v>
      </c>
    </row>
    <row r="5" spans="1:11" x14ac:dyDescent="0.35">
      <c r="A5" s="2" t="s">
        <v>15</v>
      </c>
      <c r="B5" s="2">
        <v>367</v>
      </c>
      <c r="C5" s="2">
        <v>337</v>
      </c>
      <c r="D5" s="2">
        <v>0.52130681818181823</v>
      </c>
      <c r="E5" s="2">
        <v>0.1371961135641718</v>
      </c>
      <c r="F5" s="2">
        <v>0.87867863039430649</v>
      </c>
      <c r="G5" s="2">
        <v>0.27439222712834371</v>
      </c>
      <c r="H5" s="2">
        <v>0.12909752379197201</v>
      </c>
      <c r="I5" s="2">
        <v>0.87090247620802796</v>
      </c>
      <c r="J5" s="2">
        <v>0.25819504758394413</v>
      </c>
      <c r="K5" s="2" t="s">
        <v>12</v>
      </c>
    </row>
    <row r="6" spans="1:11" x14ac:dyDescent="0.35">
      <c r="A6" s="2" t="s">
        <v>16</v>
      </c>
      <c r="B6" s="2">
        <v>401</v>
      </c>
      <c r="C6" s="2">
        <v>303</v>
      </c>
      <c r="D6" s="2">
        <v>0.56960227272727271</v>
      </c>
      <c r="E6" s="2">
        <v>1.2551204111500489E-4</v>
      </c>
      <c r="F6" s="2">
        <v>0.99990686743660029</v>
      </c>
      <c r="G6" s="2">
        <v>2.5102408223000972E-4</v>
      </c>
      <c r="H6" s="2">
        <v>1.105881762928362E-4</v>
      </c>
      <c r="I6" s="2">
        <v>0.99988941182370716</v>
      </c>
      <c r="J6" s="2">
        <v>2.211763525856725E-4</v>
      </c>
      <c r="K6" s="2" t="s">
        <v>1</v>
      </c>
    </row>
    <row r="7" spans="1:11" x14ac:dyDescent="0.35">
      <c r="A7" s="2" t="s">
        <v>17</v>
      </c>
      <c r="B7" s="2">
        <v>430</v>
      </c>
      <c r="C7" s="2">
        <v>274</v>
      </c>
      <c r="D7" s="2">
        <v>0.61079545454545459</v>
      </c>
      <c r="E7" s="2">
        <v>2.2443084356065412E-9</v>
      </c>
      <c r="F7" s="2">
        <v>0.99999999858720068</v>
      </c>
      <c r="G7" s="2">
        <v>4.4886168712130824E-9</v>
      </c>
      <c r="H7" s="2">
        <v>2.0578957427019869E-9</v>
      </c>
      <c r="I7" s="2">
        <v>0.99999999794210426</v>
      </c>
      <c r="J7" s="2">
        <v>4.1157914854039754E-9</v>
      </c>
      <c r="K7" s="2" t="s">
        <v>1</v>
      </c>
    </row>
    <row r="8" spans="1:11" x14ac:dyDescent="0.35">
      <c r="A8" s="2" t="s">
        <v>18</v>
      </c>
      <c r="B8" s="2">
        <v>411</v>
      </c>
      <c r="C8" s="2">
        <v>293</v>
      </c>
      <c r="D8" s="2">
        <v>0.58380681818181823</v>
      </c>
      <c r="E8" s="2">
        <v>4.9504061134201882E-6</v>
      </c>
      <c r="F8" s="2">
        <v>0.99999652535152628</v>
      </c>
      <c r="G8" s="2">
        <v>9.9008122268403763E-6</v>
      </c>
      <c r="H8" s="2">
        <v>4.3479729709972048E-6</v>
      </c>
      <c r="I8" s="2">
        <v>0.999995652027029</v>
      </c>
      <c r="J8" s="2">
        <v>8.6959459419944096E-6</v>
      </c>
      <c r="K8" s="2" t="s">
        <v>1</v>
      </c>
    </row>
    <row r="9" spans="1:11" x14ac:dyDescent="0.35">
      <c r="A9" s="2" t="s">
        <v>19</v>
      </c>
      <c r="B9" s="2">
        <v>340</v>
      </c>
      <c r="C9" s="2">
        <v>364</v>
      </c>
      <c r="D9" s="2">
        <v>0.48295454545454553</v>
      </c>
      <c r="E9" s="2">
        <v>0.82695748928708979</v>
      </c>
      <c r="F9" s="2">
        <v>0.19302048399242741</v>
      </c>
      <c r="G9" s="2">
        <v>0.38604096798485482</v>
      </c>
      <c r="H9" s="2">
        <v>0.8171438518592431</v>
      </c>
      <c r="I9" s="2">
        <v>0.18285614814075679</v>
      </c>
      <c r="J9" s="2">
        <v>0.3657122962815138</v>
      </c>
      <c r="K9" s="2" t="s">
        <v>12</v>
      </c>
    </row>
    <row r="10" spans="1:11" x14ac:dyDescent="0.35">
      <c r="A10" s="2" t="s">
        <v>20</v>
      </c>
      <c r="B10" s="2">
        <v>259</v>
      </c>
      <c r="C10" s="2">
        <v>445</v>
      </c>
      <c r="D10" s="2">
        <v>0.36789772727272729</v>
      </c>
      <c r="E10" s="2">
        <v>0.99999999999932698</v>
      </c>
      <c r="F10" s="2">
        <v>1.168289654423001E-12</v>
      </c>
      <c r="G10" s="2">
        <v>2.3365793088460009E-12</v>
      </c>
      <c r="H10" s="2">
        <v>0.99999999999880962</v>
      </c>
      <c r="I10" s="2">
        <v>1.1904094046586059E-12</v>
      </c>
      <c r="J10" s="2">
        <v>2.3807622540061861E-12</v>
      </c>
      <c r="K10" s="2" t="s">
        <v>2</v>
      </c>
    </row>
    <row r="11" spans="1:11" x14ac:dyDescent="0.35">
      <c r="A11" s="2" t="s">
        <v>21</v>
      </c>
      <c r="B11" s="2">
        <v>326</v>
      </c>
      <c r="C11" s="2">
        <v>378</v>
      </c>
      <c r="D11" s="2">
        <v>0.46306818181818182</v>
      </c>
      <c r="E11" s="2">
        <v>0.97715363504431529</v>
      </c>
      <c r="F11" s="2">
        <v>2.7255805301668649E-2</v>
      </c>
      <c r="G11" s="2">
        <v>5.4511610603337292E-2</v>
      </c>
      <c r="H11" s="2">
        <v>0.97499180225717708</v>
      </c>
      <c r="I11" s="2">
        <v>2.5008197742822879E-2</v>
      </c>
      <c r="J11" s="2">
        <v>5.0016395485645848E-2</v>
      </c>
      <c r="K11" s="2" t="s">
        <v>2</v>
      </c>
    </row>
    <row r="12" spans="1:11" x14ac:dyDescent="0.35">
      <c r="A12" s="2" t="s">
        <v>22</v>
      </c>
      <c r="B12" s="2">
        <v>286</v>
      </c>
      <c r="C12" s="2">
        <v>418</v>
      </c>
      <c r="D12" s="2">
        <v>0.40625</v>
      </c>
      <c r="E12" s="2">
        <v>0.99999975106193439</v>
      </c>
      <c r="F12" s="2">
        <v>3.6900608683083041E-7</v>
      </c>
      <c r="G12" s="2">
        <v>7.3801217366166082E-7</v>
      </c>
      <c r="H12" s="2">
        <v>0.99999967365599507</v>
      </c>
      <c r="I12" s="2">
        <v>3.2634400491955672E-7</v>
      </c>
      <c r="J12" s="2">
        <v>6.5268800986117981E-7</v>
      </c>
      <c r="K12" s="2" t="s">
        <v>2</v>
      </c>
    </row>
    <row r="13" spans="1:11" x14ac:dyDescent="0.35">
      <c r="A13" s="2" t="s">
        <v>23</v>
      </c>
      <c r="B13" s="2">
        <v>358</v>
      </c>
      <c r="C13" s="2">
        <v>346</v>
      </c>
      <c r="D13" s="2">
        <v>0.50852272727272729</v>
      </c>
      <c r="E13" s="2">
        <v>0.33924030681285811</v>
      </c>
      <c r="F13" s="2">
        <v>0.68790182259992472</v>
      </c>
      <c r="G13" s="2">
        <v>0.6784806136257161</v>
      </c>
      <c r="H13" s="2">
        <v>0.32553831703891678</v>
      </c>
      <c r="I13" s="2">
        <v>0.67446168296108322</v>
      </c>
      <c r="J13" s="2">
        <v>0.65107663407783356</v>
      </c>
      <c r="K13" s="2" t="s">
        <v>12</v>
      </c>
    </row>
    <row r="14" spans="1:11" x14ac:dyDescent="0.35">
      <c r="A14" s="2" t="s">
        <v>24</v>
      </c>
      <c r="B14" s="2">
        <v>358</v>
      </c>
      <c r="C14" s="2">
        <v>346</v>
      </c>
      <c r="D14" s="2">
        <v>0.50852272727272729</v>
      </c>
      <c r="E14" s="2">
        <v>0.33924030681285811</v>
      </c>
      <c r="F14" s="2">
        <v>0.68790182259992472</v>
      </c>
      <c r="G14" s="2">
        <v>0.6784806136257161</v>
      </c>
      <c r="H14" s="2">
        <v>0.32553831703891678</v>
      </c>
      <c r="I14" s="2">
        <v>0.67446168296108322</v>
      </c>
      <c r="J14" s="2">
        <v>0.65107663407783356</v>
      </c>
      <c r="K14" s="2" t="s">
        <v>12</v>
      </c>
    </row>
    <row r="15" spans="1:11" x14ac:dyDescent="0.35">
      <c r="A15" s="2" t="s">
        <v>25</v>
      </c>
      <c r="B15" s="2">
        <v>247</v>
      </c>
      <c r="C15" s="2">
        <v>457</v>
      </c>
      <c r="D15" s="2">
        <v>0.35085227272727271</v>
      </c>
      <c r="E15" s="2">
        <v>0.99999999999999944</v>
      </c>
      <c r="F15" s="2">
        <v>1.045738419167208E-15</v>
      </c>
      <c r="G15" s="2">
        <v>2.0914768383344149E-15</v>
      </c>
      <c r="H15" s="2">
        <v>0.99999999999999878</v>
      </c>
      <c r="I15" s="2">
        <v>1.239520982587429E-15</v>
      </c>
      <c r="J15" s="2">
        <v>2.442490654175344E-15</v>
      </c>
      <c r="K15" s="2" t="s">
        <v>2</v>
      </c>
    </row>
    <row r="16" spans="1:11" x14ac:dyDescent="0.35">
      <c r="A16" s="2" t="s">
        <v>26</v>
      </c>
      <c r="B16" s="2">
        <v>373</v>
      </c>
      <c r="C16" s="2">
        <v>331</v>
      </c>
      <c r="D16" s="2">
        <v>0.52982954545454541</v>
      </c>
      <c r="E16" s="2">
        <v>6.1112744934414411E-2</v>
      </c>
      <c r="F16" s="2">
        <v>0.94748427449911499</v>
      </c>
      <c r="G16" s="2">
        <v>0.12222548986882879</v>
      </c>
      <c r="H16" s="2">
        <v>5.6718190418091563E-2</v>
      </c>
      <c r="I16" s="2">
        <v>0.94328180958190844</v>
      </c>
      <c r="J16" s="2">
        <v>0.1134363808361831</v>
      </c>
      <c r="K16" s="2" t="s">
        <v>12</v>
      </c>
    </row>
    <row r="17" spans="1:11" x14ac:dyDescent="0.35">
      <c r="A17" s="2" t="s">
        <v>27</v>
      </c>
      <c r="B17" s="2">
        <v>423</v>
      </c>
      <c r="C17" s="2">
        <v>281</v>
      </c>
      <c r="D17" s="2">
        <v>0.60085227272727271</v>
      </c>
      <c r="E17" s="2">
        <v>4.8695444035950358E-8</v>
      </c>
      <c r="F17" s="2">
        <v>0.99999996807690539</v>
      </c>
      <c r="G17" s="2">
        <v>9.7390888071900728E-8</v>
      </c>
      <c r="H17" s="2">
        <v>4.3535463345456549E-8</v>
      </c>
      <c r="I17" s="2">
        <v>0.99999995646453665</v>
      </c>
      <c r="J17" s="2">
        <v>8.7070926690913097E-8</v>
      </c>
      <c r="K17" s="2" t="s">
        <v>1</v>
      </c>
    </row>
    <row r="18" spans="1:11" x14ac:dyDescent="0.35">
      <c r="A18" s="2" t="s">
        <v>28</v>
      </c>
      <c r="B18" s="2">
        <v>352</v>
      </c>
      <c r="C18" s="2">
        <v>352</v>
      </c>
      <c r="D18" s="2">
        <v>0.5</v>
      </c>
      <c r="E18" s="2">
        <v>0.51503036448818196</v>
      </c>
      <c r="F18" s="2">
        <v>0.51503036448818196</v>
      </c>
      <c r="G18" s="2">
        <v>1</v>
      </c>
      <c r="H18" s="2">
        <v>0.5</v>
      </c>
      <c r="I18" s="2">
        <v>0.5</v>
      </c>
      <c r="J18" s="2">
        <v>1</v>
      </c>
      <c r="K18" s="2" t="s">
        <v>12</v>
      </c>
    </row>
    <row r="19" spans="1:11" x14ac:dyDescent="0.35">
      <c r="A19" s="2" t="s">
        <v>29</v>
      </c>
      <c r="B19" s="2">
        <v>366</v>
      </c>
      <c r="C19" s="2">
        <v>338</v>
      </c>
      <c r="D19" s="2">
        <v>0.51988636363636365</v>
      </c>
      <c r="E19" s="2">
        <v>0.15443289176760841</v>
      </c>
      <c r="F19" s="2">
        <v>0.86280388643582817</v>
      </c>
      <c r="G19" s="2">
        <v>0.30886578353521688</v>
      </c>
      <c r="H19" s="2">
        <v>0.14564642380890641</v>
      </c>
      <c r="I19" s="2">
        <v>0.85435357619109364</v>
      </c>
      <c r="J19" s="2">
        <v>0.29129284761781271</v>
      </c>
      <c r="K19" s="2" t="s">
        <v>12</v>
      </c>
    </row>
    <row r="20" spans="1:11" x14ac:dyDescent="0.35">
      <c r="A20" s="2" t="s">
        <v>30</v>
      </c>
      <c r="B20" s="2">
        <v>414</v>
      </c>
      <c r="C20" s="2">
        <v>290</v>
      </c>
      <c r="D20" s="2">
        <v>0.58806818181818177</v>
      </c>
      <c r="E20" s="2">
        <v>2.425141220284132E-6</v>
      </c>
      <c r="F20" s="2">
        <v>0.99999831688327856</v>
      </c>
      <c r="G20" s="2">
        <v>4.8502824405682632E-6</v>
      </c>
      <c r="H20" s="2">
        <v>1.4810834696454829E-6</v>
      </c>
      <c r="I20" s="2">
        <v>0.99999851891653035</v>
      </c>
      <c r="J20" s="2">
        <v>2.9621669392909671E-6</v>
      </c>
      <c r="K20" s="2" t="s">
        <v>1</v>
      </c>
    </row>
    <row r="21" spans="1:11" x14ac:dyDescent="0.35">
      <c r="A21" s="2" t="s">
        <v>31</v>
      </c>
      <c r="B21" s="2">
        <v>375</v>
      </c>
      <c r="C21" s="2">
        <v>329</v>
      </c>
      <c r="D21" s="2">
        <v>0.53267045454545459</v>
      </c>
      <c r="E21" s="2">
        <v>4.4907133435382003E-2</v>
      </c>
      <c r="F21" s="2">
        <v>0.96178842758226124</v>
      </c>
      <c r="G21" s="2">
        <v>8.9814266870763992E-2</v>
      </c>
      <c r="H21" s="2">
        <v>4.1486530362206182E-2</v>
      </c>
      <c r="I21" s="2">
        <v>0.95851346963779382</v>
      </c>
      <c r="J21" s="2">
        <v>8.2973060724412351E-2</v>
      </c>
      <c r="K21" s="2" t="s">
        <v>1</v>
      </c>
    </row>
    <row r="22" spans="1:11" x14ac:dyDescent="0.35">
      <c r="A22" s="2" t="s">
        <v>32</v>
      </c>
      <c r="B22" s="2">
        <v>392</v>
      </c>
      <c r="C22" s="2">
        <v>312</v>
      </c>
      <c r="D22" s="2">
        <v>0.55681818181818177</v>
      </c>
      <c r="E22" s="2">
        <v>1.838572134761929E-3</v>
      </c>
      <c r="F22" s="2">
        <v>0.99855974075723575</v>
      </c>
      <c r="G22" s="2">
        <v>3.6771442695238579E-3</v>
      </c>
      <c r="H22" s="2">
        <v>1.284415763511348E-3</v>
      </c>
      <c r="I22" s="2">
        <v>0.99871558423648865</v>
      </c>
      <c r="J22" s="2">
        <v>2.5688315270226969E-3</v>
      </c>
      <c r="K22" s="2" t="s">
        <v>1</v>
      </c>
    </row>
    <row r="23" spans="1:11" x14ac:dyDescent="0.35">
      <c r="A23" s="2" t="s">
        <v>33</v>
      </c>
      <c r="B23" s="2">
        <v>443</v>
      </c>
      <c r="C23" s="2">
        <v>261</v>
      </c>
      <c r="D23" s="2">
        <v>0.62926136363636365</v>
      </c>
      <c r="E23" s="2">
        <v>3.458226107812958E-12</v>
      </c>
      <c r="F23" s="2">
        <v>0.99999999999798395</v>
      </c>
      <c r="G23" s="2">
        <v>6.9164522156259161E-12</v>
      </c>
      <c r="H23" s="2">
        <v>3.457900632497513E-12</v>
      </c>
      <c r="I23" s="2">
        <v>0.9999999999965421</v>
      </c>
      <c r="J23" s="2">
        <v>6.9158012649950251E-12</v>
      </c>
      <c r="K23" s="2" t="s">
        <v>1</v>
      </c>
    </row>
    <row r="24" spans="1:11" x14ac:dyDescent="0.35">
      <c r="A24" s="2" t="s">
        <v>34</v>
      </c>
      <c r="B24" s="2">
        <v>401</v>
      </c>
      <c r="C24" s="2">
        <v>303</v>
      </c>
      <c r="D24" s="2">
        <v>0.56960227272727271</v>
      </c>
      <c r="E24" s="2">
        <v>1.2551204111500489E-4</v>
      </c>
      <c r="F24" s="2">
        <v>0.99990686743660029</v>
      </c>
      <c r="G24" s="2">
        <v>2.5102408223000972E-4</v>
      </c>
      <c r="H24" s="2">
        <v>1.105881762928362E-4</v>
      </c>
      <c r="I24" s="2">
        <v>0.99988941182370716</v>
      </c>
      <c r="J24" s="2">
        <v>2.211763525856725E-4</v>
      </c>
      <c r="K24" s="2" t="s">
        <v>1</v>
      </c>
    </row>
    <row r="25" spans="1:11" x14ac:dyDescent="0.35">
      <c r="A25" s="2" t="s">
        <v>35</v>
      </c>
      <c r="B25" s="2">
        <v>351</v>
      </c>
      <c r="C25" s="2">
        <v>353</v>
      </c>
      <c r="D25" s="2">
        <v>0.49857954545454553</v>
      </c>
      <c r="E25" s="2">
        <v>0.54500593559208865</v>
      </c>
      <c r="F25" s="2">
        <v>0.4849696355118181</v>
      </c>
      <c r="G25" s="2">
        <v>0.9699392710236362</v>
      </c>
      <c r="H25" s="2">
        <v>0.53004295338662577</v>
      </c>
      <c r="I25" s="2">
        <v>0.46995704661337417</v>
      </c>
      <c r="J25" s="2">
        <v>0.93991409322674846</v>
      </c>
      <c r="K25" s="2" t="s">
        <v>12</v>
      </c>
    </row>
    <row r="26" spans="1:11" x14ac:dyDescent="0.35">
      <c r="A26" s="2" t="s">
        <v>36</v>
      </c>
      <c r="B26" s="2">
        <v>167</v>
      </c>
      <c r="C26" s="2">
        <v>537</v>
      </c>
      <c r="D26" s="2">
        <v>0.23721590909090909</v>
      </c>
      <c r="E26" s="2">
        <v>1</v>
      </c>
      <c r="F26" s="2">
        <v>1.9276980083773721E-46</v>
      </c>
      <c r="G26" s="2">
        <v>3.8553960167547427E-46</v>
      </c>
      <c r="H26" s="2">
        <v>1</v>
      </c>
      <c r="I26" s="2">
        <v>1.6896140808242419E-44</v>
      </c>
      <c r="J26" s="2">
        <v>0</v>
      </c>
      <c r="K26" s="2" t="s">
        <v>2</v>
      </c>
    </row>
    <row r="27" spans="1:11" x14ac:dyDescent="0.35">
      <c r="A27" s="2" t="s">
        <v>37</v>
      </c>
      <c r="B27" s="2">
        <v>194</v>
      </c>
      <c r="C27" s="2">
        <v>510</v>
      </c>
      <c r="D27" s="2">
        <v>0.27556818181818182</v>
      </c>
      <c r="E27" s="2">
        <v>1</v>
      </c>
      <c r="F27" s="2">
        <v>6.3788292383545346E-34</v>
      </c>
      <c r="G27" s="2">
        <v>1.2757658476709069E-33</v>
      </c>
      <c r="H27" s="2">
        <v>1</v>
      </c>
      <c r="I27" s="2">
        <v>5.2679007680601183E-33</v>
      </c>
      <c r="J27" s="2">
        <v>0</v>
      </c>
      <c r="K27" s="2" t="s">
        <v>2</v>
      </c>
    </row>
    <row r="28" spans="1:11" x14ac:dyDescent="0.35">
      <c r="A28" s="2" t="s">
        <v>38</v>
      </c>
      <c r="B28" s="2">
        <v>200</v>
      </c>
      <c r="C28" s="2">
        <v>504</v>
      </c>
      <c r="D28" s="2">
        <v>0.28409090909090912</v>
      </c>
      <c r="E28" s="2">
        <v>1</v>
      </c>
      <c r="F28" s="2">
        <v>1.885928027292221E-31</v>
      </c>
      <c r="G28" s="2">
        <v>3.7718560545844412E-31</v>
      </c>
      <c r="H28" s="2">
        <v>1</v>
      </c>
      <c r="I28" s="2">
        <v>1.0791074548134779E-30</v>
      </c>
      <c r="J28" s="2">
        <v>0</v>
      </c>
      <c r="K28" s="2" t="s">
        <v>2</v>
      </c>
    </row>
    <row r="29" spans="1:11" x14ac:dyDescent="0.35">
      <c r="A29" s="2" t="s">
        <v>39</v>
      </c>
      <c r="B29" s="2">
        <v>326</v>
      </c>
      <c r="C29" s="2">
        <v>378</v>
      </c>
      <c r="D29" s="2">
        <v>0.46306818181818182</v>
      </c>
      <c r="E29" s="2">
        <v>0.97715363504431529</v>
      </c>
      <c r="F29" s="2">
        <v>2.7255805301668649E-2</v>
      </c>
      <c r="G29" s="2">
        <v>5.4511610603337292E-2</v>
      </c>
      <c r="H29" s="2">
        <v>0.97499180225717708</v>
      </c>
      <c r="I29" s="2">
        <v>2.5008197742822879E-2</v>
      </c>
      <c r="J29" s="2">
        <v>5.0016395485645848E-2</v>
      </c>
      <c r="K29" s="2" t="s">
        <v>2</v>
      </c>
    </row>
    <row r="30" spans="1:11" x14ac:dyDescent="0.35">
      <c r="A30" s="2" t="s">
        <v>40</v>
      </c>
      <c r="B30" s="2">
        <v>333</v>
      </c>
      <c r="C30" s="2">
        <v>371</v>
      </c>
      <c r="D30" s="2">
        <v>0.47301136363636359</v>
      </c>
      <c r="E30" s="2">
        <v>0.92922855552128913</v>
      </c>
      <c r="F30" s="2">
        <v>8.1561343068735734E-2</v>
      </c>
      <c r="G30" s="2">
        <v>0.1631226861374715</v>
      </c>
      <c r="H30" s="2">
        <v>0.92395368375921005</v>
      </c>
      <c r="I30" s="2">
        <v>7.6046316240789988E-2</v>
      </c>
      <c r="J30" s="2">
        <v>0.15209263248157989</v>
      </c>
      <c r="K30" s="2" t="s">
        <v>12</v>
      </c>
    </row>
    <row r="31" spans="1:11" x14ac:dyDescent="0.35">
      <c r="A31" s="2" t="s">
        <v>41</v>
      </c>
      <c r="B31" s="2">
        <v>313</v>
      </c>
      <c r="C31" s="2">
        <v>391</v>
      </c>
      <c r="D31" s="2">
        <v>0.44460227272727271</v>
      </c>
      <c r="E31" s="2">
        <v>0.99855974075723575</v>
      </c>
      <c r="F31" s="2">
        <v>1.838572134761929E-3</v>
      </c>
      <c r="G31" s="2">
        <v>3.6771442695238579E-3</v>
      </c>
      <c r="H31" s="2">
        <v>0.99835753791918813</v>
      </c>
      <c r="I31" s="2">
        <v>1.642462080811845E-3</v>
      </c>
      <c r="J31" s="2">
        <v>3.2849241616237368E-3</v>
      </c>
      <c r="K31" s="2" t="s">
        <v>2</v>
      </c>
    </row>
    <row r="32" spans="1:11" x14ac:dyDescent="0.35">
      <c r="A32" s="2" t="s">
        <v>42</v>
      </c>
      <c r="B32" s="2">
        <v>299</v>
      </c>
      <c r="C32" s="2">
        <v>405</v>
      </c>
      <c r="D32" s="2">
        <v>0.42471590909090912</v>
      </c>
      <c r="E32" s="2">
        <v>0.99997328140396202</v>
      </c>
      <c r="F32" s="2">
        <v>3.6812046908991251E-5</v>
      </c>
      <c r="G32" s="2">
        <v>7.3624093817982502E-5</v>
      </c>
      <c r="H32" s="2">
        <v>0.99996765632974705</v>
      </c>
      <c r="I32" s="2">
        <v>3.2343670252948268E-5</v>
      </c>
      <c r="J32" s="2">
        <v>6.4687340505908963E-5</v>
      </c>
      <c r="K32" s="2" t="s">
        <v>2</v>
      </c>
    </row>
    <row r="33" spans="1:11" x14ac:dyDescent="0.35">
      <c r="A33" s="2" t="s">
        <v>43</v>
      </c>
      <c r="B33" s="2">
        <v>265</v>
      </c>
      <c r="C33" s="2">
        <v>439</v>
      </c>
      <c r="D33" s="2">
        <v>0.37642045454545447</v>
      </c>
      <c r="E33" s="2">
        <v>0.99999999998315936</v>
      </c>
      <c r="F33" s="2">
        <v>2.820711655906156E-11</v>
      </c>
      <c r="G33" s="2">
        <v>5.641423311812312E-11</v>
      </c>
      <c r="H33" s="2">
        <v>0.99999999997270939</v>
      </c>
      <c r="I33" s="2">
        <v>2.7290559768363851E-11</v>
      </c>
      <c r="J33" s="2">
        <v>5.4581228425831802E-11</v>
      </c>
      <c r="K33" s="2" t="s">
        <v>2</v>
      </c>
    </row>
    <row r="34" spans="1:11" x14ac:dyDescent="0.35">
      <c r="A34" s="2" t="s">
        <v>44</v>
      </c>
      <c r="B34" s="2">
        <v>300</v>
      </c>
      <c r="C34" s="2">
        <v>404</v>
      </c>
      <c r="D34" s="2">
        <v>0.42613636363636359</v>
      </c>
      <c r="E34" s="2">
        <v>0.99996318795309103</v>
      </c>
      <c r="F34" s="2">
        <v>5.0438205584933382E-5</v>
      </c>
      <c r="G34" s="2">
        <v>1.008764111698668E-4</v>
      </c>
      <c r="H34" s="2">
        <v>0.99995566070850206</v>
      </c>
      <c r="I34" s="2">
        <v>4.4339291497947962E-5</v>
      </c>
      <c r="J34" s="2">
        <v>8.8678582995882493E-5</v>
      </c>
      <c r="K34" s="2" t="s">
        <v>2</v>
      </c>
    </row>
    <row r="35" spans="1:11" x14ac:dyDescent="0.35">
      <c r="A35" s="2" t="s">
        <v>45</v>
      </c>
      <c r="B35" s="2">
        <v>382</v>
      </c>
      <c r="C35" s="2">
        <v>322</v>
      </c>
      <c r="D35" s="2">
        <v>0.54261363636363635</v>
      </c>
      <c r="E35" s="2">
        <v>1.305113666870847E-2</v>
      </c>
      <c r="F35" s="2">
        <v>0.98928135886028723</v>
      </c>
      <c r="G35" s="2">
        <v>2.610227333741693E-2</v>
      </c>
      <c r="H35" s="2">
        <v>1.186925762502733E-2</v>
      </c>
      <c r="I35" s="2">
        <v>0.98813074237497267</v>
      </c>
      <c r="J35" s="2">
        <v>2.3738515250054659E-2</v>
      </c>
      <c r="K35" s="2" t="s">
        <v>1</v>
      </c>
    </row>
    <row r="36" spans="1:11" x14ac:dyDescent="0.35">
      <c r="A36" s="2" t="s">
        <v>46</v>
      </c>
      <c r="B36" s="2">
        <v>386</v>
      </c>
      <c r="C36" s="2">
        <v>318</v>
      </c>
      <c r="D36" s="2">
        <v>0.54829545454545459</v>
      </c>
      <c r="E36" s="2">
        <v>5.7558510126729696E-3</v>
      </c>
      <c r="F36" s="2">
        <v>0.99537016444620019</v>
      </c>
      <c r="G36" s="2">
        <v>1.1511702025345939E-2</v>
      </c>
      <c r="H36" s="2">
        <v>5.1908978948508322E-3</v>
      </c>
      <c r="I36" s="2">
        <v>0.99480910210514917</v>
      </c>
      <c r="J36" s="2">
        <v>1.0381795789701659E-2</v>
      </c>
      <c r="K36" s="2" t="s">
        <v>1</v>
      </c>
    </row>
    <row r="37" spans="1:11" x14ac:dyDescent="0.35">
      <c r="A37" s="2" t="s">
        <v>47</v>
      </c>
      <c r="B37" s="2">
        <v>457</v>
      </c>
      <c r="C37" s="2">
        <v>247</v>
      </c>
      <c r="D37" s="2">
        <v>0.64914772727272729</v>
      </c>
      <c r="E37" s="2">
        <v>1.045738419167208E-15</v>
      </c>
      <c r="F37" s="2">
        <v>0.99999999999999944</v>
      </c>
      <c r="G37" s="2">
        <v>2.0914768383344149E-15</v>
      </c>
      <c r="H37" s="2">
        <v>1.221245327087672E-15</v>
      </c>
      <c r="I37" s="2">
        <v>0.99999999999999878</v>
      </c>
      <c r="J37" s="2">
        <v>2.442490654175344E-15</v>
      </c>
      <c r="K37" s="2" t="s">
        <v>1</v>
      </c>
    </row>
    <row r="38" spans="1:11" x14ac:dyDescent="0.35">
      <c r="A38" s="2" t="s">
        <v>48</v>
      </c>
      <c r="B38" s="2">
        <v>341</v>
      </c>
      <c r="C38" s="2">
        <v>363</v>
      </c>
      <c r="D38" s="2">
        <v>0.484375</v>
      </c>
      <c r="E38" s="2">
        <v>0.80697951600757256</v>
      </c>
      <c r="F38" s="2">
        <v>0.21434594520575251</v>
      </c>
      <c r="G38" s="2">
        <v>0.42869189041150513</v>
      </c>
      <c r="H38" s="2">
        <v>0.79649198636431284</v>
      </c>
      <c r="I38" s="2">
        <v>0.20350801363568721</v>
      </c>
      <c r="J38" s="2">
        <v>0.40701602727137431</v>
      </c>
      <c r="K38" s="2" t="s">
        <v>12</v>
      </c>
    </row>
    <row r="39" spans="1:11" x14ac:dyDescent="0.35">
      <c r="A39" s="2" t="s">
        <v>49</v>
      </c>
      <c r="B39" s="2">
        <v>304</v>
      </c>
      <c r="C39" s="2">
        <v>400</v>
      </c>
      <c r="D39" s="2">
        <v>0.43181818181818182</v>
      </c>
      <c r="E39" s="2">
        <v>0.99987448795888501</v>
      </c>
      <c r="F39" s="2">
        <v>1.682231284959967E-4</v>
      </c>
      <c r="G39" s="2">
        <v>3.3644625699199351E-4</v>
      </c>
      <c r="H39" s="2">
        <v>0.99985163384435338</v>
      </c>
      <c r="I39" s="2">
        <v>1.4836615564657029E-4</v>
      </c>
      <c r="J39" s="2">
        <v>2.9673231129323518E-4</v>
      </c>
      <c r="K39" s="2" t="s">
        <v>2</v>
      </c>
    </row>
    <row r="40" spans="1:11" x14ac:dyDescent="0.35">
      <c r="A40" s="2" t="s">
        <v>50</v>
      </c>
      <c r="B40" s="2">
        <v>428</v>
      </c>
      <c r="C40" s="2">
        <v>276</v>
      </c>
      <c r="D40" s="2">
        <v>0.60795454545454541</v>
      </c>
      <c r="E40" s="2">
        <v>5.5654150471749074E-9</v>
      </c>
      <c r="F40" s="2">
        <v>0.99999999645551363</v>
      </c>
      <c r="G40" s="2">
        <v>1.113083009434981E-8</v>
      </c>
      <c r="H40" s="2">
        <v>5.0596956624460176E-9</v>
      </c>
      <c r="I40" s="2">
        <v>0.99999999494030434</v>
      </c>
      <c r="J40" s="2">
        <v>1.011939132489204E-8</v>
      </c>
      <c r="K40" s="2" t="s">
        <v>1</v>
      </c>
    </row>
    <row r="41" spans="1:11" x14ac:dyDescent="0.35">
      <c r="A41" s="2" t="s">
        <v>51</v>
      </c>
      <c r="B41" s="2">
        <v>438</v>
      </c>
      <c r="C41" s="2">
        <v>266</v>
      </c>
      <c r="D41" s="2">
        <v>0.62215909090909094</v>
      </c>
      <c r="E41" s="2">
        <v>4.6966155646112112E-11</v>
      </c>
      <c r="F41" s="2">
        <v>0.9999999999717929</v>
      </c>
      <c r="G41" s="2">
        <v>9.393231129222421E-11</v>
      </c>
      <c r="H41" s="2">
        <v>4.5109360691242273E-11</v>
      </c>
      <c r="I41" s="2">
        <v>0.99999999995489064</v>
      </c>
      <c r="J41" s="2">
        <v>9.0218721382484546E-11</v>
      </c>
      <c r="K41" s="2" t="s">
        <v>1</v>
      </c>
    </row>
    <row r="42" spans="1:11" x14ac:dyDescent="0.35">
      <c r="A42" s="2" t="s">
        <v>52</v>
      </c>
      <c r="B42" s="2">
        <v>179</v>
      </c>
      <c r="C42" s="2">
        <v>525</v>
      </c>
      <c r="D42" s="2">
        <v>0.25426136363636359</v>
      </c>
      <c r="E42" s="2">
        <v>1</v>
      </c>
      <c r="F42" s="2">
        <v>1.378744080652062E-40</v>
      </c>
      <c r="G42" s="2">
        <v>2.7574881613041239E-40</v>
      </c>
      <c r="H42" s="2">
        <v>1</v>
      </c>
      <c r="I42" s="2">
        <v>3.6055191761920078E-39</v>
      </c>
      <c r="J42" s="2">
        <v>0</v>
      </c>
      <c r="K42" s="2" t="s">
        <v>2</v>
      </c>
    </row>
    <row r="43" spans="1:11" x14ac:dyDescent="0.35">
      <c r="A43" s="2" t="s">
        <v>53</v>
      </c>
      <c r="B43" s="2">
        <v>293</v>
      </c>
      <c r="C43" s="2">
        <v>411</v>
      </c>
      <c r="D43" s="2">
        <v>0.41619318181818182</v>
      </c>
      <c r="E43" s="2">
        <v>0.99999652535152628</v>
      </c>
      <c r="F43" s="2">
        <v>4.9504061134201882E-6</v>
      </c>
      <c r="G43" s="2">
        <v>9.9008122268403763E-6</v>
      </c>
      <c r="H43" s="2">
        <v>0.999995652027029</v>
      </c>
      <c r="I43" s="2">
        <v>4.3479729710524754E-6</v>
      </c>
      <c r="J43" s="2">
        <v>8.6959459419944096E-6</v>
      </c>
      <c r="K43" s="2" t="s">
        <v>2</v>
      </c>
    </row>
    <row r="44" spans="1:11" x14ac:dyDescent="0.35">
      <c r="A44" s="2" t="s">
        <v>54</v>
      </c>
      <c r="B44" s="2">
        <v>260</v>
      </c>
      <c r="C44" s="2">
        <v>444</v>
      </c>
      <c r="D44" s="2">
        <v>0.36931818181818182</v>
      </c>
      <c r="E44" s="2">
        <v>0.99999999999883171</v>
      </c>
      <c r="F44" s="2">
        <v>2.0160533626992649E-12</v>
      </c>
      <c r="G44" s="2">
        <v>4.0321067253985298E-12</v>
      </c>
      <c r="H44" s="2">
        <v>0.99999999999796541</v>
      </c>
      <c r="I44" s="2">
        <v>2.0345435644841639E-12</v>
      </c>
      <c r="J44" s="2">
        <v>4.0691894298561238E-12</v>
      </c>
      <c r="K44" s="2" t="s">
        <v>2</v>
      </c>
    </row>
    <row r="45" spans="1:11" x14ac:dyDescent="0.35">
      <c r="A45" s="2" t="s">
        <v>55</v>
      </c>
      <c r="B45" s="2">
        <v>427</v>
      </c>
      <c r="C45" s="2">
        <v>277</v>
      </c>
      <c r="D45" s="2">
        <v>0.60653409090909094</v>
      </c>
      <c r="E45" s="2">
        <v>8.6880052469512098E-9</v>
      </c>
      <c r="F45" s="2">
        <v>0.99999999443458498</v>
      </c>
      <c r="G45" s="2">
        <v>1.737601049390242E-8</v>
      </c>
      <c r="H45" s="2">
        <v>7.8680845172485192E-9</v>
      </c>
      <c r="I45" s="2">
        <v>0.99999999213191548</v>
      </c>
      <c r="J45" s="2">
        <v>1.5736169034497038E-8</v>
      </c>
      <c r="K45" s="2" t="s">
        <v>1</v>
      </c>
    </row>
    <row r="46" spans="1:11" x14ac:dyDescent="0.35">
      <c r="A46" s="2" t="s">
        <v>56</v>
      </c>
      <c r="B46" s="2">
        <v>384</v>
      </c>
      <c r="C46" s="2">
        <v>320</v>
      </c>
      <c r="D46" s="2">
        <v>0.54545454545454541</v>
      </c>
      <c r="E46" s="2">
        <v>8.7576396766929094E-3</v>
      </c>
      <c r="F46" s="2">
        <v>0.99288163498380022</v>
      </c>
      <c r="G46" s="2">
        <v>1.7515279353385819E-2</v>
      </c>
      <c r="H46" s="2">
        <v>7.9306663698865965E-3</v>
      </c>
      <c r="I46" s="2">
        <v>0.9920693336301134</v>
      </c>
      <c r="J46" s="2">
        <v>1.5861332739773189E-2</v>
      </c>
      <c r="K46" s="2" t="s">
        <v>1</v>
      </c>
    </row>
    <row r="47" spans="1:11" x14ac:dyDescent="0.35">
      <c r="A47" s="2" t="s">
        <v>57</v>
      </c>
      <c r="B47" s="2">
        <v>373</v>
      </c>
      <c r="C47" s="2">
        <v>331</v>
      </c>
      <c r="D47" s="2">
        <v>0.52982954545454541</v>
      </c>
      <c r="E47" s="2">
        <v>6.1112744934414411E-2</v>
      </c>
      <c r="F47" s="2">
        <v>0.94748427449911499</v>
      </c>
      <c r="G47" s="2">
        <v>0.12222548986882879</v>
      </c>
      <c r="H47" s="2">
        <v>5.6718190418091563E-2</v>
      </c>
      <c r="I47" s="2">
        <v>0.94328180958190844</v>
      </c>
      <c r="J47" s="2">
        <v>0.1134363808361831</v>
      </c>
      <c r="K47" s="2" t="s">
        <v>12</v>
      </c>
    </row>
    <row r="48" spans="1:11" x14ac:dyDescent="0.35">
      <c r="A48" s="2" t="s">
        <v>58</v>
      </c>
      <c r="B48" s="2">
        <v>264</v>
      </c>
      <c r="C48" s="2">
        <v>440</v>
      </c>
      <c r="D48" s="2">
        <v>0.375</v>
      </c>
      <c r="E48" s="2">
        <v>0.99999999999000511</v>
      </c>
      <c r="F48" s="2">
        <v>1.6840591736383231E-11</v>
      </c>
      <c r="G48" s="2">
        <v>3.3681183472766463E-11</v>
      </c>
      <c r="H48" s="2">
        <v>0.99999999998358124</v>
      </c>
      <c r="I48" s="2">
        <v>1.6418793249366909E-11</v>
      </c>
      <c r="J48" s="2">
        <v>3.2837510488548112E-11</v>
      </c>
      <c r="K48" s="2" t="s">
        <v>2</v>
      </c>
    </row>
    <row r="49" spans="1:11" x14ac:dyDescent="0.35">
      <c r="A49" s="2" t="s">
        <v>59</v>
      </c>
      <c r="B49" s="2">
        <v>141</v>
      </c>
      <c r="C49" s="2">
        <v>563</v>
      </c>
      <c r="D49" s="2">
        <v>0.20028409090909091</v>
      </c>
      <c r="E49" s="2">
        <v>1</v>
      </c>
      <c r="F49" s="2">
        <v>7.7444877599609219E-61</v>
      </c>
      <c r="G49" s="2">
        <v>1.5488975519921841E-60</v>
      </c>
      <c r="H49" s="2">
        <v>1</v>
      </c>
      <c r="I49" s="2">
        <v>2.9381118074175331E-57</v>
      </c>
      <c r="J49" s="2">
        <v>0</v>
      </c>
      <c r="K49" s="2" t="s">
        <v>2</v>
      </c>
    </row>
    <row r="50" spans="1:11" x14ac:dyDescent="0.35">
      <c r="A50" s="2" t="s">
        <v>60</v>
      </c>
      <c r="B50" s="2">
        <v>523</v>
      </c>
      <c r="C50" s="2">
        <v>181</v>
      </c>
      <c r="D50" s="2">
        <v>0.74289772727272729</v>
      </c>
      <c r="E50" s="2">
        <v>1.173198000799468E-39</v>
      </c>
      <c r="F50" s="2">
        <v>1</v>
      </c>
      <c r="G50" s="2">
        <v>2.346396001598936E-39</v>
      </c>
      <c r="H50" s="2">
        <v>0</v>
      </c>
      <c r="I50" s="2">
        <v>1</v>
      </c>
      <c r="J50" s="2">
        <v>0</v>
      </c>
      <c r="K50" s="2" t="s">
        <v>1</v>
      </c>
    </row>
    <row r="51" spans="1:11" x14ac:dyDescent="0.35">
      <c r="A51" s="2" t="s">
        <v>61</v>
      </c>
      <c r="B51" s="2">
        <v>309</v>
      </c>
      <c r="C51" s="2">
        <v>395</v>
      </c>
      <c r="D51" s="2">
        <v>0.43892045454545447</v>
      </c>
      <c r="E51" s="2">
        <v>0.99948598562048263</v>
      </c>
      <c r="F51" s="2">
        <v>6.7042759450837246E-4</v>
      </c>
      <c r="G51" s="2">
        <v>1.3408551890167449E-3</v>
      </c>
      <c r="H51" s="2">
        <v>0.9994049598082726</v>
      </c>
      <c r="I51" s="2">
        <v>5.9504019172738302E-4</v>
      </c>
      <c r="J51" s="2">
        <v>1.1900803834548059E-3</v>
      </c>
      <c r="K51" s="2" t="s">
        <v>2</v>
      </c>
    </row>
    <row r="52" spans="1:11" x14ac:dyDescent="0.35">
      <c r="A52" s="2" t="s">
        <v>62</v>
      </c>
      <c r="B52" s="2">
        <v>171</v>
      </c>
      <c r="C52" s="2">
        <v>533</v>
      </c>
      <c r="D52" s="2">
        <v>0.24289772727272729</v>
      </c>
      <c r="E52" s="2">
        <v>1</v>
      </c>
      <c r="F52" s="2">
        <v>1.948076402871339E-44</v>
      </c>
      <c r="G52" s="2">
        <v>3.8961528057426781E-44</v>
      </c>
      <c r="H52" s="2">
        <v>1</v>
      </c>
      <c r="I52" s="2">
        <v>1.1052324561334901E-42</v>
      </c>
      <c r="J52" s="2">
        <v>0</v>
      </c>
      <c r="K52" s="2" t="s">
        <v>2</v>
      </c>
    </row>
    <row r="53" spans="1:11" x14ac:dyDescent="0.35">
      <c r="A53" s="2" t="s">
        <v>63</v>
      </c>
      <c r="B53" s="2">
        <v>248</v>
      </c>
      <c r="C53" s="2">
        <v>456</v>
      </c>
      <c r="D53" s="2">
        <v>0.35227272727272729</v>
      </c>
      <c r="E53" s="2">
        <v>0.999999999999999</v>
      </c>
      <c r="F53" s="2">
        <v>1.9408233207544449E-15</v>
      </c>
      <c r="G53" s="2">
        <v>3.8816466415088891E-15</v>
      </c>
      <c r="H53" s="2">
        <v>0.99999999999999778</v>
      </c>
      <c r="I53" s="2">
        <v>2.2654156712888781E-15</v>
      </c>
      <c r="J53" s="2">
        <v>4.4408920985006262E-15</v>
      </c>
      <c r="K53" s="2" t="s">
        <v>2</v>
      </c>
    </row>
    <row r="54" spans="1:11" x14ac:dyDescent="0.35">
      <c r="A54" s="2" t="s">
        <v>64</v>
      </c>
      <c r="B54" s="2">
        <v>207</v>
      </c>
      <c r="C54" s="2">
        <v>497</v>
      </c>
      <c r="D54" s="2">
        <v>0.29403409090909088</v>
      </c>
      <c r="E54" s="2">
        <v>1</v>
      </c>
      <c r="F54" s="2">
        <v>4.3442945899577279E-29</v>
      </c>
      <c r="G54" s="2">
        <v>8.6885891799154569E-29</v>
      </c>
      <c r="H54" s="2">
        <v>1</v>
      </c>
      <c r="I54" s="2">
        <v>4.1521906153856739E-28</v>
      </c>
      <c r="J54" s="2">
        <v>0</v>
      </c>
      <c r="K54" s="2" t="s">
        <v>2</v>
      </c>
    </row>
    <row r="55" spans="1:11" x14ac:dyDescent="0.35">
      <c r="A55" s="2" t="s">
        <v>65</v>
      </c>
      <c r="B55" s="2">
        <v>199</v>
      </c>
      <c r="C55" s="2">
        <v>505</v>
      </c>
      <c r="D55" s="2">
        <v>0.28267045454545447</v>
      </c>
      <c r="E55" s="2">
        <v>1</v>
      </c>
      <c r="F55" s="2">
        <v>7.4354863343056346E-32</v>
      </c>
      <c r="G55" s="2">
        <v>1.4870972668611269E-31</v>
      </c>
      <c r="H55" s="2">
        <v>1</v>
      </c>
      <c r="I55" s="2">
        <v>4.5076699615079748E-31</v>
      </c>
      <c r="J55" s="2">
        <v>0</v>
      </c>
      <c r="K55" s="2" t="s">
        <v>2</v>
      </c>
    </row>
    <row r="56" spans="1:11" x14ac:dyDescent="0.35">
      <c r="A56" s="2" t="s">
        <v>66</v>
      </c>
      <c r="B56" s="2">
        <v>312</v>
      </c>
      <c r="C56" s="2">
        <v>392</v>
      </c>
      <c r="D56" s="2">
        <v>0.44318181818181818</v>
      </c>
      <c r="E56" s="2">
        <v>0.99887778140824413</v>
      </c>
      <c r="F56" s="2">
        <v>1.440259242764247E-3</v>
      </c>
      <c r="G56" s="2">
        <v>2.880518485528494E-3</v>
      </c>
      <c r="H56" s="2">
        <v>0.99871558423648865</v>
      </c>
      <c r="I56" s="2">
        <v>1.284415763511356E-3</v>
      </c>
      <c r="J56" s="2">
        <v>2.5688315270226969E-3</v>
      </c>
      <c r="K56" s="2" t="s">
        <v>2</v>
      </c>
    </row>
    <row r="57" spans="1:11" x14ac:dyDescent="0.35">
      <c r="A57" s="2" t="s">
        <v>67</v>
      </c>
      <c r="B57" s="2">
        <v>280</v>
      </c>
      <c r="C57" s="2">
        <v>424</v>
      </c>
      <c r="D57" s="2">
        <v>0.39772727272727271</v>
      </c>
      <c r="E57" s="2">
        <v>0.99999997919254269</v>
      </c>
      <c r="F57" s="2">
        <v>3.1923094571434119E-8</v>
      </c>
      <c r="G57" s="2">
        <v>6.3846189142868239E-8</v>
      </c>
      <c r="H57" s="2">
        <v>0.99999997137818786</v>
      </c>
      <c r="I57" s="2">
        <v>2.8621812133695279E-8</v>
      </c>
      <c r="J57" s="2">
        <v>5.7243624285163719E-8</v>
      </c>
      <c r="K57" s="2" t="s">
        <v>2</v>
      </c>
    </row>
    <row r="58" spans="1:11" x14ac:dyDescent="0.35">
      <c r="A58" s="2" t="s">
        <v>68</v>
      </c>
      <c r="B58" s="2">
        <v>313</v>
      </c>
      <c r="C58" s="2">
        <v>391</v>
      </c>
      <c r="D58" s="2">
        <v>0.44460227272727271</v>
      </c>
      <c r="E58" s="2">
        <v>0.99855974075723575</v>
      </c>
      <c r="F58" s="2">
        <v>1.838572134761929E-3</v>
      </c>
      <c r="G58" s="2">
        <v>3.6771442695238579E-3</v>
      </c>
      <c r="H58" s="2">
        <v>0.99835753791918813</v>
      </c>
      <c r="I58" s="2">
        <v>1.642462080811845E-3</v>
      </c>
      <c r="J58" s="2">
        <v>3.2849241616237368E-3</v>
      </c>
      <c r="K58" s="2" t="s">
        <v>2</v>
      </c>
    </row>
    <row r="59" spans="1:11" x14ac:dyDescent="0.35">
      <c r="A59" s="2" t="s">
        <v>69</v>
      </c>
      <c r="B59" s="2">
        <v>162</v>
      </c>
      <c r="C59" s="2">
        <v>542</v>
      </c>
      <c r="D59" s="2">
        <v>0.23011363636363641</v>
      </c>
      <c r="E59" s="2">
        <v>1</v>
      </c>
      <c r="F59" s="2">
        <v>5.0459623456448502E-49</v>
      </c>
      <c r="G59" s="2">
        <v>1.00919246912897E-48</v>
      </c>
      <c r="H59" s="2">
        <v>1</v>
      </c>
      <c r="I59" s="2">
        <v>7.9976142288709913E-47</v>
      </c>
      <c r="J59" s="2">
        <v>0</v>
      </c>
      <c r="K59" s="2" t="s">
        <v>2</v>
      </c>
    </row>
    <row r="60" spans="1:11" x14ac:dyDescent="0.35">
      <c r="A60" s="2" t="s">
        <v>70</v>
      </c>
      <c r="B60" s="2">
        <v>522</v>
      </c>
      <c r="C60" s="2">
        <v>182</v>
      </c>
      <c r="D60" s="2">
        <v>0.74147727272727271</v>
      </c>
      <c r="E60" s="2">
        <v>3.3845026632262342E-39</v>
      </c>
      <c r="F60" s="2">
        <v>1</v>
      </c>
      <c r="G60" s="2">
        <v>6.769005326452467E-39</v>
      </c>
      <c r="H60" s="2">
        <v>0</v>
      </c>
      <c r="I60" s="2">
        <v>1</v>
      </c>
      <c r="J60" s="2">
        <v>0</v>
      </c>
      <c r="K60" s="2" t="s">
        <v>1</v>
      </c>
    </row>
    <row r="61" spans="1:11" x14ac:dyDescent="0.35">
      <c r="A61" s="2" t="s">
        <v>71</v>
      </c>
      <c r="B61" s="2">
        <v>404</v>
      </c>
      <c r="C61" s="2">
        <v>300</v>
      </c>
      <c r="D61" s="2">
        <v>0.57386363636363635</v>
      </c>
      <c r="E61" s="2">
        <v>5.0438205584933382E-5</v>
      </c>
      <c r="F61" s="2">
        <v>0.99996318795309103</v>
      </c>
      <c r="G61" s="2">
        <v>1.008764111698668E-4</v>
      </c>
      <c r="H61" s="2">
        <v>4.4339291497941247E-5</v>
      </c>
      <c r="I61" s="2">
        <v>0.99995566070850206</v>
      </c>
      <c r="J61" s="2">
        <v>8.8678582995882493E-5</v>
      </c>
      <c r="K61" s="2" t="s">
        <v>1</v>
      </c>
    </row>
    <row r="62" spans="1:11" x14ac:dyDescent="0.35">
      <c r="A62" s="2" t="s">
        <v>72</v>
      </c>
      <c r="B62" s="2">
        <v>279</v>
      </c>
      <c r="C62" s="2">
        <v>425</v>
      </c>
      <c r="D62" s="2">
        <v>0.39630681818181818</v>
      </c>
      <c r="E62" s="2">
        <v>0.99999998651578603</v>
      </c>
      <c r="F62" s="2">
        <v>2.080745730839368E-8</v>
      </c>
      <c r="G62" s="2">
        <v>4.1614914616787348E-8</v>
      </c>
      <c r="H62" s="2">
        <v>0.99999998128655132</v>
      </c>
      <c r="I62" s="2">
        <v>1.8713448634302529E-8</v>
      </c>
      <c r="J62" s="2">
        <v>3.7426897359083E-8</v>
      </c>
      <c r="K62" s="2" t="s">
        <v>2</v>
      </c>
    </row>
    <row r="63" spans="1:11" x14ac:dyDescent="0.35">
      <c r="A63" s="2" t="s">
        <v>73</v>
      </c>
      <c r="B63" s="2">
        <v>373</v>
      </c>
      <c r="C63" s="2">
        <v>331</v>
      </c>
      <c r="D63" s="2">
        <v>0.52982954545454541</v>
      </c>
      <c r="E63" s="2">
        <v>6.1112744934414411E-2</v>
      </c>
      <c r="F63" s="2">
        <v>0.94748427449911499</v>
      </c>
      <c r="G63" s="2">
        <v>0.12222548986882879</v>
      </c>
      <c r="H63" s="2">
        <v>5.6718190418091563E-2</v>
      </c>
      <c r="I63" s="2">
        <v>0.94328180958190844</v>
      </c>
      <c r="J63" s="2">
        <v>0.1134363808361831</v>
      </c>
      <c r="K63" s="2" t="s">
        <v>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359</v>
      </c>
      <c r="C2" s="2">
        <v>345</v>
      </c>
      <c r="D2" s="2">
        <v>0.50994318181818177</v>
      </c>
      <c r="E2" s="2">
        <v>0.33924030681285811</v>
      </c>
      <c r="F2" s="2">
        <v>0.68790182259992472</v>
      </c>
      <c r="G2" s="2">
        <v>0.6784806136257161</v>
      </c>
      <c r="H2" s="2">
        <v>0.29887292785152092</v>
      </c>
      <c r="I2" s="2">
        <v>0.70112707214847914</v>
      </c>
      <c r="J2" s="2">
        <v>0.59774585570304173</v>
      </c>
      <c r="K2" s="2" t="s">
        <v>12</v>
      </c>
    </row>
    <row r="3" spans="1:11" x14ac:dyDescent="0.35">
      <c r="A3" s="2" t="s">
        <v>13</v>
      </c>
      <c r="B3" s="2">
        <v>397</v>
      </c>
      <c r="C3" s="2">
        <v>307</v>
      </c>
      <c r="D3" s="2">
        <v>0.56392045454545459</v>
      </c>
      <c r="E3" s="2">
        <v>3.9196467388036299E-4</v>
      </c>
      <c r="F3" s="2">
        <v>0.99970272376273472</v>
      </c>
      <c r="G3" s="2">
        <v>7.8392934776072597E-4</v>
      </c>
      <c r="H3" s="2">
        <v>3.4691887544968658E-4</v>
      </c>
      <c r="I3" s="2">
        <v>0.99965308112455031</v>
      </c>
      <c r="J3" s="2">
        <v>6.9383775089937316E-4</v>
      </c>
      <c r="K3" s="2" t="s">
        <v>1</v>
      </c>
    </row>
    <row r="4" spans="1:11" x14ac:dyDescent="0.35">
      <c r="A4" s="2" t="s">
        <v>14</v>
      </c>
      <c r="B4" s="2">
        <v>302</v>
      </c>
      <c r="C4" s="2">
        <v>402</v>
      </c>
      <c r="D4" s="2">
        <v>0.42897727272727271</v>
      </c>
      <c r="E4" s="2">
        <v>0.99993127286383343</v>
      </c>
      <c r="F4" s="2">
        <v>9.3132563399741616E-5</v>
      </c>
      <c r="G4" s="2">
        <v>1.8626512679948321E-4</v>
      </c>
      <c r="H4" s="2">
        <v>0.99991801303050887</v>
      </c>
      <c r="I4" s="2">
        <v>8.1986969491158737E-5</v>
      </c>
      <c r="J4" s="2">
        <v>1.6397393898226481E-4</v>
      </c>
      <c r="K4" s="2" t="s">
        <v>2</v>
      </c>
    </row>
    <row r="5" spans="1:11" x14ac:dyDescent="0.35">
      <c r="A5" s="2" t="s">
        <v>15</v>
      </c>
      <c r="B5" s="2">
        <v>351</v>
      </c>
      <c r="C5" s="2">
        <v>353</v>
      </c>
      <c r="D5" s="2">
        <v>0.49857954545454553</v>
      </c>
      <c r="E5" s="2">
        <v>0.54500593559208865</v>
      </c>
      <c r="F5" s="2">
        <v>0.4849696355118181</v>
      </c>
      <c r="G5" s="2">
        <v>0.9699392710236362</v>
      </c>
      <c r="H5" s="2">
        <v>0.53004295338662577</v>
      </c>
      <c r="I5" s="2">
        <v>0.46995704661337417</v>
      </c>
      <c r="J5" s="2">
        <v>0.93991409322674846</v>
      </c>
      <c r="K5" s="2" t="s">
        <v>12</v>
      </c>
    </row>
    <row r="6" spans="1:11" x14ac:dyDescent="0.35">
      <c r="A6" s="2" t="s">
        <v>16</v>
      </c>
      <c r="B6" s="2">
        <v>347</v>
      </c>
      <c r="C6" s="2">
        <v>357</v>
      </c>
      <c r="D6" s="2">
        <v>0.49289772727272729</v>
      </c>
      <c r="E6" s="2">
        <v>0.66075969318714201</v>
      </c>
      <c r="F6" s="2">
        <v>0.36724284954996672</v>
      </c>
      <c r="G6" s="2">
        <v>0.73448569909993344</v>
      </c>
      <c r="H6" s="2">
        <v>0.64687201894757329</v>
      </c>
      <c r="I6" s="2">
        <v>0.35312798105242671</v>
      </c>
      <c r="J6" s="2">
        <v>0.70625596210485342</v>
      </c>
      <c r="K6" s="2" t="s">
        <v>12</v>
      </c>
    </row>
    <row r="7" spans="1:11" x14ac:dyDescent="0.35">
      <c r="A7" s="2" t="s">
        <v>17</v>
      </c>
      <c r="B7" s="2">
        <v>383</v>
      </c>
      <c r="C7" s="2">
        <v>321</v>
      </c>
      <c r="D7" s="2">
        <v>0.54403409090909094</v>
      </c>
      <c r="E7" s="2">
        <v>1.07186411397128E-2</v>
      </c>
      <c r="F7" s="2">
        <v>0.99124236032330704</v>
      </c>
      <c r="G7" s="2">
        <v>2.143728227942561E-2</v>
      </c>
      <c r="H7" s="2">
        <v>9.727058132618871E-3</v>
      </c>
      <c r="I7" s="2">
        <v>0.99027294186738113</v>
      </c>
      <c r="J7" s="2">
        <v>1.9454116265237738E-2</v>
      </c>
      <c r="K7" s="2" t="s">
        <v>1</v>
      </c>
    </row>
    <row r="8" spans="1:11" x14ac:dyDescent="0.35">
      <c r="A8" s="2" t="s">
        <v>18</v>
      </c>
      <c r="B8" s="2">
        <v>440</v>
      </c>
      <c r="C8" s="2">
        <v>264</v>
      </c>
      <c r="D8" s="2">
        <v>0.625</v>
      </c>
      <c r="E8" s="2">
        <v>1.6840591736383231E-11</v>
      </c>
      <c r="F8" s="2">
        <v>0.99999999999000511</v>
      </c>
      <c r="G8" s="2">
        <v>3.3681183472766463E-11</v>
      </c>
      <c r="H8" s="2">
        <v>1.6418755244274049E-11</v>
      </c>
      <c r="I8" s="2">
        <v>0.99999999998358124</v>
      </c>
      <c r="J8" s="2">
        <v>3.2837510488548112E-11</v>
      </c>
      <c r="K8" s="2" t="s">
        <v>1</v>
      </c>
    </row>
    <row r="9" spans="1:11" x14ac:dyDescent="0.35">
      <c r="A9" s="2" t="s">
        <v>19</v>
      </c>
      <c r="B9" s="2">
        <v>453</v>
      </c>
      <c r="C9" s="2">
        <v>251</v>
      </c>
      <c r="D9" s="2">
        <v>0.64346590909090906</v>
      </c>
      <c r="E9" s="2">
        <v>1.1959484177270701E-14</v>
      </c>
      <c r="F9" s="2">
        <v>0.99999999999999345</v>
      </c>
      <c r="G9" s="2">
        <v>2.3918968354541401E-14</v>
      </c>
      <c r="H9" s="2">
        <v>1.332267629550188E-14</v>
      </c>
      <c r="I9" s="2">
        <v>0.99999999999998668</v>
      </c>
      <c r="J9" s="2">
        <v>2.664535259100376E-14</v>
      </c>
      <c r="K9" s="2" t="s">
        <v>1</v>
      </c>
    </row>
    <row r="10" spans="1:11" x14ac:dyDescent="0.35">
      <c r="A10" s="2" t="s">
        <v>20</v>
      </c>
      <c r="B10" s="2">
        <v>423</v>
      </c>
      <c r="C10" s="2">
        <v>281</v>
      </c>
      <c r="D10" s="2">
        <v>0.60085227272727271</v>
      </c>
      <c r="E10" s="2">
        <v>4.8695444035950358E-8</v>
      </c>
      <c r="F10" s="2">
        <v>0.99999996807690539</v>
      </c>
      <c r="G10" s="2">
        <v>9.7390888071900728E-8</v>
      </c>
      <c r="H10" s="2">
        <v>4.3535463345456549E-8</v>
      </c>
      <c r="I10" s="2">
        <v>0.99999995646453665</v>
      </c>
      <c r="J10" s="2">
        <v>8.7070926690913097E-8</v>
      </c>
      <c r="K10" s="2" t="s">
        <v>1</v>
      </c>
    </row>
    <row r="11" spans="1:11" x14ac:dyDescent="0.35">
      <c r="A11" s="2" t="s">
        <v>21</v>
      </c>
      <c r="B11" s="2">
        <v>384</v>
      </c>
      <c r="C11" s="2">
        <v>320</v>
      </c>
      <c r="D11" s="2">
        <v>0.54545454545454541</v>
      </c>
      <c r="E11" s="2">
        <v>8.7576396766929094E-3</v>
      </c>
      <c r="F11" s="2">
        <v>0.99288163498380022</v>
      </c>
      <c r="G11" s="2">
        <v>1.7515279353385819E-2</v>
      </c>
      <c r="H11" s="2">
        <v>7.9306663698865965E-3</v>
      </c>
      <c r="I11" s="2">
        <v>0.9920693336301134</v>
      </c>
      <c r="J11" s="2">
        <v>1.5861332739773189E-2</v>
      </c>
      <c r="K11" s="2" t="s">
        <v>1</v>
      </c>
    </row>
    <row r="12" spans="1:11" x14ac:dyDescent="0.35">
      <c r="A12" s="2" t="s">
        <v>22</v>
      </c>
      <c r="B12" s="2">
        <v>423</v>
      </c>
      <c r="C12" s="2">
        <v>281</v>
      </c>
      <c r="D12" s="2">
        <v>0.60085227272727271</v>
      </c>
      <c r="E12" s="2">
        <v>4.8695444035950358E-8</v>
      </c>
      <c r="F12" s="2">
        <v>0.99999996807690539</v>
      </c>
      <c r="G12" s="2">
        <v>9.7390888071900728E-8</v>
      </c>
      <c r="H12" s="2">
        <v>4.3535463345456549E-8</v>
      </c>
      <c r="I12" s="2">
        <v>0.99999995646453665</v>
      </c>
      <c r="J12" s="2">
        <v>8.7070926690913097E-8</v>
      </c>
      <c r="K12" s="2" t="s">
        <v>1</v>
      </c>
    </row>
    <row r="13" spans="1:11" x14ac:dyDescent="0.35">
      <c r="A13" s="2" t="s">
        <v>23</v>
      </c>
      <c r="B13" s="2">
        <v>249</v>
      </c>
      <c r="C13" s="2">
        <v>455</v>
      </c>
      <c r="D13" s="2">
        <v>0.35369318181818182</v>
      </c>
      <c r="E13" s="2">
        <v>0.99999999999999811</v>
      </c>
      <c r="F13" s="2">
        <v>3.5800149477577373E-15</v>
      </c>
      <c r="G13" s="2">
        <v>7.160029895515473E-15</v>
      </c>
      <c r="H13" s="2">
        <v>0.99999999999999589</v>
      </c>
      <c r="I13" s="2">
        <v>4.1172859136787213E-15</v>
      </c>
      <c r="J13" s="2">
        <v>8.2156503822261584E-15</v>
      </c>
      <c r="K13" s="2" t="s">
        <v>2</v>
      </c>
    </row>
    <row r="14" spans="1:11" x14ac:dyDescent="0.35">
      <c r="A14" s="2" t="s">
        <v>24</v>
      </c>
      <c r="B14" s="2">
        <v>524</v>
      </c>
      <c r="C14" s="2">
        <v>180</v>
      </c>
      <c r="D14" s="2">
        <v>0.74431818181818177</v>
      </c>
      <c r="E14" s="2">
        <v>4.0368089073880516E-40</v>
      </c>
      <c r="F14" s="2">
        <v>1</v>
      </c>
      <c r="G14" s="2">
        <v>8.0736178147761049E-40</v>
      </c>
      <c r="H14" s="2">
        <v>0</v>
      </c>
      <c r="I14" s="2">
        <v>1</v>
      </c>
      <c r="J14" s="2">
        <v>0</v>
      </c>
      <c r="K14" s="2" t="s">
        <v>1</v>
      </c>
    </row>
    <row r="15" spans="1:11" x14ac:dyDescent="0.35">
      <c r="A15" s="2" t="s">
        <v>25</v>
      </c>
      <c r="B15" s="2">
        <v>428</v>
      </c>
      <c r="C15" s="2">
        <v>276</v>
      </c>
      <c r="D15" s="2">
        <v>0.60795454545454541</v>
      </c>
      <c r="E15" s="2">
        <v>5.5654150471749074E-9</v>
      </c>
      <c r="F15" s="2">
        <v>0.99999999645551363</v>
      </c>
      <c r="G15" s="2">
        <v>1.113083009434981E-8</v>
      </c>
      <c r="H15" s="2">
        <v>5.0596956624460176E-9</v>
      </c>
      <c r="I15" s="2">
        <v>0.99999999494030434</v>
      </c>
      <c r="J15" s="2">
        <v>1.011939132489204E-8</v>
      </c>
      <c r="K15" s="2" t="s">
        <v>1</v>
      </c>
    </row>
    <row r="16" spans="1:11" x14ac:dyDescent="0.35">
      <c r="A16" s="2" t="s">
        <v>26</v>
      </c>
      <c r="B16" s="2">
        <v>356</v>
      </c>
      <c r="C16" s="2">
        <v>348</v>
      </c>
      <c r="D16" s="2">
        <v>0.50568181818181823</v>
      </c>
      <c r="E16" s="2">
        <v>0.39596959597855169</v>
      </c>
      <c r="F16" s="2">
        <v>0.63275715045003333</v>
      </c>
      <c r="G16" s="2">
        <v>0.79193919195710338</v>
      </c>
      <c r="H16" s="2">
        <v>0.38151230027649652</v>
      </c>
      <c r="I16" s="2">
        <v>0.61848769972350348</v>
      </c>
      <c r="J16" s="2">
        <v>0.76302460055299304</v>
      </c>
      <c r="K16" s="2" t="s">
        <v>12</v>
      </c>
    </row>
    <row r="17" spans="1:11" x14ac:dyDescent="0.35">
      <c r="A17" s="2" t="s">
        <v>27</v>
      </c>
      <c r="B17" s="2">
        <v>423</v>
      </c>
      <c r="C17" s="2">
        <v>281</v>
      </c>
      <c r="D17" s="2">
        <v>0.60085227272727271</v>
      </c>
      <c r="E17" s="2">
        <v>4.8695444035950358E-8</v>
      </c>
      <c r="F17" s="2">
        <v>0.99999996807690539</v>
      </c>
      <c r="G17" s="2">
        <v>9.7390888071900728E-8</v>
      </c>
      <c r="H17" s="2">
        <v>4.3535463345456549E-8</v>
      </c>
      <c r="I17" s="2">
        <v>0.99999995646453665</v>
      </c>
      <c r="J17" s="2">
        <v>8.7070926690913097E-8</v>
      </c>
      <c r="K17" s="2" t="s">
        <v>1</v>
      </c>
    </row>
    <row r="18" spans="1:11" x14ac:dyDescent="0.35">
      <c r="A18" s="2" t="s">
        <v>28</v>
      </c>
      <c r="B18" s="2">
        <v>371</v>
      </c>
      <c r="C18" s="2">
        <v>333</v>
      </c>
      <c r="D18" s="2">
        <v>0.52698863636363635</v>
      </c>
      <c r="E18" s="2">
        <v>8.1561343068735734E-2</v>
      </c>
      <c r="F18" s="2">
        <v>0.92922855552128913</v>
      </c>
      <c r="G18" s="2">
        <v>0.1631226861374715</v>
      </c>
      <c r="H18" s="2">
        <v>7.6046316240789946E-2</v>
      </c>
      <c r="I18" s="2">
        <v>0.92395368375921005</v>
      </c>
      <c r="J18" s="2">
        <v>0.15209263248157989</v>
      </c>
      <c r="K18" s="2" t="s">
        <v>12</v>
      </c>
    </row>
    <row r="19" spans="1:11" x14ac:dyDescent="0.35">
      <c r="A19" s="2" t="s">
        <v>29</v>
      </c>
      <c r="B19" s="2">
        <v>354</v>
      </c>
      <c r="C19" s="2">
        <v>350</v>
      </c>
      <c r="D19" s="2">
        <v>0.50284090909090906</v>
      </c>
      <c r="E19" s="2">
        <v>0.45499406440791129</v>
      </c>
      <c r="F19" s="2">
        <v>0.57472747643240507</v>
      </c>
      <c r="G19" s="2">
        <v>0.90998812881582258</v>
      </c>
      <c r="H19" s="2">
        <v>0.4400842274533634</v>
      </c>
      <c r="I19" s="2">
        <v>0.5599157725466366</v>
      </c>
      <c r="J19" s="2">
        <v>0.88016845490672679</v>
      </c>
      <c r="K19" s="2" t="s">
        <v>12</v>
      </c>
    </row>
    <row r="20" spans="1:11" x14ac:dyDescent="0.35">
      <c r="A20" s="2" t="s">
        <v>30</v>
      </c>
      <c r="B20" s="2">
        <v>348</v>
      </c>
      <c r="C20" s="2">
        <v>356</v>
      </c>
      <c r="D20" s="2">
        <v>0.49431818181818182</v>
      </c>
      <c r="E20" s="2">
        <v>0.63275715045003333</v>
      </c>
      <c r="F20" s="2">
        <v>0.39596959597855169</v>
      </c>
      <c r="G20" s="2">
        <v>0.79193919195710338</v>
      </c>
      <c r="H20" s="2">
        <v>0.61848769972350237</v>
      </c>
      <c r="I20" s="2">
        <v>0.38151230027649757</v>
      </c>
      <c r="J20" s="2">
        <v>0.76302460055299526</v>
      </c>
      <c r="K20" s="2" t="s">
        <v>12</v>
      </c>
    </row>
    <row r="21" spans="1:11" x14ac:dyDescent="0.35">
      <c r="A21" s="2" t="s">
        <v>31</v>
      </c>
      <c r="B21" s="2">
        <v>301</v>
      </c>
      <c r="C21" s="2">
        <v>403</v>
      </c>
      <c r="D21" s="2">
        <v>0.42755681818181818</v>
      </c>
      <c r="E21" s="2">
        <v>0.99994956179441508</v>
      </c>
      <c r="F21" s="2">
        <v>6.8727136166595653E-5</v>
      </c>
      <c r="G21" s="2">
        <v>1.3745427233319131E-4</v>
      </c>
      <c r="H21" s="2">
        <v>0.99993954399936102</v>
      </c>
      <c r="I21" s="2">
        <v>6.0456000639001708E-5</v>
      </c>
      <c r="J21" s="2">
        <v>1.2091200127795081E-4</v>
      </c>
      <c r="K21" s="2" t="s">
        <v>2</v>
      </c>
    </row>
    <row r="22" spans="1:11" x14ac:dyDescent="0.35">
      <c r="A22" s="2" t="s">
        <v>32</v>
      </c>
      <c r="B22" s="2">
        <v>269</v>
      </c>
      <c r="C22" s="2">
        <v>435</v>
      </c>
      <c r="D22" s="2">
        <v>0.38210227272727271</v>
      </c>
      <c r="E22" s="2">
        <v>0.99999999987208177</v>
      </c>
      <c r="F22" s="2">
        <v>2.0924884743097259E-10</v>
      </c>
      <c r="G22" s="2">
        <v>4.1849769486194508E-10</v>
      </c>
      <c r="H22" s="2">
        <v>0.99999999980296728</v>
      </c>
      <c r="I22" s="2">
        <v>1.9703275787215481E-10</v>
      </c>
      <c r="J22" s="2">
        <v>3.9406544694031709E-10</v>
      </c>
      <c r="K22" s="2" t="s">
        <v>2</v>
      </c>
    </row>
    <row r="23" spans="1:11" x14ac:dyDescent="0.35">
      <c r="A23" s="2" t="s">
        <v>33</v>
      </c>
      <c r="B23" s="2">
        <v>468</v>
      </c>
      <c r="C23" s="2">
        <v>236</v>
      </c>
      <c r="D23" s="2">
        <v>0.66477272727272729</v>
      </c>
      <c r="E23" s="2">
        <v>7.7224614927399764E-19</v>
      </c>
      <c r="F23" s="2">
        <v>1</v>
      </c>
      <c r="G23" s="2">
        <v>1.5444922985479951E-18</v>
      </c>
      <c r="H23" s="2">
        <v>0</v>
      </c>
      <c r="I23" s="2">
        <v>1</v>
      </c>
      <c r="J23" s="2">
        <v>0</v>
      </c>
      <c r="K23" s="2" t="s">
        <v>1</v>
      </c>
    </row>
    <row r="24" spans="1:11" x14ac:dyDescent="0.35">
      <c r="A24" s="2" t="s">
        <v>34</v>
      </c>
      <c r="B24" s="2">
        <v>487</v>
      </c>
      <c r="C24" s="2">
        <v>217</v>
      </c>
      <c r="D24" s="2">
        <v>0.69176136363636365</v>
      </c>
      <c r="E24" s="2">
        <v>4.9411160066861492E-25</v>
      </c>
      <c r="F24" s="2">
        <v>1</v>
      </c>
      <c r="G24" s="2">
        <v>9.8822320133722983E-25</v>
      </c>
      <c r="H24" s="2">
        <v>0</v>
      </c>
      <c r="I24" s="2">
        <v>1</v>
      </c>
      <c r="J24" s="2">
        <v>0</v>
      </c>
      <c r="K24" s="2" t="s">
        <v>1</v>
      </c>
    </row>
    <row r="25" spans="1:11" x14ac:dyDescent="0.35">
      <c r="A25" s="2" t="s">
        <v>35</v>
      </c>
      <c r="B25" s="2">
        <v>241</v>
      </c>
      <c r="C25" s="2">
        <v>463</v>
      </c>
      <c r="D25" s="2">
        <v>0.34232954545454553</v>
      </c>
      <c r="E25" s="2">
        <v>1</v>
      </c>
      <c r="F25" s="2">
        <v>2.2479212144743419E-17</v>
      </c>
      <c r="G25" s="2">
        <v>4.4958424289486838E-17</v>
      </c>
      <c r="H25" s="2">
        <v>1</v>
      </c>
      <c r="I25" s="2">
        <v>2.9566941637776868E-17</v>
      </c>
      <c r="J25" s="2">
        <v>0</v>
      </c>
      <c r="K25" s="2" t="s">
        <v>2</v>
      </c>
    </row>
    <row r="26" spans="1:11" x14ac:dyDescent="0.35">
      <c r="A26" s="2" t="s">
        <v>36</v>
      </c>
      <c r="B26" s="2">
        <v>406</v>
      </c>
      <c r="C26" s="2">
        <v>298</v>
      </c>
      <c r="D26" s="2">
        <v>0.57670454545454541</v>
      </c>
      <c r="E26" s="2">
        <v>2.6718596037924099E-5</v>
      </c>
      <c r="F26" s="2">
        <v>0.99998071475817496</v>
      </c>
      <c r="G26" s="2">
        <v>5.3437192075848198E-5</v>
      </c>
      <c r="H26" s="2">
        <v>2.346592452884266E-5</v>
      </c>
      <c r="I26" s="2">
        <v>0.99997653407547116</v>
      </c>
      <c r="J26" s="2">
        <v>4.6931849057685333E-5</v>
      </c>
      <c r="K26" s="2" t="s">
        <v>1</v>
      </c>
    </row>
    <row r="27" spans="1:11" x14ac:dyDescent="0.35">
      <c r="A27" s="2" t="s">
        <v>37</v>
      </c>
      <c r="B27" s="2">
        <v>380</v>
      </c>
      <c r="C27" s="2">
        <v>324</v>
      </c>
      <c r="D27" s="2">
        <v>0.53977272727272729</v>
      </c>
      <c r="E27" s="2">
        <v>1.9053548193704001E-2</v>
      </c>
      <c r="F27" s="2">
        <v>0.98419030824746367</v>
      </c>
      <c r="G27" s="2">
        <v>3.8107096387408002E-2</v>
      </c>
      <c r="H27" s="2">
        <v>1.7404239405933501E-2</v>
      </c>
      <c r="I27" s="2">
        <v>0.9825957605940665</v>
      </c>
      <c r="J27" s="2">
        <v>3.4808478811866987E-2</v>
      </c>
      <c r="K27" s="2" t="s">
        <v>1</v>
      </c>
    </row>
    <row r="28" spans="1:11" x14ac:dyDescent="0.35">
      <c r="A28" s="2" t="s">
        <v>38</v>
      </c>
      <c r="B28" s="2">
        <v>424</v>
      </c>
      <c r="C28" s="2">
        <v>280</v>
      </c>
      <c r="D28" s="2">
        <v>0.60227272727272729</v>
      </c>
      <c r="E28" s="2">
        <v>3.1923094571434119E-8</v>
      </c>
      <c r="F28" s="2">
        <v>0.99999997919254269</v>
      </c>
      <c r="G28" s="2">
        <v>6.3846189142868239E-8</v>
      </c>
      <c r="H28" s="2">
        <v>2.8621812142581859E-8</v>
      </c>
      <c r="I28" s="2">
        <v>0.99999997137818786</v>
      </c>
      <c r="J28" s="2">
        <v>5.7243624285163719E-8</v>
      </c>
      <c r="K28" s="2" t="s">
        <v>1</v>
      </c>
    </row>
    <row r="29" spans="1:11" x14ac:dyDescent="0.35">
      <c r="A29" s="2" t="s">
        <v>39</v>
      </c>
      <c r="B29" s="2">
        <v>371</v>
      </c>
      <c r="C29" s="2">
        <v>333</v>
      </c>
      <c r="D29" s="2">
        <v>0.52698863636363635</v>
      </c>
      <c r="E29" s="2">
        <v>8.1561343068735734E-2</v>
      </c>
      <c r="F29" s="2">
        <v>0.92922855552128913</v>
      </c>
      <c r="G29" s="2">
        <v>0.1631226861374715</v>
      </c>
      <c r="H29" s="2">
        <v>7.6046316240789946E-2</v>
      </c>
      <c r="I29" s="2">
        <v>0.92395368375921005</v>
      </c>
      <c r="J29" s="2">
        <v>0.15209263248157989</v>
      </c>
      <c r="K29" s="2" t="s">
        <v>12</v>
      </c>
    </row>
    <row r="30" spans="1:11" x14ac:dyDescent="0.35">
      <c r="A30" s="2" t="s">
        <v>40</v>
      </c>
      <c r="B30" s="2">
        <v>434</v>
      </c>
      <c r="C30" s="2">
        <v>270</v>
      </c>
      <c r="D30" s="2">
        <v>0.61647727272727271</v>
      </c>
      <c r="E30" s="2">
        <v>3.402815753304427E-10</v>
      </c>
      <c r="F30" s="2">
        <v>0.99999999979075116</v>
      </c>
      <c r="G30" s="2">
        <v>6.8056315066088541E-10</v>
      </c>
      <c r="H30" s="2">
        <v>3.1851921100667369E-10</v>
      </c>
      <c r="I30" s="2">
        <v>0.99999999968148079</v>
      </c>
      <c r="J30" s="2">
        <v>6.3703842201334737E-10</v>
      </c>
      <c r="K30" s="2" t="s">
        <v>1</v>
      </c>
    </row>
    <row r="31" spans="1:11" x14ac:dyDescent="0.35">
      <c r="A31" s="2" t="s">
        <v>41</v>
      </c>
      <c r="B31" s="2">
        <v>353</v>
      </c>
      <c r="C31" s="2">
        <v>351</v>
      </c>
      <c r="D31" s="2">
        <v>0.50142045454545459</v>
      </c>
      <c r="E31" s="2">
        <v>0.4849696355118181</v>
      </c>
      <c r="F31" s="2">
        <v>0.54500593559208865</v>
      </c>
      <c r="G31" s="2">
        <v>0.9699392710236362</v>
      </c>
      <c r="H31" s="2">
        <v>0.46995704661337301</v>
      </c>
      <c r="I31" s="2">
        <v>0.53004295338662699</v>
      </c>
      <c r="J31" s="2">
        <v>0.93991409322674602</v>
      </c>
      <c r="K31" s="2" t="s">
        <v>12</v>
      </c>
    </row>
    <row r="32" spans="1:11" x14ac:dyDescent="0.35">
      <c r="A32" s="2" t="s">
        <v>42</v>
      </c>
      <c r="B32" s="2">
        <v>286</v>
      </c>
      <c r="C32" s="2">
        <v>418</v>
      </c>
      <c r="D32" s="2">
        <v>0.40625</v>
      </c>
      <c r="E32" s="2">
        <v>0.99999975106193439</v>
      </c>
      <c r="F32" s="2">
        <v>3.6900608683083041E-7</v>
      </c>
      <c r="G32" s="2">
        <v>7.3801217366166082E-7</v>
      </c>
      <c r="H32" s="2">
        <v>0.99999967365599507</v>
      </c>
      <c r="I32" s="2">
        <v>3.2634400491955672E-7</v>
      </c>
      <c r="J32" s="2">
        <v>6.5268800986117981E-7</v>
      </c>
      <c r="K32" s="2" t="s">
        <v>2</v>
      </c>
    </row>
    <row r="33" spans="1:11" x14ac:dyDescent="0.35">
      <c r="A33" s="2" t="s">
        <v>43</v>
      </c>
      <c r="B33" s="2">
        <v>226</v>
      </c>
      <c r="C33" s="2">
        <v>478</v>
      </c>
      <c r="D33" s="2">
        <v>0.32102272727272729</v>
      </c>
      <c r="E33" s="2">
        <v>1</v>
      </c>
      <c r="F33" s="2">
        <v>5.6723166494676379E-22</v>
      </c>
      <c r="G33" s="2">
        <v>1.134463329893528E-21</v>
      </c>
      <c r="H33" s="2">
        <v>1</v>
      </c>
      <c r="I33" s="2">
        <v>1.07384054722145E-21</v>
      </c>
      <c r="J33" s="2">
        <v>0</v>
      </c>
      <c r="K33" s="2" t="s">
        <v>2</v>
      </c>
    </row>
    <row r="34" spans="1:11" x14ac:dyDescent="0.35">
      <c r="A34" s="2" t="s">
        <v>44</v>
      </c>
      <c r="B34" s="2">
        <v>282</v>
      </c>
      <c r="C34" s="2">
        <v>422</v>
      </c>
      <c r="D34" s="2">
        <v>0.40056818181818182</v>
      </c>
      <c r="E34" s="2">
        <v>0.99999995130455599</v>
      </c>
      <c r="F34" s="2">
        <v>7.3853968232725039E-8</v>
      </c>
      <c r="G34" s="2">
        <v>1.477079364654501E-7</v>
      </c>
      <c r="H34" s="2">
        <v>0.99999993414425803</v>
      </c>
      <c r="I34" s="2">
        <v>6.5855741945611969E-8</v>
      </c>
      <c r="J34" s="2">
        <v>1.3171148394164331E-7</v>
      </c>
      <c r="K34" s="2" t="s">
        <v>2</v>
      </c>
    </row>
    <row r="35" spans="1:11" x14ac:dyDescent="0.35">
      <c r="A35" s="2" t="s">
        <v>45</v>
      </c>
      <c r="B35" s="2">
        <v>354</v>
      </c>
      <c r="C35" s="2">
        <v>350</v>
      </c>
      <c r="D35" s="2">
        <v>0.50284090909090906</v>
      </c>
      <c r="E35" s="2">
        <v>0.45499406440791129</v>
      </c>
      <c r="F35" s="2">
        <v>0.57472747643240507</v>
      </c>
      <c r="G35" s="2">
        <v>0.90998812881582258</v>
      </c>
      <c r="H35" s="2">
        <v>0.4400842274533634</v>
      </c>
      <c r="I35" s="2">
        <v>0.5599157725466366</v>
      </c>
      <c r="J35" s="2">
        <v>0.88016845490672679</v>
      </c>
      <c r="K35" s="2" t="s">
        <v>12</v>
      </c>
    </row>
    <row r="36" spans="1:11" x14ac:dyDescent="0.35">
      <c r="A36" s="2" t="s">
        <v>46</v>
      </c>
      <c r="B36" s="2">
        <v>283</v>
      </c>
      <c r="C36" s="2">
        <v>421</v>
      </c>
      <c r="D36" s="2">
        <v>0.40198863636363641</v>
      </c>
      <c r="E36" s="2">
        <v>0.99999992614603173</v>
      </c>
      <c r="F36" s="2">
        <v>1.113695060809213E-7</v>
      </c>
      <c r="G36" s="2">
        <v>2.2273901216184249E-7</v>
      </c>
      <c r="H36" s="2">
        <v>0.99999990092814461</v>
      </c>
      <c r="I36" s="2">
        <v>9.9071855408947248E-8</v>
      </c>
      <c r="J36" s="2">
        <v>1.9814371077231391E-7</v>
      </c>
      <c r="K36" s="2" t="s">
        <v>2</v>
      </c>
    </row>
    <row r="37" spans="1:11" x14ac:dyDescent="0.35">
      <c r="A37" s="2" t="s">
        <v>47</v>
      </c>
      <c r="B37" s="2">
        <v>339</v>
      </c>
      <c r="C37" s="2">
        <v>365</v>
      </c>
      <c r="D37" s="2">
        <v>0.48153409090909088</v>
      </c>
      <c r="E37" s="2">
        <v>0.84556710823239156</v>
      </c>
      <c r="F37" s="2">
        <v>0.17304251071291021</v>
      </c>
      <c r="G37" s="2">
        <v>0.34608502142582048</v>
      </c>
      <c r="H37" s="2">
        <v>0.83643518838242337</v>
      </c>
      <c r="I37" s="2">
        <v>0.16356481161757661</v>
      </c>
      <c r="J37" s="2">
        <v>0.32712962323515332</v>
      </c>
      <c r="K37" s="2" t="s">
        <v>12</v>
      </c>
    </row>
    <row r="38" spans="1:11" x14ac:dyDescent="0.35">
      <c r="A38" s="2" t="s">
        <v>48</v>
      </c>
      <c r="B38" s="2">
        <v>377</v>
      </c>
      <c r="C38" s="2">
        <v>327</v>
      </c>
      <c r="D38" s="2">
        <v>0.53551136363636365</v>
      </c>
      <c r="E38" s="2">
        <v>3.2352956527301337E-2</v>
      </c>
      <c r="F38" s="2">
        <v>0.9727441946983314</v>
      </c>
      <c r="G38" s="2">
        <v>6.4705913054602687E-2</v>
      </c>
      <c r="H38" s="2">
        <v>2.975234282021488E-2</v>
      </c>
      <c r="I38" s="2">
        <v>0.97024765717978512</v>
      </c>
      <c r="J38" s="2">
        <v>5.9504685640429773E-2</v>
      </c>
      <c r="K38" s="2" t="s">
        <v>1</v>
      </c>
    </row>
    <row r="39" spans="1:11" x14ac:dyDescent="0.35">
      <c r="A39" s="2" t="s">
        <v>49</v>
      </c>
      <c r="B39" s="2">
        <v>324</v>
      </c>
      <c r="C39" s="2">
        <v>380</v>
      </c>
      <c r="D39" s="2">
        <v>0.46022727272727271</v>
      </c>
      <c r="E39" s="2">
        <v>0.98419030824746367</v>
      </c>
      <c r="F39" s="2">
        <v>1.9053548193704001E-2</v>
      </c>
      <c r="G39" s="2">
        <v>3.8107096387408002E-2</v>
      </c>
      <c r="H39" s="2">
        <v>0.9825957605940665</v>
      </c>
      <c r="I39" s="2">
        <v>1.7404239405933521E-2</v>
      </c>
      <c r="J39" s="2">
        <v>3.4808478811866987E-2</v>
      </c>
      <c r="K39" s="2" t="s">
        <v>2</v>
      </c>
    </row>
    <row r="40" spans="1:11" x14ac:dyDescent="0.35">
      <c r="A40" s="2" t="s">
        <v>50</v>
      </c>
      <c r="B40" s="2">
        <v>200</v>
      </c>
      <c r="C40" s="2">
        <v>504</v>
      </c>
      <c r="D40" s="2">
        <v>0.28409090909090912</v>
      </c>
      <c r="E40" s="2">
        <v>1</v>
      </c>
      <c r="F40" s="2">
        <v>1.885928027292221E-31</v>
      </c>
      <c r="G40" s="2">
        <v>3.7718560545844412E-31</v>
      </c>
      <c r="H40" s="2">
        <v>1</v>
      </c>
      <c r="I40" s="2">
        <v>1.0791074548134779E-30</v>
      </c>
      <c r="J40" s="2">
        <v>0</v>
      </c>
      <c r="K40" s="2" t="s">
        <v>2</v>
      </c>
    </row>
    <row r="41" spans="1:11" x14ac:dyDescent="0.35">
      <c r="A41" s="2" t="s">
        <v>51</v>
      </c>
      <c r="B41" s="2">
        <v>143</v>
      </c>
      <c r="C41" s="2">
        <v>561</v>
      </c>
      <c r="D41" s="2">
        <v>0.203125</v>
      </c>
      <c r="E41" s="2">
        <v>1</v>
      </c>
      <c r="F41" s="2">
        <v>1.213894333138013E-59</v>
      </c>
      <c r="G41" s="2">
        <v>2.4277886662760269E-59</v>
      </c>
      <c r="H41" s="2">
        <v>1</v>
      </c>
      <c r="I41" s="2">
        <v>3.225200149802477E-56</v>
      </c>
      <c r="J41" s="2">
        <v>0</v>
      </c>
      <c r="K41" s="2" t="s">
        <v>2</v>
      </c>
    </row>
    <row r="42" spans="1:11" x14ac:dyDescent="0.35">
      <c r="A42" s="2" t="s">
        <v>52</v>
      </c>
      <c r="B42" s="2">
        <v>369</v>
      </c>
      <c r="C42" s="2">
        <v>335</v>
      </c>
      <c r="D42" s="2">
        <v>0.52414772727272729</v>
      </c>
      <c r="E42" s="2">
        <v>0.1067839002741523</v>
      </c>
      <c r="F42" s="2">
        <v>0.90645347017408007</v>
      </c>
      <c r="G42" s="2">
        <v>0.21356780054830449</v>
      </c>
      <c r="H42" s="2">
        <v>0.1000225272546644</v>
      </c>
      <c r="I42" s="2">
        <v>0.89997747274533557</v>
      </c>
      <c r="J42" s="2">
        <v>0.20004505450932891</v>
      </c>
      <c r="K42" s="2" t="s">
        <v>12</v>
      </c>
    </row>
    <row r="43" spans="1:11" x14ac:dyDescent="0.35">
      <c r="A43" s="2" t="s">
        <v>53</v>
      </c>
      <c r="B43" s="2">
        <v>364</v>
      </c>
      <c r="C43" s="2">
        <v>340</v>
      </c>
      <c r="D43" s="2">
        <v>0.51704545454545459</v>
      </c>
      <c r="E43" s="2">
        <v>0.19302048399242741</v>
      </c>
      <c r="F43" s="2">
        <v>0.82695748928708979</v>
      </c>
      <c r="G43" s="2">
        <v>0.38604096798485482</v>
      </c>
      <c r="H43" s="2">
        <v>0.18285614814075599</v>
      </c>
      <c r="I43" s="2">
        <v>0.81714385185924399</v>
      </c>
      <c r="J43" s="2">
        <v>0.36571229628151197</v>
      </c>
      <c r="K43" s="2" t="s">
        <v>12</v>
      </c>
    </row>
    <row r="44" spans="1:11" x14ac:dyDescent="0.35">
      <c r="A44" s="2" t="s">
        <v>54</v>
      </c>
      <c r="B44" s="2">
        <v>373</v>
      </c>
      <c r="C44" s="2">
        <v>331</v>
      </c>
      <c r="D44" s="2">
        <v>0.52982954545454541</v>
      </c>
      <c r="E44" s="2">
        <v>6.1112744934414411E-2</v>
      </c>
      <c r="F44" s="2">
        <v>0.94748427449911499</v>
      </c>
      <c r="G44" s="2">
        <v>0.12222548986882879</v>
      </c>
      <c r="H44" s="2">
        <v>5.6718190418091563E-2</v>
      </c>
      <c r="I44" s="2">
        <v>0.94328180958190844</v>
      </c>
      <c r="J44" s="2">
        <v>0.1134363808361831</v>
      </c>
      <c r="K44" s="2" t="s">
        <v>12</v>
      </c>
    </row>
    <row r="45" spans="1:11" x14ac:dyDescent="0.35">
      <c r="A45" s="2" t="s">
        <v>55</v>
      </c>
      <c r="B45" s="2">
        <v>408</v>
      </c>
      <c r="C45" s="2">
        <v>296</v>
      </c>
      <c r="D45" s="2">
        <v>0.57954545454545459</v>
      </c>
      <c r="E45" s="2">
        <v>1.3842638494642849E-5</v>
      </c>
      <c r="F45" s="2">
        <v>0.99999011925657677</v>
      </c>
      <c r="G45" s="2">
        <v>2.7685276989285692E-5</v>
      </c>
      <c r="H45" s="2">
        <v>1.215248034736049E-5</v>
      </c>
      <c r="I45" s="2">
        <v>0.99998784751965264</v>
      </c>
      <c r="J45" s="2">
        <v>2.430496069472099E-5</v>
      </c>
      <c r="K45" s="2" t="s">
        <v>1</v>
      </c>
    </row>
    <row r="46" spans="1:11" x14ac:dyDescent="0.35">
      <c r="A46" s="2" t="s">
        <v>56</v>
      </c>
      <c r="B46" s="2">
        <v>469</v>
      </c>
      <c r="C46" s="2">
        <v>235</v>
      </c>
      <c r="D46" s="2">
        <v>0.66619318181818177</v>
      </c>
      <c r="E46" s="2">
        <v>7.7224614927399764E-19</v>
      </c>
      <c r="F46" s="2">
        <v>1</v>
      </c>
      <c r="G46" s="2">
        <v>1.5444922985479951E-18</v>
      </c>
      <c r="H46" s="2">
        <v>0</v>
      </c>
      <c r="I46" s="2">
        <v>1</v>
      </c>
      <c r="J46" s="2">
        <v>0</v>
      </c>
      <c r="K46" s="2" t="s">
        <v>1</v>
      </c>
    </row>
    <row r="47" spans="1:11" x14ac:dyDescent="0.35">
      <c r="A47" s="2" t="s">
        <v>57</v>
      </c>
      <c r="B47" s="2">
        <v>345</v>
      </c>
      <c r="C47" s="2">
        <v>359</v>
      </c>
      <c r="D47" s="2">
        <v>0.49005681818181818</v>
      </c>
      <c r="E47" s="2">
        <v>0.71406108938773216</v>
      </c>
      <c r="F47" s="2">
        <v>0.31209817740007528</v>
      </c>
      <c r="G47" s="2">
        <v>0.62419635480015057</v>
      </c>
      <c r="H47" s="2">
        <v>0.70112707214848013</v>
      </c>
      <c r="I47" s="2">
        <v>0.29887292785151992</v>
      </c>
      <c r="J47" s="2">
        <v>0.59774585570303973</v>
      </c>
      <c r="K47" s="2" t="s">
        <v>12</v>
      </c>
    </row>
    <row r="48" spans="1:11" x14ac:dyDescent="0.35">
      <c r="A48" s="2" t="s">
        <v>58</v>
      </c>
      <c r="B48" s="2">
        <v>375</v>
      </c>
      <c r="C48" s="2">
        <v>329</v>
      </c>
      <c r="D48" s="2">
        <v>0.53267045454545459</v>
      </c>
      <c r="E48" s="2">
        <v>4.4907133435382003E-2</v>
      </c>
      <c r="F48" s="2">
        <v>0.96178842758226124</v>
      </c>
      <c r="G48" s="2">
        <v>8.9814266870763992E-2</v>
      </c>
      <c r="H48" s="2">
        <v>4.1486530362206182E-2</v>
      </c>
      <c r="I48" s="2">
        <v>0.95851346963779382</v>
      </c>
      <c r="J48" s="2">
        <v>8.2973060724412351E-2</v>
      </c>
      <c r="K48" s="2" t="s">
        <v>1</v>
      </c>
    </row>
    <row r="49" spans="1:11" x14ac:dyDescent="0.35">
      <c r="A49" s="2" t="s">
        <v>59</v>
      </c>
      <c r="B49" s="2">
        <v>439</v>
      </c>
      <c r="C49" s="2">
        <v>265</v>
      </c>
      <c r="D49" s="2">
        <v>0.62357954545454541</v>
      </c>
      <c r="E49" s="2">
        <v>2.820711655906156E-11</v>
      </c>
      <c r="F49" s="2">
        <v>0.99999999998315936</v>
      </c>
      <c r="G49" s="2">
        <v>5.641423311812312E-11</v>
      </c>
      <c r="H49" s="2">
        <v>2.7290614212915901E-11</v>
      </c>
      <c r="I49" s="2">
        <v>0.99999999997270939</v>
      </c>
      <c r="J49" s="2">
        <v>5.4581228425831802E-11</v>
      </c>
      <c r="K49" s="2" t="s">
        <v>1</v>
      </c>
    </row>
    <row r="50" spans="1:11" x14ac:dyDescent="0.35">
      <c r="A50" s="2" t="s">
        <v>60</v>
      </c>
      <c r="B50" s="2">
        <v>426</v>
      </c>
      <c r="C50" s="2">
        <v>278</v>
      </c>
      <c r="D50" s="2">
        <v>0.60511363636363635</v>
      </c>
      <c r="E50" s="2">
        <v>1.348421393509673E-8</v>
      </c>
      <c r="F50" s="2">
        <v>0.9999999913119948</v>
      </c>
      <c r="G50" s="2">
        <v>2.6968427870193469E-8</v>
      </c>
      <c r="H50" s="2">
        <v>1.216778844348454E-8</v>
      </c>
      <c r="I50" s="2">
        <v>0.99999998783221156</v>
      </c>
      <c r="J50" s="2">
        <v>2.4335576886969079E-8</v>
      </c>
      <c r="K50" s="2" t="s">
        <v>1</v>
      </c>
    </row>
    <row r="51" spans="1:11" x14ac:dyDescent="0.35">
      <c r="A51" s="2" t="s">
        <v>61</v>
      </c>
      <c r="B51" s="2">
        <v>372</v>
      </c>
      <c r="C51" s="2">
        <v>332</v>
      </c>
      <c r="D51" s="2">
        <v>0.52840909090909094</v>
      </c>
      <c r="E51" s="2">
        <v>7.0771444478710852E-2</v>
      </c>
      <c r="F51" s="2">
        <v>0.93888725506558557</v>
      </c>
      <c r="G51" s="2">
        <v>0.1415428889574217</v>
      </c>
      <c r="H51" s="2">
        <v>6.583400801140693E-2</v>
      </c>
      <c r="I51" s="2">
        <v>0.93416599198859307</v>
      </c>
      <c r="J51" s="2">
        <v>0.13166801602281389</v>
      </c>
      <c r="K51" s="2" t="s">
        <v>12</v>
      </c>
    </row>
    <row r="52" spans="1:11" x14ac:dyDescent="0.35">
      <c r="A52" s="2" t="s">
        <v>62</v>
      </c>
      <c r="B52" s="2">
        <v>449</v>
      </c>
      <c r="C52" s="2">
        <v>255</v>
      </c>
      <c r="D52" s="2">
        <v>0.63778409090909094</v>
      </c>
      <c r="E52" s="2">
        <v>1.240624711943028E-13</v>
      </c>
      <c r="F52" s="2">
        <v>0.99999999999993028</v>
      </c>
      <c r="G52" s="2">
        <v>2.4812494238860569E-13</v>
      </c>
      <c r="H52" s="2">
        <v>1.318944953254686E-13</v>
      </c>
      <c r="I52" s="2">
        <v>0.99999999999986811</v>
      </c>
      <c r="J52" s="2">
        <v>2.6378899065093719E-13</v>
      </c>
      <c r="K52" s="2" t="s">
        <v>1</v>
      </c>
    </row>
    <row r="53" spans="1:11" x14ac:dyDescent="0.35">
      <c r="A53" s="2" t="s">
        <v>63</v>
      </c>
      <c r="B53" s="2">
        <v>415</v>
      </c>
      <c r="C53" s="2">
        <v>289</v>
      </c>
      <c r="D53" s="2">
        <v>0.58948863636363635</v>
      </c>
      <c r="E53" s="2">
        <v>1.161548776651688E-6</v>
      </c>
      <c r="F53" s="2">
        <v>0.99999920292038957</v>
      </c>
      <c r="G53" s="2">
        <v>2.323097553303376E-6</v>
      </c>
      <c r="H53" s="2">
        <v>1.023117284004726E-6</v>
      </c>
      <c r="I53" s="2">
        <v>0.999998976882716</v>
      </c>
      <c r="J53" s="2">
        <v>2.0462345680094529E-6</v>
      </c>
      <c r="K53" s="2" t="s">
        <v>1</v>
      </c>
    </row>
    <row r="54" spans="1:11" x14ac:dyDescent="0.35">
      <c r="A54" s="2" t="s">
        <v>64</v>
      </c>
      <c r="B54" s="2">
        <v>381</v>
      </c>
      <c r="C54" s="2">
        <v>323</v>
      </c>
      <c r="D54" s="2">
        <v>0.54119318181818177</v>
      </c>
      <c r="E54" s="2">
        <v>1.9053548193704001E-2</v>
      </c>
      <c r="F54" s="2">
        <v>0.98419030824746367</v>
      </c>
      <c r="G54" s="2">
        <v>3.8107096387408002E-2</v>
      </c>
      <c r="H54" s="2">
        <v>1.440936662513792E-2</v>
      </c>
      <c r="I54" s="2">
        <v>0.98559063337486208</v>
      </c>
      <c r="J54" s="2">
        <v>2.8818733250275841E-2</v>
      </c>
      <c r="K54" s="2" t="s">
        <v>1</v>
      </c>
    </row>
    <row r="55" spans="1:11" x14ac:dyDescent="0.35">
      <c r="A55" s="2" t="s">
        <v>65</v>
      </c>
      <c r="B55" s="2">
        <v>327</v>
      </c>
      <c r="C55" s="2">
        <v>377</v>
      </c>
      <c r="D55" s="2">
        <v>0.46448863636363641</v>
      </c>
      <c r="E55" s="2">
        <v>0.9727441946983314</v>
      </c>
      <c r="F55" s="2">
        <v>3.2352956527301337E-2</v>
      </c>
      <c r="G55" s="2">
        <v>6.4705913054602687E-2</v>
      </c>
      <c r="H55" s="2">
        <v>0.97024765717978512</v>
      </c>
      <c r="I55" s="2">
        <v>2.9752342820214911E-2</v>
      </c>
      <c r="J55" s="2">
        <v>5.9504685640429773E-2</v>
      </c>
      <c r="K55" s="2" t="s">
        <v>2</v>
      </c>
    </row>
    <row r="56" spans="1:11" x14ac:dyDescent="0.35">
      <c r="A56" s="2" t="s">
        <v>66</v>
      </c>
      <c r="B56" s="2">
        <v>358</v>
      </c>
      <c r="C56" s="2">
        <v>346</v>
      </c>
      <c r="D56" s="2">
        <v>0.50852272727272729</v>
      </c>
      <c r="E56" s="2">
        <v>0.33924030681285811</v>
      </c>
      <c r="F56" s="2">
        <v>0.68790182259992472</v>
      </c>
      <c r="G56" s="2">
        <v>0.6784806136257161</v>
      </c>
      <c r="H56" s="2">
        <v>0.32553831703891678</v>
      </c>
      <c r="I56" s="2">
        <v>0.67446168296108322</v>
      </c>
      <c r="J56" s="2">
        <v>0.65107663407783356</v>
      </c>
      <c r="K56" s="2" t="s">
        <v>12</v>
      </c>
    </row>
    <row r="57" spans="1:11" x14ac:dyDescent="0.35">
      <c r="A57" s="2" t="s">
        <v>67</v>
      </c>
      <c r="B57" s="2">
        <v>508</v>
      </c>
      <c r="C57" s="2">
        <v>196</v>
      </c>
      <c r="D57" s="2">
        <v>0.72159090909090906</v>
      </c>
      <c r="E57" s="2">
        <v>4.3702351109743023E-33</v>
      </c>
      <c r="F57" s="2">
        <v>1</v>
      </c>
      <c r="G57" s="2">
        <v>8.7404702219486046E-33</v>
      </c>
      <c r="H57" s="2">
        <v>0</v>
      </c>
      <c r="I57" s="2">
        <v>1</v>
      </c>
      <c r="J57" s="2">
        <v>0</v>
      </c>
      <c r="K57" s="2" t="s">
        <v>1</v>
      </c>
    </row>
    <row r="58" spans="1:11" x14ac:dyDescent="0.35">
      <c r="A58" s="2" t="s">
        <v>68</v>
      </c>
      <c r="B58" s="2">
        <v>318</v>
      </c>
      <c r="C58" s="2">
        <v>386</v>
      </c>
      <c r="D58" s="2">
        <v>0.45170454545454553</v>
      </c>
      <c r="E58" s="2">
        <v>0.99537016444620019</v>
      </c>
      <c r="F58" s="2">
        <v>5.7558510126729696E-3</v>
      </c>
      <c r="G58" s="2">
        <v>1.1511702025345939E-2</v>
      </c>
      <c r="H58" s="2">
        <v>0.99480910210514906</v>
      </c>
      <c r="I58" s="2">
        <v>5.1908978948508964E-3</v>
      </c>
      <c r="J58" s="2">
        <v>1.038179578970189E-2</v>
      </c>
      <c r="K58" s="2" t="s">
        <v>2</v>
      </c>
    </row>
    <row r="59" spans="1:11" x14ac:dyDescent="0.35">
      <c r="A59" s="2" t="s">
        <v>69</v>
      </c>
      <c r="B59" s="2">
        <v>448</v>
      </c>
      <c r="C59" s="2">
        <v>256</v>
      </c>
      <c r="D59" s="2">
        <v>0.63636363636363635</v>
      </c>
      <c r="E59" s="2">
        <v>2.1930268365218381E-13</v>
      </c>
      <c r="F59" s="2">
        <v>0.99999999999987599</v>
      </c>
      <c r="G59" s="2">
        <v>4.3860536730436762E-13</v>
      </c>
      <c r="H59" s="2">
        <v>2.3059332221464501E-13</v>
      </c>
      <c r="I59" s="2">
        <v>0.99999999999976941</v>
      </c>
      <c r="J59" s="2">
        <v>4.6118664442929003E-13</v>
      </c>
      <c r="K59" s="2" t="s">
        <v>1</v>
      </c>
    </row>
    <row r="60" spans="1:11" x14ac:dyDescent="0.35">
      <c r="A60" s="2" t="s">
        <v>70</v>
      </c>
      <c r="B60" s="2">
        <v>315</v>
      </c>
      <c r="C60" s="2">
        <v>389</v>
      </c>
      <c r="D60" s="2">
        <v>0.44744318181818182</v>
      </c>
      <c r="E60" s="2">
        <v>0.99766543951883324</v>
      </c>
      <c r="F60" s="2">
        <v>2.9486412910011898E-3</v>
      </c>
      <c r="G60" s="2">
        <v>5.8972825820023797E-3</v>
      </c>
      <c r="H60" s="2">
        <v>0.99735628298165491</v>
      </c>
      <c r="I60" s="2">
        <v>2.6437170183450541E-3</v>
      </c>
      <c r="J60" s="2">
        <v>5.2874340366901862E-3</v>
      </c>
      <c r="K60" s="2" t="s">
        <v>2</v>
      </c>
    </row>
    <row r="61" spans="1:11" x14ac:dyDescent="0.35">
      <c r="A61" s="2" t="s">
        <v>71</v>
      </c>
      <c r="B61" s="2">
        <v>621</v>
      </c>
      <c r="C61" s="2">
        <v>83</v>
      </c>
      <c r="D61" s="2">
        <v>0.88210227272727271</v>
      </c>
      <c r="E61" s="2">
        <v>5.0454549307334114E-103</v>
      </c>
      <c r="F61" s="2">
        <v>1</v>
      </c>
      <c r="G61" s="2">
        <v>1.0090909861466821E-102</v>
      </c>
      <c r="H61" s="2">
        <v>0</v>
      </c>
      <c r="I61" s="2">
        <v>1</v>
      </c>
      <c r="J61" s="2">
        <v>0</v>
      </c>
      <c r="K61" s="2" t="s">
        <v>1</v>
      </c>
    </row>
    <row r="62" spans="1:11" x14ac:dyDescent="0.35">
      <c r="A62" s="2" t="s">
        <v>72</v>
      </c>
      <c r="B62" s="2">
        <v>689</v>
      </c>
      <c r="C62" s="2">
        <v>15</v>
      </c>
      <c r="D62" s="2">
        <v>0.97869318181818177</v>
      </c>
      <c r="E62" s="2">
        <v>4.1331458457931039E-182</v>
      </c>
      <c r="F62" s="2">
        <v>1</v>
      </c>
      <c r="G62" s="2">
        <v>8.2662916915862077E-182</v>
      </c>
      <c r="H62" s="2">
        <v>0</v>
      </c>
      <c r="I62" s="2">
        <v>1</v>
      </c>
      <c r="J62" s="2">
        <v>0</v>
      </c>
      <c r="K62" s="2" t="s">
        <v>1</v>
      </c>
    </row>
    <row r="63" spans="1:11" x14ac:dyDescent="0.35">
      <c r="A63" s="2" t="s">
        <v>73</v>
      </c>
      <c r="B63" s="2">
        <v>658</v>
      </c>
      <c r="C63" s="2">
        <v>46</v>
      </c>
      <c r="D63" s="2">
        <v>0.93465909090909094</v>
      </c>
      <c r="E63" s="2">
        <v>5.0271216826926082E-140</v>
      </c>
      <c r="F63" s="2">
        <v>1</v>
      </c>
      <c r="G63" s="2">
        <v>1.005424336538522E-139</v>
      </c>
      <c r="H63" s="2">
        <v>0</v>
      </c>
      <c r="I63" s="2">
        <v>1</v>
      </c>
      <c r="J63" s="2">
        <v>0</v>
      </c>
      <c r="K63" s="2" t="s">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324</v>
      </c>
      <c r="C2" s="2">
        <v>380</v>
      </c>
      <c r="D2" s="2">
        <v>0.46022727272727271</v>
      </c>
      <c r="E2" s="2">
        <v>0.98419030824746367</v>
      </c>
      <c r="F2" s="2">
        <v>1.9053548193704001E-2</v>
      </c>
      <c r="G2" s="2">
        <v>3.8107096387408002E-2</v>
      </c>
      <c r="H2" s="2">
        <v>0.9825957605940665</v>
      </c>
      <c r="I2" s="2">
        <v>1.7404239405933521E-2</v>
      </c>
      <c r="J2" s="2">
        <v>3.4808478811866987E-2</v>
      </c>
      <c r="K2" s="2" t="s">
        <v>2</v>
      </c>
    </row>
    <row r="3" spans="1:11" x14ac:dyDescent="0.35">
      <c r="A3" s="2" t="s">
        <v>13</v>
      </c>
      <c r="B3" s="2">
        <v>326</v>
      </c>
      <c r="C3" s="2">
        <v>378</v>
      </c>
      <c r="D3" s="2">
        <v>0.46306818181818182</v>
      </c>
      <c r="E3" s="2">
        <v>0.97715363504431529</v>
      </c>
      <c r="F3" s="2">
        <v>2.7255805301668649E-2</v>
      </c>
      <c r="G3" s="2">
        <v>5.4511610603337292E-2</v>
      </c>
      <c r="H3" s="2">
        <v>0.97499180225717708</v>
      </c>
      <c r="I3" s="2">
        <v>2.5008197742822879E-2</v>
      </c>
      <c r="J3" s="2">
        <v>5.0016395485645848E-2</v>
      </c>
      <c r="K3" s="2" t="s">
        <v>2</v>
      </c>
    </row>
    <row r="4" spans="1:11" x14ac:dyDescent="0.35">
      <c r="A4" s="2" t="s">
        <v>14</v>
      </c>
      <c r="B4" s="2">
        <v>316</v>
      </c>
      <c r="C4" s="2">
        <v>388</v>
      </c>
      <c r="D4" s="2">
        <v>0.44886363636363641</v>
      </c>
      <c r="E4" s="2">
        <v>0.99705135870899886</v>
      </c>
      <c r="F4" s="2">
        <v>3.7045825410822238E-3</v>
      </c>
      <c r="G4" s="2">
        <v>7.4091650821644477E-3</v>
      </c>
      <c r="H4" s="2">
        <v>0.99667219725852529</v>
      </c>
      <c r="I4" s="2">
        <v>3.3278027414746841E-3</v>
      </c>
      <c r="J4" s="2">
        <v>6.6556054829494116E-3</v>
      </c>
      <c r="K4" s="2" t="s">
        <v>2</v>
      </c>
    </row>
    <row r="5" spans="1:11" x14ac:dyDescent="0.35">
      <c r="A5" s="2" t="s">
        <v>15</v>
      </c>
      <c r="B5" s="2">
        <v>373</v>
      </c>
      <c r="C5" s="2">
        <v>331</v>
      </c>
      <c r="D5" s="2">
        <v>0.52982954545454541</v>
      </c>
      <c r="E5" s="2">
        <v>6.1112744934414411E-2</v>
      </c>
      <c r="F5" s="2">
        <v>0.94748427449911499</v>
      </c>
      <c r="G5" s="2">
        <v>0.12222548986882879</v>
      </c>
      <c r="H5" s="2">
        <v>5.6718190418091563E-2</v>
      </c>
      <c r="I5" s="2">
        <v>0.94328180958190844</v>
      </c>
      <c r="J5" s="2">
        <v>0.1134363808361831</v>
      </c>
      <c r="K5" s="2" t="s">
        <v>12</v>
      </c>
    </row>
    <row r="6" spans="1:11" x14ac:dyDescent="0.35">
      <c r="A6" s="2" t="s">
        <v>16</v>
      </c>
      <c r="B6" s="2">
        <v>384</v>
      </c>
      <c r="C6" s="2">
        <v>320</v>
      </c>
      <c r="D6" s="2">
        <v>0.54545454545454541</v>
      </c>
      <c r="E6" s="2">
        <v>8.7576396766929094E-3</v>
      </c>
      <c r="F6" s="2">
        <v>0.99288163498380022</v>
      </c>
      <c r="G6" s="2">
        <v>1.7515279353385819E-2</v>
      </c>
      <c r="H6" s="2">
        <v>7.9306663698865965E-3</v>
      </c>
      <c r="I6" s="2">
        <v>0.9920693336301134</v>
      </c>
      <c r="J6" s="2">
        <v>1.5861332739773189E-2</v>
      </c>
      <c r="K6" s="2" t="s">
        <v>1</v>
      </c>
    </row>
    <row r="7" spans="1:11" x14ac:dyDescent="0.35">
      <c r="A7" s="2" t="s">
        <v>17</v>
      </c>
      <c r="B7" s="2">
        <v>369</v>
      </c>
      <c r="C7" s="2">
        <v>335</v>
      </c>
      <c r="D7" s="2">
        <v>0.52414772727272729</v>
      </c>
      <c r="E7" s="2">
        <v>0.1067839002741523</v>
      </c>
      <c r="F7" s="2">
        <v>0.90645347017408007</v>
      </c>
      <c r="G7" s="2">
        <v>0.21356780054830449</v>
      </c>
      <c r="H7" s="2">
        <v>0.1000225272546644</v>
      </c>
      <c r="I7" s="2">
        <v>0.89997747274533557</v>
      </c>
      <c r="J7" s="2">
        <v>0.20004505450932891</v>
      </c>
      <c r="K7" s="2" t="s">
        <v>12</v>
      </c>
    </row>
    <row r="8" spans="1:11" x14ac:dyDescent="0.35">
      <c r="A8" s="2" t="s">
        <v>18</v>
      </c>
      <c r="B8" s="2">
        <v>318</v>
      </c>
      <c r="C8" s="2">
        <v>386</v>
      </c>
      <c r="D8" s="2">
        <v>0.45170454545454553</v>
      </c>
      <c r="E8" s="2">
        <v>0.99537016444620019</v>
      </c>
      <c r="F8" s="2">
        <v>5.7558510126729696E-3</v>
      </c>
      <c r="G8" s="2">
        <v>1.1511702025345939E-2</v>
      </c>
      <c r="H8" s="2">
        <v>0.99480910210514906</v>
      </c>
      <c r="I8" s="2">
        <v>5.1908978948508964E-3</v>
      </c>
      <c r="J8" s="2">
        <v>1.038179578970189E-2</v>
      </c>
      <c r="K8" s="2" t="s">
        <v>2</v>
      </c>
    </row>
    <row r="9" spans="1:11" x14ac:dyDescent="0.35">
      <c r="A9" s="2" t="s">
        <v>19</v>
      </c>
      <c r="B9" s="2">
        <v>363</v>
      </c>
      <c r="C9" s="2">
        <v>341</v>
      </c>
      <c r="D9" s="2">
        <v>0.515625</v>
      </c>
      <c r="E9" s="2">
        <v>0.21434594520575251</v>
      </c>
      <c r="F9" s="2">
        <v>0.80697951600757256</v>
      </c>
      <c r="G9" s="2">
        <v>0.42869189041150513</v>
      </c>
      <c r="H9" s="2">
        <v>0.20350801363568721</v>
      </c>
      <c r="I9" s="2">
        <v>0.79649198636431284</v>
      </c>
      <c r="J9" s="2">
        <v>0.40701602727137431</v>
      </c>
      <c r="K9" s="2" t="s">
        <v>12</v>
      </c>
    </row>
    <row r="10" spans="1:11" x14ac:dyDescent="0.35">
      <c r="A10" s="2" t="s">
        <v>20</v>
      </c>
      <c r="B10" s="2">
        <v>353</v>
      </c>
      <c r="C10" s="2">
        <v>351</v>
      </c>
      <c r="D10" s="2">
        <v>0.50142045454545459</v>
      </c>
      <c r="E10" s="2">
        <v>0.4849696355118181</v>
      </c>
      <c r="F10" s="2">
        <v>0.54500593559208865</v>
      </c>
      <c r="G10" s="2">
        <v>0.9699392710236362</v>
      </c>
      <c r="H10" s="2">
        <v>0.46995704661337301</v>
      </c>
      <c r="I10" s="2">
        <v>0.53004295338662699</v>
      </c>
      <c r="J10" s="2">
        <v>0.93991409322674602</v>
      </c>
      <c r="K10" s="2" t="s">
        <v>12</v>
      </c>
    </row>
    <row r="11" spans="1:11" x14ac:dyDescent="0.35">
      <c r="A11" s="2" t="s">
        <v>21</v>
      </c>
      <c r="B11" s="2">
        <v>402</v>
      </c>
      <c r="C11" s="2">
        <v>302</v>
      </c>
      <c r="D11" s="2">
        <v>0.57102272727272729</v>
      </c>
      <c r="E11" s="2">
        <v>9.3132563399741616E-5</v>
      </c>
      <c r="F11" s="2">
        <v>0.99993127286383343</v>
      </c>
      <c r="G11" s="2">
        <v>1.8626512679948321E-4</v>
      </c>
      <c r="H11" s="2">
        <v>8.1986969491132378E-5</v>
      </c>
      <c r="I11" s="2">
        <v>0.99991801303050887</v>
      </c>
      <c r="J11" s="2">
        <v>1.6397393898226481E-4</v>
      </c>
      <c r="K11" s="2" t="s">
        <v>1</v>
      </c>
    </row>
    <row r="12" spans="1:11" x14ac:dyDescent="0.35">
      <c r="A12" s="2" t="s">
        <v>22</v>
      </c>
      <c r="B12" s="2">
        <v>436</v>
      </c>
      <c r="C12" s="2">
        <v>268</v>
      </c>
      <c r="D12" s="2">
        <v>0.61931818181818177</v>
      </c>
      <c r="E12" s="2">
        <v>2.0924884743097259E-10</v>
      </c>
      <c r="F12" s="2">
        <v>0.99999999987208177</v>
      </c>
      <c r="G12" s="2">
        <v>4.1849769486194508E-10</v>
      </c>
      <c r="H12" s="2">
        <v>1.2120726644582189E-10</v>
      </c>
      <c r="I12" s="2">
        <v>0.99999999987879273</v>
      </c>
      <c r="J12" s="2">
        <v>2.4241453289164378E-10</v>
      </c>
      <c r="K12" s="2" t="s">
        <v>1</v>
      </c>
    </row>
    <row r="13" spans="1:11" x14ac:dyDescent="0.35">
      <c r="A13" s="2" t="s">
        <v>23</v>
      </c>
      <c r="B13" s="2">
        <v>383</v>
      </c>
      <c r="C13" s="2">
        <v>321</v>
      </c>
      <c r="D13" s="2">
        <v>0.54403409090909094</v>
      </c>
      <c r="E13" s="2">
        <v>1.07186411397128E-2</v>
      </c>
      <c r="F13" s="2">
        <v>0.99124236032330704</v>
      </c>
      <c r="G13" s="2">
        <v>2.143728227942561E-2</v>
      </c>
      <c r="H13" s="2">
        <v>9.727058132618871E-3</v>
      </c>
      <c r="I13" s="2">
        <v>0.99027294186738113</v>
      </c>
      <c r="J13" s="2">
        <v>1.9454116265237738E-2</v>
      </c>
      <c r="K13" s="2" t="s">
        <v>1</v>
      </c>
    </row>
    <row r="14" spans="1:11" x14ac:dyDescent="0.35">
      <c r="A14" s="2" t="s">
        <v>24</v>
      </c>
      <c r="B14" s="2">
        <v>279</v>
      </c>
      <c r="C14" s="2">
        <v>425</v>
      </c>
      <c r="D14" s="2">
        <v>0.39630681818181818</v>
      </c>
      <c r="E14" s="2">
        <v>0.99999998651578603</v>
      </c>
      <c r="F14" s="2">
        <v>2.080745730839368E-8</v>
      </c>
      <c r="G14" s="2">
        <v>4.1614914616787348E-8</v>
      </c>
      <c r="H14" s="2">
        <v>0.99999998128655132</v>
      </c>
      <c r="I14" s="2">
        <v>1.8713448634302529E-8</v>
      </c>
      <c r="J14" s="2">
        <v>3.7426897359083E-8</v>
      </c>
      <c r="K14" s="2" t="s">
        <v>2</v>
      </c>
    </row>
    <row r="15" spans="1:11" x14ac:dyDescent="0.35">
      <c r="A15" s="2" t="s">
        <v>25</v>
      </c>
      <c r="B15" s="2">
        <v>494</v>
      </c>
      <c r="C15" s="2">
        <v>210</v>
      </c>
      <c r="D15" s="2">
        <v>0.70170454545454541</v>
      </c>
      <c r="E15" s="2">
        <v>1.4242880456734839E-27</v>
      </c>
      <c r="F15" s="2">
        <v>1</v>
      </c>
      <c r="G15" s="2">
        <v>2.848576091346969E-27</v>
      </c>
      <c r="H15" s="2">
        <v>0</v>
      </c>
      <c r="I15" s="2">
        <v>1</v>
      </c>
      <c r="J15" s="2">
        <v>0</v>
      </c>
      <c r="K15" s="2" t="s">
        <v>1</v>
      </c>
    </row>
    <row r="16" spans="1:11" x14ac:dyDescent="0.35">
      <c r="A16" s="2" t="s">
        <v>26</v>
      </c>
      <c r="B16" s="2">
        <v>331</v>
      </c>
      <c r="C16" s="2">
        <v>373</v>
      </c>
      <c r="D16" s="2">
        <v>0.47017045454545447</v>
      </c>
      <c r="E16" s="2">
        <v>0.94748427449911499</v>
      </c>
      <c r="F16" s="2">
        <v>6.1112744934414411E-2</v>
      </c>
      <c r="G16" s="2">
        <v>0.12222548986882879</v>
      </c>
      <c r="H16" s="2">
        <v>0.94328180958190877</v>
      </c>
      <c r="I16" s="2">
        <v>5.6718190418091237E-2</v>
      </c>
      <c r="J16" s="2">
        <v>0.1134363808361825</v>
      </c>
      <c r="K16" s="2" t="s">
        <v>12</v>
      </c>
    </row>
    <row r="17" spans="1:11" x14ac:dyDescent="0.35">
      <c r="A17" s="2" t="s">
        <v>27</v>
      </c>
      <c r="B17" s="2">
        <v>357</v>
      </c>
      <c r="C17" s="2">
        <v>347</v>
      </c>
      <c r="D17" s="2">
        <v>0.50710227272727271</v>
      </c>
      <c r="E17" s="2">
        <v>0.36724284954996672</v>
      </c>
      <c r="F17" s="2">
        <v>0.66075969318714201</v>
      </c>
      <c r="G17" s="2">
        <v>0.73448569909993344</v>
      </c>
      <c r="H17" s="2">
        <v>0.35312798105242671</v>
      </c>
      <c r="I17" s="2">
        <v>0.64687201894757329</v>
      </c>
      <c r="J17" s="2">
        <v>0.70625596210485342</v>
      </c>
      <c r="K17" s="2" t="s">
        <v>12</v>
      </c>
    </row>
    <row r="18" spans="1:11" x14ac:dyDescent="0.35">
      <c r="A18" s="2" t="s">
        <v>28</v>
      </c>
      <c r="B18" s="2">
        <v>306</v>
      </c>
      <c r="C18" s="2">
        <v>398</v>
      </c>
      <c r="D18" s="2">
        <v>0.43465909090909088</v>
      </c>
      <c r="E18" s="2">
        <v>0.99977576233067644</v>
      </c>
      <c r="F18" s="2">
        <v>2.9727623726529142E-4</v>
      </c>
      <c r="G18" s="2">
        <v>5.9455247453058272E-4</v>
      </c>
      <c r="H18" s="2">
        <v>0.99973722128086362</v>
      </c>
      <c r="I18" s="2">
        <v>2.627787191364202E-4</v>
      </c>
      <c r="J18" s="2">
        <v>5.2555743827276125E-4</v>
      </c>
      <c r="K18" s="2" t="s">
        <v>2</v>
      </c>
    </row>
    <row r="19" spans="1:11" x14ac:dyDescent="0.35">
      <c r="A19" s="2" t="s">
        <v>29</v>
      </c>
      <c r="B19" s="2">
        <v>278</v>
      </c>
      <c r="C19" s="2">
        <v>426</v>
      </c>
      <c r="D19" s="2">
        <v>0.39488636363636359</v>
      </c>
      <c r="E19" s="2">
        <v>0.9999999913119948</v>
      </c>
      <c r="F19" s="2">
        <v>1.348421393509673E-8</v>
      </c>
      <c r="G19" s="2">
        <v>2.6968427870193469E-8</v>
      </c>
      <c r="H19" s="2">
        <v>0.99999998783221156</v>
      </c>
      <c r="I19" s="2">
        <v>1.2167788454856519E-8</v>
      </c>
      <c r="J19" s="2">
        <v>2.4335576886969079E-8</v>
      </c>
      <c r="K19" s="2" t="s">
        <v>2</v>
      </c>
    </row>
    <row r="20" spans="1:11" x14ac:dyDescent="0.35">
      <c r="A20" s="2" t="s">
        <v>30</v>
      </c>
      <c r="B20" s="2">
        <v>341</v>
      </c>
      <c r="C20" s="2">
        <v>363</v>
      </c>
      <c r="D20" s="2">
        <v>0.484375</v>
      </c>
      <c r="E20" s="2">
        <v>0.80697951600757256</v>
      </c>
      <c r="F20" s="2">
        <v>0.21434594520575251</v>
      </c>
      <c r="G20" s="2">
        <v>0.42869189041150513</v>
      </c>
      <c r="H20" s="2">
        <v>0.79649198636431284</v>
      </c>
      <c r="I20" s="2">
        <v>0.20350801363568721</v>
      </c>
      <c r="J20" s="2">
        <v>0.40701602727137431</v>
      </c>
      <c r="K20" s="2" t="s">
        <v>12</v>
      </c>
    </row>
    <row r="21" spans="1:11" x14ac:dyDescent="0.35">
      <c r="A21" s="2" t="s">
        <v>31</v>
      </c>
      <c r="B21" s="2">
        <v>288</v>
      </c>
      <c r="C21" s="2">
        <v>416</v>
      </c>
      <c r="D21" s="2">
        <v>0.40909090909090912</v>
      </c>
      <c r="E21" s="2">
        <v>0.99999945612132479</v>
      </c>
      <c r="F21" s="2">
        <v>7.9707961039300455E-7</v>
      </c>
      <c r="G21" s="2">
        <v>1.5941592207860091E-6</v>
      </c>
      <c r="H21" s="2">
        <v>0.99999929710324098</v>
      </c>
      <c r="I21" s="2">
        <v>7.0289675904892766E-7</v>
      </c>
      <c r="J21" s="2">
        <v>1.405793518038934E-6</v>
      </c>
      <c r="K21" s="2" t="s">
        <v>2</v>
      </c>
    </row>
    <row r="22" spans="1:11" x14ac:dyDescent="0.35">
      <c r="A22" s="2" t="s">
        <v>32</v>
      </c>
      <c r="B22" s="2">
        <v>316</v>
      </c>
      <c r="C22" s="2">
        <v>388</v>
      </c>
      <c r="D22" s="2">
        <v>0.44886363636363641</v>
      </c>
      <c r="E22" s="2">
        <v>0.99705135870899886</v>
      </c>
      <c r="F22" s="2">
        <v>3.7045825410822238E-3</v>
      </c>
      <c r="G22" s="2">
        <v>7.4091650821644477E-3</v>
      </c>
      <c r="H22" s="2">
        <v>0.99667219725852529</v>
      </c>
      <c r="I22" s="2">
        <v>3.3278027414746841E-3</v>
      </c>
      <c r="J22" s="2">
        <v>6.6556054829494116E-3</v>
      </c>
      <c r="K22" s="2" t="s">
        <v>2</v>
      </c>
    </row>
    <row r="23" spans="1:11" x14ac:dyDescent="0.35">
      <c r="A23" s="2" t="s">
        <v>33</v>
      </c>
      <c r="B23" s="2">
        <v>139</v>
      </c>
      <c r="C23" s="2">
        <v>565</v>
      </c>
      <c r="D23" s="2">
        <v>0.1974431818181818</v>
      </c>
      <c r="E23" s="2">
        <v>1</v>
      </c>
      <c r="F23" s="2">
        <v>4.7695483598372971E-62</v>
      </c>
      <c r="G23" s="2">
        <v>9.5390967196745942E-62</v>
      </c>
      <c r="H23" s="2">
        <v>1</v>
      </c>
      <c r="I23" s="2">
        <v>2.616662805927859E-58</v>
      </c>
      <c r="J23" s="2">
        <v>0</v>
      </c>
      <c r="K23" s="2" t="s">
        <v>2</v>
      </c>
    </row>
    <row r="24" spans="1:11" x14ac:dyDescent="0.35">
      <c r="A24" s="2" t="s">
        <v>34</v>
      </c>
      <c r="B24" s="2">
        <v>130</v>
      </c>
      <c r="C24" s="2">
        <v>574</v>
      </c>
      <c r="D24" s="2">
        <v>0.18465909090909091</v>
      </c>
      <c r="E24" s="2">
        <v>1</v>
      </c>
      <c r="F24" s="2">
        <v>1.0887134573828851E-67</v>
      </c>
      <c r="G24" s="2">
        <v>2.1774269147657691E-67</v>
      </c>
      <c r="H24" s="2">
        <v>1</v>
      </c>
      <c r="I24" s="2">
        <v>3.7120470901901131E-63</v>
      </c>
      <c r="J24" s="2">
        <v>0</v>
      </c>
      <c r="K24" s="2" t="s">
        <v>2</v>
      </c>
    </row>
    <row r="25" spans="1:11" x14ac:dyDescent="0.35">
      <c r="A25" s="2" t="s">
        <v>35</v>
      </c>
      <c r="B25" s="2">
        <v>365</v>
      </c>
      <c r="C25" s="2">
        <v>339</v>
      </c>
      <c r="D25" s="2">
        <v>0.51846590909090906</v>
      </c>
      <c r="E25" s="2">
        <v>0.17304251071291021</v>
      </c>
      <c r="F25" s="2">
        <v>0.84556710823239156</v>
      </c>
      <c r="G25" s="2">
        <v>0.34608502142582048</v>
      </c>
      <c r="H25" s="2">
        <v>0.16356481161757741</v>
      </c>
      <c r="I25" s="2">
        <v>0.83643518838242259</v>
      </c>
      <c r="J25" s="2">
        <v>0.32712962323515482</v>
      </c>
      <c r="K25" s="2" t="s">
        <v>12</v>
      </c>
    </row>
    <row r="26" spans="1:11" x14ac:dyDescent="0.35">
      <c r="A26" s="2" t="s">
        <v>36</v>
      </c>
      <c r="B26" s="2">
        <v>483</v>
      </c>
      <c r="C26" s="2">
        <v>221</v>
      </c>
      <c r="D26" s="2">
        <v>0.68607954545454541</v>
      </c>
      <c r="E26" s="2">
        <v>1.208205309470976E-23</v>
      </c>
      <c r="F26" s="2">
        <v>1</v>
      </c>
      <c r="G26" s="2">
        <v>2.4164106189419519E-23</v>
      </c>
      <c r="H26" s="2">
        <v>0</v>
      </c>
      <c r="I26" s="2">
        <v>1</v>
      </c>
      <c r="J26" s="2">
        <v>0</v>
      </c>
      <c r="K26" s="2" t="s">
        <v>1</v>
      </c>
    </row>
    <row r="27" spans="1:11" x14ac:dyDescent="0.35">
      <c r="A27" s="2" t="s">
        <v>37</v>
      </c>
      <c r="B27" s="2">
        <v>509</v>
      </c>
      <c r="C27" s="2">
        <v>195</v>
      </c>
      <c r="D27" s="2">
        <v>0.72301136363636365</v>
      </c>
      <c r="E27" s="2">
        <v>1.6755297730258412E-33</v>
      </c>
      <c r="F27" s="2">
        <v>1</v>
      </c>
      <c r="G27" s="2">
        <v>3.3510595460516823E-33</v>
      </c>
      <c r="H27" s="2">
        <v>0</v>
      </c>
      <c r="I27" s="2">
        <v>1</v>
      </c>
      <c r="J27" s="2">
        <v>0</v>
      </c>
      <c r="K27" s="2" t="s">
        <v>1</v>
      </c>
    </row>
    <row r="28" spans="1:11" x14ac:dyDescent="0.35">
      <c r="A28" s="2" t="s">
        <v>38</v>
      </c>
      <c r="B28" s="2">
        <v>495</v>
      </c>
      <c r="C28" s="2">
        <v>209</v>
      </c>
      <c r="D28" s="2">
        <v>0.703125</v>
      </c>
      <c r="E28" s="2">
        <v>6.0128866720584896E-28</v>
      </c>
      <c r="F28" s="2">
        <v>1</v>
      </c>
      <c r="G28" s="2">
        <v>1.2025773344116979E-27</v>
      </c>
      <c r="H28" s="2">
        <v>0</v>
      </c>
      <c r="I28" s="2">
        <v>1</v>
      </c>
      <c r="J28" s="2">
        <v>0</v>
      </c>
      <c r="K28" s="2" t="s">
        <v>1</v>
      </c>
    </row>
    <row r="29" spans="1:11" x14ac:dyDescent="0.35">
      <c r="A29" s="2" t="s">
        <v>39</v>
      </c>
      <c r="B29" s="2">
        <v>409</v>
      </c>
      <c r="C29" s="2">
        <v>295</v>
      </c>
      <c r="D29" s="2">
        <v>0.58096590909090906</v>
      </c>
      <c r="E29" s="2">
        <v>9.8807434232840573E-6</v>
      </c>
      <c r="F29" s="2">
        <v>0.99999298654494129</v>
      </c>
      <c r="G29" s="2">
        <v>1.9761486846568111E-5</v>
      </c>
      <c r="H29" s="2">
        <v>8.6743644028830502E-6</v>
      </c>
      <c r="I29" s="2">
        <v>0.99999132563559712</v>
      </c>
      <c r="J29" s="2">
        <v>1.73487288057661E-5</v>
      </c>
      <c r="K29" s="2" t="s">
        <v>1</v>
      </c>
    </row>
    <row r="30" spans="1:11" x14ac:dyDescent="0.35">
      <c r="A30" s="2" t="s">
        <v>40</v>
      </c>
      <c r="B30" s="2">
        <v>326</v>
      </c>
      <c r="C30" s="2">
        <v>378</v>
      </c>
      <c r="D30" s="2">
        <v>0.46306818181818182</v>
      </c>
      <c r="E30" s="2">
        <v>0.97715363504431529</v>
      </c>
      <c r="F30" s="2">
        <v>2.7255805301668649E-2</v>
      </c>
      <c r="G30" s="2">
        <v>5.4511610603337292E-2</v>
      </c>
      <c r="H30" s="2">
        <v>0.97499180225717708</v>
      </c>
      <c r="I30" s="2">
        <v>2.5008197742822879E-2</v>
      </c>
      <c r="J30" s="2">
        <v>5.0016395485645848E-2</v>
      </c>
      <c r="K30" s="2" t="s">
        <v>2</v>
      </c>
    </row>
    <row r="31" spans="1:11" x14ac:dyDescent="0.35">
      <c r="A31" s="2" t="s">
        <v>41</v>
      </c>
      <c r="B31" s="2">
        <v>438</v>
      </c>
      <c r="C31" s="2">
        <v>266</v>
      </c>
      <c r="D31" s="2">
        <v>0.62215909090909094</v>
      </c>
      <c r="E31" s="2">
        <v>4.6966155646112112E-11</v>
      </c>
      <c r="F31" s="2">
        <v>0.9999999999717929</v>
      </c>
      <c r="G31" s="2">
        <v>9.393231129222421E-11</v>
      </c>
      <c r="H31" s="2">
        <v>4.5109360691242273E-11</v>
      </c>
      <c r="I31" s="2">
        <v>0.99999999995489064</v>
      </c>
      <c r="J31" s="2">
        <v>9.0218721382484546E-11</v>
      </c>
      <c r="K31" s="2" t="s">
        <v>1</v>
      </c>
    </row>
    <row r="32" spans="1:11" x14ac:dyDescent="0.35">
      <c r="A32" s="2" t="s">
        <v>42</v>
      </c>
      <c r="B32" s="2">
        <v>342</v>
      </c>
      <c r="C32" s="2">
        <v>362</v>
      </c>
      <c r="D32" s="2">
        <v>0.48579545454545447</v>
      </c>
      <c r="E32" s="2">
        <v>0.78565405479424744</v>
      </c>
      <c r="F32" s="2">
        <v>0.23698086456375611</v>
      </c>
      <c r="G32" s="2">
        <v>0.47396172912751222</v>
      </c>
      <c r="H32" s="2">
        <v>0.77450884036555889</v>
      </c>
      <c r="I32" s="2">
        <v>0.22549115963444111</v>
      </c>
      <c r="J32" s="2">
        <v>0.45098231926888221</v>
      </c>
      <c r="K32" s="2" t="s">
        <v>12</v>
      </c>
    </row>
    <row r="33" spans="1:11" x14ac:dyDescent="0.35">
      <c r="A33" s="2" t="s">
        <v>43</v>
      </c>
      <c r="B33" s="2">
        <v>368</v>
      </c>
      <c r="C33" s="2">
        <v>336</v>
      </c>
      <c r="D33" s="2">
        <v>0.52272727272727271</v>
      </c>
      <c r="E33" s="2">
        <v>0.12132136960569349</v>
      </c>
      <c r="F33" s="2">
        <v>0.8932160997258477</v>
      </c>
      <c r="G33" s="2">
        <v>0.24264273921138699</v>
      </c>
      <c r="H33" s="2">
        <v>0.11389999699411479</v>
      </c>
      <c r="I33" s="2">
        <v>0.88610000300588521</v>
      </c>
      <c r="J33" s="2">
        <v>0.22779999398822959</v>
      </c>
      <c r="K33" s="2" t="s">
        <v>12</v>
      </c>
    </row>
    <row r="34" spans="1:11" x14ac:dyDescent="0.35">
      <c r="A34" s="2" t="s">
        <v>44</v>
      </c>
      <c r="B34" s="2">
        <v>408</v>
      </c>
      <c r="C34" s="2">
        <v>296</v>
      </c>
      <c r="D34" s="2">
        <v>0.57954545454545459</v>
      </c>
      <c r="E34" s="2">
        <v>1.3842638494642849E-5</v>
      </c>
      <c r="F34" s="2">
        <v>0.99999011925657677</v>
      </c>
      <c r="G34" s="2">
        <v>2.7685276989285692E-5</v>
      </c>
      <c r="H34" s="2">
        <v>1.215248034736049E-5</v>
      </c>
      <c r="I34" s="2">
        <v>0.99998784751965264</v>
      </c>
      <c r="J34" s="2">
        <v>2.430496069472099E-5</v>
      </c>
      <c r="K34" s="2" t="s">
        <v>1</v>
      </c>
    </row>
    <row r="35" spans="1:11" x14ac:dyDescent="0.35">
      <c r="A35" s="2" t="s">
        <v>45</v>
      </c>
      <c r="B35" s="2">
        <v>301</v>
      </c>
      <c r="C35" s="2">
        <v>403</v>
      </c>
      <c r="D35" s="2">
        <v>0.42755681818181818</v>
      </c>
      <c r="E35" s="2">
        <v>0.99994956179441508</v>
      </c>
      <c r="F35" s="2">
        <v>6.8727136166595653E-5</v>
      </c>
      <c r="G35" s="2">
        <v>1.3745427233319131E-4</v>
      </c>
      <c r="H35" s="2">
        <v>0.99993954399936102</v>
      </c>
      <c r="I35" s="2">
        <v>6.0456000639001708E-5</v>
      </c>
      <c r="J35" s="2">
        <v>1.2091200127795081E-4</v>
      </c>
      <c r="K35" s="2" t="s">
        <v>2</v>
      </c>
    </row>
    <row r="36" spans="1:11" x14ac:dyDescent="0.35">
      <c r="A36" s="2" t="s">
        <v>46</v>
      </c>
      <c r="B36" s="2">
        <v>362</v>
      </c>
      <c r="C36" s="2">
        <v>342</v>
      </c>
      <c r="D36" s="2">
        <v>0.51420454545454541</v>
      </c>
      <c r="E36" s="2">
        <v>0.23698086456375611</v>
      </c>
      <c r="F36" s="2">
        <v>0.78565405479424744</v>
      </c>
      <c r="G36" s="2">
        <v>0.47396172912751222</v>
      </c>
      <c r="H36" s="2">
        <v>0.225491159634442</v>
      </c>
      <c r="I36" s="2">
        <v>0.774508840365558</v>
      </c>
      <c r="J36" s="2">
        <v>0.45098231926888399</v>
      </c>
      <c r="K36" s="2" t="s">
        <v>12</v>
      </c>
    </row>
    <row r="37" spans="1:11" x14ac:dyDescent="0.35">
      <c r="A37" s="2" t="s">
        <v>47</v>
      </c>
      <c r="B37" s="2">
        <v>386</v>
      </c>
      <c r="C37" s="2">
        <v>318</v>
      </c>
      <c r="D37" s="2">
        <v>0.54829545454545459</v>
      </c>
      <c r="E37" s="2">
        <v>5.7558510126729696E-3</v>
      </c>
      <c r="F37" s="2">
        <v>0.99537016444620019</v>
      </c>
      <c r="G37" s="2">
        <v>1.1511702025345939E-2</v>
      </c>
      <c r="H37" s="2">
        <v>5.1908978948508322E-3</v>
      </c>
      <c r="I37" s="2">
        <v>0.99480910210514917</v>
      </c>
      <c r="J37" s="2">
        <v>1.0381795789701659E-2</v>
      </c>
      <c r="K37" s="2" t="s">
        <v>1</v>
      </c>
    </row>
    <row r="38" spans="1:11" x14ac:dyDescent="0.35">
      <c r="A38" s="2" t="s">
        <v>48</v>
      </c>
      <c r="B38" s="2">
        <v>498</v>
      </c>
      <c r="C38" s="2">
        <v>206</v>
      </c>
      <c r="D38" s="2">
        <v>0.70738636363636365</v>
      </c>
      <c r="E38" s="2">
        <v>4.3442945899577279E-29</v>
      </c>
      <c r="F38" s="2">
        <v>1</v>
      </c>
      <c r="G38" s="2">
        <v>8.6885891799154569E-29</v>
      </c>
      <c r="H38" s="2">
        <v>0</v>
      </c>
      <c r="I38" s="2">
        <v>1</v>
      </c>
      <c r="J38" s="2">
        <v>0</v>
      </c>
      <c r="K38" s="2" t="s">
        <v>1</v>
      </c>
    </row>
    <row r="39" spans="1:11" x14ac:dyDescent="0.35">
      <c r="A39" s="2" t="s">
        <v>49</v>
      </c>
      <c r="B39" s="2">
        <v>514</v>
      </c>
      <c r="C39" s="2">
        <v>190</v>
      </c>
      <c r="D39" s="2">
        <v>0.73011363636363635</v>
      </c>
      <c r="E39" s="2">
        <v>1.2482748311847501E-35</v>
      </c>
      <c r="F39" s="2">
        <v>1</v>
      </c>
      <c r="G39" s="2">
        <v>2.4965496623695003E-35</v>
      </c>
      <c r="H39" s="2">
        <v>0</v>
      </c>
      <c r="I39" s="2">
        <v>1</v>
      </c>
      <c r="J39" s="2">
        <v>0</v>
      </c>
      <c r="K39" s="2" t="s">
        <v>1</v>
      </c>
    </row>
    <row r="40" spans="1:11" x14ac:dyDescent="0.35">
      <c r="A40" s="2" t="s">
        <v>50</v>
      </c>
      <c r="B40" s="2">
        <v>325</v>
      </c>
      <c r="C40" s="2">
        <v>379</v>
      </c>
      <c r="D40" s="2">
        <v>0.46164772727272729</v>
      </c>
      <c r="E40" s="2">
        <v>0.98094645180629603</v>
      </c>
      <c r="F40" s="2">
        <v>2.284636495568472E-2</v>
      </c>
      <c r="G40" s="2">
        <v>4.5692729911369447E-2</v>
      </c>
      <c r="H40" s="2">
        <v>0.97908470271737758</v>
      </c>
      <c r="I40" s="2">
        <v>2.091529728262238E-2</v>
      </c>
      <c r="J40" s="2">
        <v>4.183059456524485E-2</v>
      </c>
      <c r="K40" s="2" t="s">
        <v>2</v>
      </c>
    </row>
    <row r="41" spans="1:11" x14ac:dyDescent="0.35">
      <c r="A41" s="2" t="s">
        <v>51</v>
      </c>
      <c r="B41" s="2">
        <v>243</v>
      </c>
      <c r="C41" s="2">
        <v>461</v>
      </c>
      <c r="D41" s="2">
        <v>0.34517045454545447</v>
      </c>
      <c r="E41" s="2">
        <v>1</v>
      </c>
      <c r="F41" s="2">
        <v>8.2873783617900435E-17</v>
      </c>
      <c r="G41" s="2">
        <v>1.6574756723580089E-16</v>
      </c>
      <c r="H41" s="2">
        <v>0.99999999999999989</v>
      </c>
      <c r="I41" s="2">
        <v>1.050404002378279E-16</v>
      </c>
      <c r="J41" s="2">
        <v>2.2204460492503131E-16</v>
      </c>
      <c r="K41" s="2" t="s">
        <v>2</v>
      </c>
    </row>
    <row r="42" spans="1:11" x14ac:dyDescent="0.35">
      <c r="A42" s="2" t="s">
        <v>52</v>
      </c>
      <c r="B42" s="2">
        <v>526</v>
      </c>
      <c r="C42" s="2">
        <v>178</v>
      </c>
      <c r="D42" s="2">
        <v>0.74715909090909094</v>
      </c>
      <c r="E42" s="2">
        <v>4.6740756862825874E-41</v>
      </c>
      <c r="F42" s="2">
        <v>1</v>
      </c>
      <c r="G42" s="2">
        <v>9.3481513725651747E-41</v>
      </c>
      <c r="H42" s="2">
        <v>0</v>
      </c>
      <c r="I42" s="2">
        <v>1</v>
      </c>
      <c r="J42" s="2">
        <v>0</v>
      </c>
      <c r="K42" s="2" t="s">
        <v>1</v>
      </c>
    </row>
    <row r="43" spans="1:11" x14ac:dyDescent="0.35">
      <c r="A43" s="2" t="s">
        <v>53</v>
      </c>
      <c r="B43" s="2">
        <v>374</v>
      </c>
      <c r="C43" s="2">
        <v>330</v>
      </c>
      <c r="D43" s="2">
        <v>0.53125</v>
      </c>
      <c r="E43" s="2">
        <v>5.2515725500884958E-2</v>
      </c>
      <c r="F43" s="2">
        <v>0.955092866564618</v>
      </c>
      <c r="G43" s="2">
        <v>0.1050314510017699</v>
      </c>
      <c r="H43" s="2">
        <v>4.8627214219501669E-2</v>
      </c>
      <c r="I43" s="2">
        <v>0.95137278578049833</v>
      </c>
      <c r="J43" s="2">
        <v>9.7254428439003338E-2</v>
      </c>
      <c r="K43" s="2" t="s">
        <v>12</v>
      </c>
    </row>
    <row r="44" spans="1:11" x14ac:dyDescent="0.35">
      <c r="A44" s="2" t="s">
        <v>54</v>
      </c>
      <c r="B44" s="2">
        <v>506</v>
      </c>
      <c r="C44" s="2">
        <v>198</v>
      </c>
      <c r="D44" s="2">
        <v>0.71875</v>
      </c>
      <c r="E44" s="2">
        <v>2.9112115071309389E-32</v>
      </c>
      <c r="F44" s="2">
        <v>1</v>
      </c>
      <c r="G44" s="2">
        <v>5.822423014261879E-32</v>
      </c>
      <c r="H44" s="2">
        <v>0</v>
      </c>
      <c r="I44" s="2">
        <v>1</v>
      </c>
      <c r="J44" s="2">
        <v>0</v>
      </c>
      <c r="K44" s="2" t="s">
        <v>1</v>
      </c>
    </row>
    <row r="45" spans="1:11" x14ac:dyDescent="0.35">
      <c r="A45" s="2" t="s">
        <v>55</v>
      </c>
      <c r="B45" s="2">
        <v>376</v>
      </c>
      <c r="C45" s="2">
        <v>328</v>
      </c>
      <c r="D45" s="2">
        <v>0.53409090909090906</v>
      </c>
      <c r="E45" s="2">
        <v>3.8211572417738697E-2</v>
      </c>
      <c r="F45" s="2">
        <v>0.9676470434726987</v>
      </c>
      <c r="G45" s="2">
        <v>7.6423144835477408E-2</v>
      </c>
      <c r="H45" s="2">
        <v>3.5220214636044078E-2</v>
      </c>
      <c r="I45" s="2">
        <v>0.96477978536395592</v>
      </c>
      <c r="J45" s="2">
        <v>7.0440429272088156E-2</v>
      </c>
      <c r="K45" s="2" t="s">
        <v>1</v>
      </c>
    </row>
    <row r="46" spans="1:11" x14ac:dyDescent="0.35">
      <c r="A46" s="2" t="s">
        <v>56</v>
      </c>
      <c r="B46" s="2">
        <v>299</v>
      </c>
      <c r="C46" s="2">
        <v>405</v>
      </c>
      <c r="D46" s="2">
        <v>0.42471590909090912</v>
      </c>
      <c r="E46" s="2">
        <v>0.99997328140396202</v>
      </c>
      <c r="F46" s="2">
        <v>3.6812046908991251E-5</v>
      </c>
      <c r="G46" s="2">
        <v>7.3624093817982502E-5</v>
      </c>
      <c r="H46" s="2">
        <v>0.99996765632974705</v>
      </c>
      <c r="I46" s="2">
        <v>3.2343670252948268E-5</v>
      </c>
      <c r="J46" s="2">
        <v>6.4687340505908963E-5</v>
      </c>
      <c r="K46" s="2" t="s">
        <v>2</v>
      </c>
    </row>
    <row r="47" spans="1:11" x14ac:dyDescent="0.35">
      <c r="A47" s="2" t="s">
        <v>57</v>
      </c>
      <c r="B47" s="2">
        <v>437</v>
      </c>
      <c r="C47" s="2">
        <v>267</v>
      </c>
      <c r="D47" s="2">
        <v>0.62073863636363635</v>
      </c>
      <c r="E47" s="2">
        <v>7.773941077768152E-11</v>
      </c>
      <c r="F47" s="2">
        <v>0.99999999995303379</v>
      </c>
      <c r="G47" s="2">
        <v>1.5547882155536299E-10</v>
      </c>
      <c r="H47" s="2">
        <v>7.414890923485018E-11</v>
      </c>
      <c r="I47" s="2">
        <v>0.99999999992585109</v>
      </c>
      <c r="J47" s="2">
        <v>1.4829781846970041E-10</v>
      </c>
      <c r="K47" s="2" t="s">
        <v>1</v>
      </c>
    </row>
    <row r="48" spans="1:11" x14ac:dyDescent="0.35">
      <c r="A48" s="2" t="s">
        <v>58</v>
      </c>
      <c r="B48" s="2">
        <v>515</v>
      </c>
      <c r="C48" s="2">
        <v>189</v>
      </c>
      <c r="D48" s="2">
        <v>0.73153409090909094</v>
      </c>
      <c r="E48" s="2">
        <v>4.586218185315306E-36</v>
      </c>
      <c r="F48" s="2">
        <v>1</v>
      </c>
      <c r="G48" s="2">
        <v>9.172436370630612E-36</v>
      </c>
      <c r="H48" s="2">
        <v>0</v>
      </c>
      <c r="I48" s="2">
        <v>1</v>
      </c>
      <c r="J48" s="2">
        <v>0</v>
      </c>
      <c r="K48" s="2" t="s">
        <v>1</v>
      </c>
    </row>
    <row r="49" spans="1:11" x14ac:dyDescent="0.35">
      <c r="A49" s="2" t="s">
        <v>59</v>
      </c>
      <c r="B49" s="2">
        <v>582</v>
      </c>
      <c r="C49" s="2">
        <v>122</v>
      </c>
      <c r="D49" s="2">
        <v>0.82670454545454541</v>
      </c>
      <c r="E49" s="2">
        <v>5.5638477973692838E-73</v>
      </c>
      <c r="F49" s="2">
        <v>1</v>
      </c>
      <c r="G49" s="2">
        <v>1.112769559473857E-72</v>
      </c>
      <c r="H49" s="2">
        <v>0</v>
      </c>
      <c r="I49" s="2">
        <v>1</v>
      </c>
      <c r="J49" s="2">
        <v>0</v>
      </c>
      <c r="K49" s="2" t="s">
        <v>1</v>
      </c>
    </row>
    <row r="50" spans="1:11" x14ac:dyDescent="0.35">
      <c r="A50" s="2" t="s">
        <v>60</v>
      </c>
      <c r="B50" s="2">
        <v>251</v>
      </c>
      <c r="C50" s="2">
        <v>453</v>
      </c>
      <c r="D50" s="2">
        <v>0.35653409090909088</v>
      </c>
      <c r="E50" s="2">
        <v>0.99999999999999645</v>
      </c>
      <c r="F50" s="2">
        <v>6.5633437089035283E-15</v>
      </c>
      <c r="G50" s="2">
        <v>1.312668741780706E-14</v>
      </c>
      <c r="H50" s="2">
        <v>0.99999999999998668</v>
      </c>
      <c r="I50" s="2">
        <v>1.3373566472415501E-14</v>
      </c>
      <c r="J50" s="2">
        <v>2.664535259100376E-14</v>
      </c>
      <c r="K50" s="2" t="s">
        <v>2</v>
      </c>
    </row>
    <row r="51" spans="1:11" x14ac:dyDescent="0.35">
      <c r="A51" s="2" t="s">
        <v>61</v>
      </c>
      <c r="B51" s="2">
        <v>149</v>
      </c>
      <c r="C51" s="2">
        <v>555</v>
      </c>
      <c r="D51" s="2">
        <v>0.21164772727272729</v>
      </c>
      <c r="E51" s="2">
        <v>1</v>
      </c>
      <c r="F51" s="2">
        <v>3.7963523261952142E-56</v>
      </c>
      <c r="G51" s="2">
        <v>7.5927046523904283E-56</v>
      </c>
      <c r="H51" s="2">
        <v>1</v>
      </c>
      <c r="I51" s="2">
        <v>3.7242237622475958E-53</v>
      </c>
      <c r="J51" s="2">
        <v>0</v>
      </c>
      <c r="K51" s="2" t="s">
        <v>2</v>
      </c>
    </row>
    <row r="52" spans="1:11" x14ac:dyDescent="0.35">
      <c r="A52" s="2" t="s">
        <v>62</v>
      </c>
      <c r="B52" s="2">
        <v>616</v>
      </c>
      <c r="C52" s="2">
        <v>88</v>
      </c>
      <c r="D52" s="2">
        <v>0.875</v>
      </c>
      <c r="E52" s="2">
        <v>9.8573896760042079E-99</v>
      </c>
      <c r="F52" s="2">
        <v>1</v>
      </c>
      <c r="G52" s="2">
        <v>1.9714779352008419E-98</v>
      </c>
      <c r="H52" s="2">
        <v>0</v>
      </c>
      <c r="I52" s="2">
        <v>1</v>
      </c>
      <c r="J52" s="2">
        <v>0</v>
      </c>
      <c r="K52" s="2" t="s">
        <v>1</v>
      </c>
    </row>
    <row r="53" spans="1:11" x14ac:dyDescent="0.35">
      <c r="A53" s="2" t="s">
        <v>63</v>
      </c>
      <c r="B53" s="2">
        <v>438</v>
      </c>
      <c r="C53" s="2">
        <v>266</v>
      </c>
      <c r="D53" s="2">
        <v>0.62215909090909094</v>
      </c>
      <c r="E53" s="2">
        <v>4.6966155646112112E-11</v>
      </c>
      <c r="F53" s="2">
        <v>0.9999999999717929</v>
      </c>
      <c r="G53" s="2">
        <v>9.393231129222421E-11</v>
      </c>
      <c r="H53" s="2">
        <v>4.5109360691242273E-11</v>
      </c>
      <c r="I53" s="2">
        <v>0.99999999995489064</v>
      </c>
      <c r="J53" s="2">
        <v>9.0218721382484546E-11</v>
      </c>
      <c r="K53" s="2" t="s">
        <v>1</v>
      </c>
    </row>
    <row r="54" spans="1:11" x14ac:dyDescent="0.35">
      <c r="A54" s="2" t="s">
        <v>64</v>
      </c>
      <c r="B54" s="2">
        <v>329</v>
      </c>
      <c r="C54" s="2">
        <v>375</v>
      </c>
      <c r="D54" s="2">
        <v>0.46732954545454553</v>
      </c>
      <c r="E54" s="2">
        <v>0.96178842758226124</v>
      </c>
      <c r="F54" s="2">
        <v>4.4907133435382003E-2</v>
      </c>
      <c r="G54" s="2">
        <v>8.9814266870763992E-2</v>
      </c>
      <c r="H54" s="2">
        <v>0.9585134696377936</v>
      </c>
      <c r="I54" s="2">
        <v>4.1486530362206432E-2</v>
      </c>
      <c r="J54" s="2">
        <v>8.2973060724412795E-2</v>
      </c>
      <c r="K54" s="2" t="s">
        <v>2</v>
      </c>
    </row>
    <row r="55" spans="1:11" x14ac:dyDescent="0.35">
      <c r="A55" s="2" t="s">
        <v>65</v>
      </c>
      <c r="B55" s="2">
        <v>433</v>
      </c>
      <c r="C55" s="2">
        <v>271</v>
      </c>
      <c r="D55" s="2">
        <v>0.61505681818181823</v>
      </c>
      <c r="E55" s="2">
        <v>5.5012734621003682E-10</v>
      </c>
      <c r="F55" s="2">
        <v>0.99999999965971842</v>
      </c>
      <c r="G55" s="2">
        <v>1.1002546924200741E-9</v>
      </c>
      <c r="H55" s="2">
        <v>5.1206083817589843E-10</v>
      </c>
      <c r="I55" s="2">
        <v>0.99999999948793916</v>
      </c>
      <c r="J55" s="2">
        <v>1.0241216763517971E-9</v>
      </c>
      <c r="K55" s="2" t="s">
        <v>1</v>
      </c>
    </row>
    <row r="56" spans="1:11" x14ac:dyDescent="0.35">
      <c r="A56" s="2" t="s">
        <v>66</v>
      </c>
      <c r="B56" s="2">
        <v>449</v>
      </c>
      <c r="C56" s="2">
        <v>255</v>
      </c>
      <c r="D56" s="2">
        <v>0.63778409090909094</v>
      </c>
      <c r="E56" s="2">
        <v>1.240624711943028E-13</v>
      </c>
      <c r="F56" s="2">
        <v>0.99999999999993028</v>
      </c>
      <c r="G56" s="2">
        <v>2.4812494238860569E-13</v>
      </c>
      <c r="H56" s="2">
        <v>1.318944953254686E-13</v>
      </c>
      <c r="I56" s="2">
        <v>0.99999999999986811</v>
      </c>
      <c r="J56" s="2">
        <v>2.6378899065093719E-13</v>
      </c>
      <c r="K56" s="2" t="s">
        <v>1</v>
      </c>
    </row>
    <row r="57" spans="1:11" x14ac:dyDescent="0.35">
      <c r="A57" s="2" t="s">
        <v>67</v>
      </c>
      <c r="B57" s="2">
        <v>563</v>
      </c>
      <c r="C57" s="2">
        <v>141</v>
      </c>
      <c r="D57" s="2">
        <v>0.79971590909090906</v>
      </c>
      <c r="E57" s="2">
        <v>7.7444877599609219E-61</v>
      </c>
      <c r="F57" s="2">
        <v>1</v>
      </c>
      <c r="G57" s="2">
        <v>1.5488975519921841E-60</v>
      </c>
      <c r="H57" s="2">
        <v>0</v>
      </c>
      <c r="I57" s="2">
        <v>1</v>
      </c>
      <c r="J57" s="2">
        <v>0</v>
      </c>
      <c r="K57" s="2" t="s">
        <v>1</v>
      </c>
    </row>
    <row r="58" spans="1:11" x14ac:dyDescent="0.35">
      <c r="A58" s="2" t="s">
        <v>68</v>
      </c>
      <c r="B58" s="2">
        <v>494</v>
      </c>
      <c r="C58" s="2">
        <v>210</v>
      </c>
      <c r="D58" s="2">
        <v>0.70170454545454541</v>
      </c>
      <c r="E58" s="2">
        <v>1.4242880456734839E-27</v>
      </c>
      <c r="F58" s="2">
        <v>1</v>
      </c>
      <c r="G58" s="2">
        <v>2.848576091346969E-27</v>
      </c>
      <c r="H58" s="2">
        <v>0</v>
      </c>
      <c r="I58" s="2">
        <v>1</v>
      </c>
      <c r="J58" s="2">
        <v>0</v>
      </c>
      <c r="K58" s="2" t="s">
        <v>1</v>
      </c>
    </row>
    <row r="59" spans="1:11" x14ac:dyDescent="0.35">
      <c r="A59" s="2" t="s">
        <v>69</v>
      </c>
      <c r="B59" s="2">
        <v>459</v>
      </c>
      <c r="C59" s="2">
        <v>245</v>
      </c>
      <c r="D59" s="2">
        <v>0.65198863636363635</v>
      </c>
      <c r="E59" s="2">
        <v>2.9804535640973499E-16</v>
      </c>
      <c r="F59" s="2">
        <v>0.99999999999999989</v>
      </c>
      <c r="G59" s="2">
        <v>5.9609071281946999E-16</v>
      </c>
      <c r="H59" s="2">
        <v>3.3306690738754701E-16</v>
      </c>
      <c r="I59" s="2">
        <v>0.99999999999999967</v>
      </c>
      <c r="J59" s="2">
        <v>6.6613381477509392E-16</v>
      </c>
      <c r="K59" s="2" t="s">
        <v>1</v>
      </c>
    </row>
    <row r="60" spans="1:11" x14ac:dyDescent="0.35">
      <c r="A60" s="2" t="s">
        <v>70</v>
      </c>
      <c r="B60" s="2">
        <v>353</v>
      </c>
      <c r="C60" s="2">
        <v>351</v>
      </c>
      <c r="D60" s="2">
        <v>0.50142045454545459</v>
      </c>
      <c r="E60" s="2">
        <v>0.4849696355118181</v>
      </c>
      <c r="F60" s="2">
        <v>0.54500593559208865</v>
      </c>
      <c r="G60" s="2">
        <v>0.9699392710236362</v>
      </c>
      <c r="H60" s="2">
        <v>0.46995704661337301</v>
      </c>
      <c r="I60" s="2">
        <v>0.53004295338662699</v>
      </c>
      <c r="J60" s="2">
        <v>0.93991409322674602</v>
      </c>
      <c r="K60" s="2" t="s">
        <v>12</v>
      </c>
    </row>
    <row r="61" spans="1:11" x14ac:dyDescent="0.35">
      <c r="A61" s="2" t="s">
        <v>71</v>
      </c>
      <c r="B61" s="2">
        <v>146</v>
      </c>
      <c r="C61" s="2">
        <v>558</v>
      </c>
      <c r="D61" s="2">
        <v>0.20738636363636359</v>
      </c>
      <c r="E61" s="2">
        <v>1</v>
      </c>
      <c r="F61" s="2">
        <v>7.0562677454433879E-58</v>
      </c>
      <c r="G61" s="2">
        <v>1.4112535490886779E-57</v>
      </c>
      <c r="H61" s="2">
        <v>1</v>
      </c>
      <c r="I61" s="2">
        <v>1.124230567259635E-54</v>
      </c>
      <c r="J61" s="2">
        <v>0</v>
      </c>
      <c r="K61" s="2" t="s">
        <v>2</v>
      </c>
    </row>
    <row r="62" spans="1:11" x14ac:dyDescent="0.35">
      <c r="A62" s="2" t="s">
        <v>72</v>
      </c>
      <c r="B62" s="2">
        <v>666</v>
      </c>
      <c r="C62" s="2">
        <v>38</v>
      </c>
      <c r="D62" s="2">
        <v>0.94602272727272729</v>
      </c>
      <c r="E62" s="2">
        <v>1.405935159882604E-149</v>
      </c>
      <c r="F62" s="2">
        <v>1</v>
      </c>
      <c r="G62" s="2">
        <v>2.8118703197652072E-149</v>
      </c>
      <c r="H62" s="2">
        <v>0</v>
      </c>
      <c r="I62" s="2">
        <v>1</v>
      </c>
      <c r="J62" s="2">
        <v>0</v>
      </c>
      <c r="K62" s="2" t="s">
        <v>1</v>
      </c>
    </row>
    <row r="63" spans="1:11" x14ac:dyDescent="0.35">
      <c r="A63" s="2" t="s">
        <v>73</v>
      </c>
      <c r="B63" s="2">
        <v>704</v>
      </c>
      <c r="C63" s="2">
        <v>0</v>
      </c>
      <c r="D63" s="2">
        <v>1</v>
      </c>
      <c r="E63" s="2">
        <v>1.1881822289344749E-212</v>
      </c>
      <c r="F63" s="2">
        <v>1</v>
      </c>
      <c r="G63" s="2">
        <v>2.3763644578689498E-212</v>
      </c>
      <c r="H63" s="2">
        <v>0</v>
      </c>
      <c r="I63" s="2">
        <v>1</v>
      </c>
      <c r="J63" s="2">
        <v>0</v>
      </c>
      <c r="K63" s="2" t="s">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482</v>
      </c>
      <c r="C2" s="2">
        <v>502</v>
      </c>
      <c r="D2" s="2">
        <v>0.48983739837398371</v>
      </c>
      <c r="E2" s="2">
        <v>0.7483875338808782</v>
      </c>
      <c r="F2" s="2">
        <v>0.27236850725179079</v>
      </c>
      <c r="G2" s="2">
        <v>0.5447370145035817</v>
      </c>
      <c r="H2" s="2">
        <v>0.73812537078669005</v>
      </c>
      <c r="I2" s="2">
        <v>0.26187462921331001</v>
      </c>
      <c r="J2" s="2">
        <v>0.5237492584266199</v>
      </c>
      <c r="K2" s="2" t="s">
        <v>12</v>
      </c>
    </row>
    <row r="3" spans="1:11" x14ac:dyDescent="0.35">
      <c r="A3" s="2" t="s">
        <v>13</v>
      </c>
      <c r="B3" s="2">
        <v>438</v>
      </c>
      <c r="C3" s="2">
        <v>546</v>
      </c>
      <c r="D3" s="2">
        <v>0.4451219512195122</v>
      </c>
      <c r="E3" s="2">
        <v>0.99974747758041316</v>
      </c>
      <c r="F3" s="2">
        <v>3.1994104772099428E-4</v>
      </c>
      <c r="G3" s="2">
        <v>6.3988209544198866E-4</v>
      </c>
      <c r="H3" s="2">
        <v>0.99971225912348216</v>
      </c>
      <c r="I3" s="2">
        <v>2.8774087651785952E-4</v>
      </c>
      <c r="J3" s="2">
        <v>5.7548175303567817E-4</v>
      </c>
      <c r="K3" s="2" t="s">
        <v>2</v>
      </c>
    </row>
    <row r="4" spans="1:11" x14ac:dyDescent="0.35">
      <c r="A4" s="2" t="s">
        <v>14</v>
      </c>
      <c r="B4" s="2">
        <v>566</v>
      </c>
      <c r="C4" s="2">
        <v>418</v>
      </c>
      <c r="D4" s="2">
        <v>0.57520325203252032</v>
      </c>
      <c r="E4" s="2">
        <v>1.335807115945141E-6</v>
      </c>
      <c r="F4" s="2">
        <v>0.99999902574657795</v>
      </c>
      <c r="G4" s="2">
        <v>2.6716142318902821E-6</v>
      </c>
      <c r="H4" s="2">
        <v>1.1904764806169869E-6</v>
      </c>
      <c r="I4" s="2">
        <v>0.99999880952351938</v>
      </c>
      <c r="J4" s="2">
        <v>2.380952961233973E-6</v>
      </c>
      <c r="K4" s="2" t="s">
        <v>1</v>
      </c>
    </row>
    <row r="5" spans="1:11" x14ac:dyDescent="0.35">
      <c r="A5" s="2" t="s">
        <v>15</v>
      </c>
      <c r="B5" s="2">
        <v>522</v>
      </c>
      <c r="C5" s="2">
        <v>462</v>
      </c>
      <c r="D5" s="2">
        <v>0.53048780487804881</v>
      </c>
      <c r="E5" s="2">
        <v>2.9968560448432519E-2</v>
      </c>
      <c r="F5" s="2">
        <v>0.9741165738328309</v>
      </c>
      <c r="G5" s="2">
        <v>5.9937120896865037E-2</v>
      </c>
      <c r="H5" s="2">
        <v>2.7891304353421909E-2</v>
      </c>
      <c r="I5" s="2">
        <v>0.97210869564657809</v>
      </c>
      <c r="J5" s="2">
        <v>5.5782608706843817E-2</v>
      </c>
      <c r="K5" s="2" t="s">
        <v>1</v>
      </c>
    </row>
    <row r="6" spans="1:11" x14ac:dyDescent="0.35">
      <c r="A6" s="2" t="s">
        <v>16</v>
      </c>
      <c r="B6" s="2">
        <v>557</v>
      </c>
      <c r="C6" s="2">
        <v>427</v>
      </c>
      <c r="D6" s="2">
        <v>0.56605691056910568</v>
      </c>
      <c r="E6" s="2">
        <v>1.911321190952992E-5</v>
      </c>
      <c r="F6" s="2">
        <v>0.99998555088862562</v>
      </c>
      <c r="G6" s="2">
        <v>3.8226423819059833E-5</v>
      </c>
      <c r="H6" s="2">
        <v>1.704648436806622E-5</v>
      </c>
      <c r="I6" s="2">
        <v>0.99998295351563193</v>
      </c>
      <c r="J6" s="2">
        <v>3.4092968736132427E-5</v>
      </c>
      <c r="K6" s="2" t="s">
        <v>1</v>
      </c>
    </row>
    <row r="7" spans="1:11" x14ac:dyDescent="0.35">
      <c r="A7" s="2" t="s">
        <v>17</v>
      </c>
      <c r="B7" s="2">
        <v>564</v>
      </c>
      <c r="C7" s="2">
        <v>420</v>
      </c>
      <c r="D7" s="2">
        <v>0.57317073170731703</v>
      </c>
      <c r="E7" s="2">
        <v>2.4812202302998911E-6</v>
      </c>
      <c r="F7" s="2">
        <v>0.99999817579338357</v>
      </c>
      <c r="G7" s="2">
        <v>4.9624404605997814E-6</v>
      </c>
      <c r="H7" s="2">
        <v>2.2103729609979079E-6</v>
      </c>
      <c r="I7" s="2">
        <v>0.999997789627039</v>
      </c>
      <c r="J7" s="2">
        <v>4.4207459219958167E-6</v>
      </c>
      <c r="K7" s="2" t="s">
        <v>1</v>
      </c>
    </row>
    <row r="8" spans="1:11" x14ac:dyDescent="0.35">
      <c r="A8" s="2" t="s">
        <v>18</v>
      </c>
      <c r="B8" s="2">
        <v>493</v>
      </c>
      <c r="C8" s="2">
        <v>491</v>
      </c>
      <c r="D8" s="2">
        <v>0.50101626016260159</v>
      </c>
      <c r="E8" s="2">
        <v>0.51271458465071473</v>
      </c>
      <c r="F8" s="2">
        <v>0.51271458465071473</v>
      </c>
      <c r="G8" s="2">
        <v>1</v>
      </c>
      <c r="H8" s="2">
        <v>0.47458159152542212</v>
      </c>
      <c r="I8" s="2">
        <v>0.52541840847457788</v>
      </c>
      <c r="J8" s="2">
        <v>0.94916318305084424</v>
      </c>
      <c r="K8" s="2" t="s">
        <v>12</v>
      </c>
    </row>
    <row r="9" spans="1:11" x14ac:dyDescent="0.35">
      <c r="A9" s="2" t="s">
        <v>19</v>
      </c>
      <c r="B9" s="2">
        <v>471</v>
      </c>
      <c r="C9" s="2">
        <v>513</v>
      </c>
      <c r="D9" s="2">
        <v>0.47865853658536578</v>
      </c>
      <c r="E9" s="2">
        <v>0.91479567364157521</v>
      </c>
      <c r="F9" s="2">
        <v>9.5587579314308072E-2</v>
      </c>
      <c r="G9" s="2">
        <v>0.19117515862861609</v>
      </c>
      <c r="H9" s="2">
        <v>0.90970019175303807</v>
      </c>
      <c r="I9" s="2">
        <v>9.0299808246961932E-2</v>
      </c>
      <c r="J9" s="2">
        <v>0.18059961649392389</v>
      </c>
      <c r="K9" s="2" t="s">
        <v>12</v>
      </c>
    </row>
    <row r="10" spans="1:11" x14ac:dyDescent="0.35">
      <c r="A10" s="2" t="s">
        <v>20</v>
      </c>
      <c r="B10" s="2">
        <v>433</v>
      </c>
      <c r="C10" s="2">
        <v>551</v>
      </c>
      <c r="D10" s="2">
        <v>0.44004065040650409</v>
      </c>
      <c r="E10" s="2">
        <v>0.99992703833378871</v>
      </c>
      <c r="F10" s="2">
        <v>9.426003862497733E-5</v>
      </c>
      <c r="G10" s="2">
        <v>1.8852007724995469E-4</v>
      </c>
      <c r="H10" s="2">
        <v>0.99991561968180886</v>
      </c>
      <c r="I10" s="2">
        <v>8.4380318191170449E-5</v>
      </c>
      <c r="J10" s="2">
        <v>1.6876063638227021E-4</v>
      </c>
      <c r="K10" s="2" t="s">
        <v>2</v>
      </c>
    </row>
    <row r="11" spans="1:11" x14ac:dyDescent="0.35">
      <c r="A11" s="2" t="s">
        <v>21</v>
      </c>
      <c r="B11" s="2">
        <v>465</v>
      </c>
      <c r="C11" s="2">
        <v>519</v>
      </c>
      <c r="D11" s="2">
        <v>0.47256097560975607</v>
      </c>
      <c r="E11" s="2">
        <v>0.96025424856792696</v>
      </c>
      <c r="F11" s="2">
        <v>4.5528921742181858E-2</v>
      </c>
      <c r="G11" s="2">
        <v>9.1057843484363715E-2</v>
      </c>
      <c r="H11" s="2">
        <v>0.95741604705802219</v>
      </c>
      <c r="I11" s="2">
        <v>4.2583952941977823E-2</v>
      </c>
      <c r="J11" s="2">
        <v>8.5167905883955619E-2</v>
      </c>
      <c r="K11" s="2" t="s">
        <v>2</v>
      </c>
    </row>
    <row r="12" spans="1:11" x14ac:dyDescent="0.35">
      <c r="A12" s="2" t="s">
        <v>22</v>
      </c>
      <c r="B12" s="2">
        <v>492</v>
      </c>
      <c r="C12" s="2">
        <v>492</v>
      </c>
      <c r="D12" s="2">
        <v>0.5</v>
      </c>
      <c r="E12" s="2">
        <v>0.51271458465071473</v>
      </c>
      <c r="F12" s="2">
        <v>0.51271458465071473</v>
      </c>
      <c r="G12" s="2">
        <v>1</v>
      </c>
      <c r="H12" s="2">
        <v>0.5</v>
      </c>
      <c r="I12" s="2">
        <v>0.5</v>
      </c>
      <c r="J12" s="2">
        <v>1</v>
      </c>
      <c r="K12" s="2" t="s">
        <v>12</v>
      </c>
    </row>
    <row r="13" spans="1:11" x14ac:dyDescent="0.35">
      <c r="A13" s="2" t="s">
        <v>23</v>
      </c>
      <c r="B13" s="2">
        <v>491</v>
      </c>
      <c r="C13" s="2">
        <v>493</v>
      </c>
      <c r="D13" s="2">
        <v>0.49898373983739841</v>
      </c>
      <c r="E13" s="2">
        <v>0.53809217348703053</v>
      </c>
      <c r="F13" s="2">
        <v>0.48728541534928532</v>
      </c>
      <c r="G13" s="2">
        <v>0.97457083069857053</v>
      </c>
      <c r="H13" s="2">
        <v>0.52541840847457921</v>
      </c>
      <c r="I13" s="2">
        <v>0.47458159152542079</v>
      </c>
      <c r="J13" s="2">
        <v>0.94916318305084157</v>
      </c>
      <c r="K13" s="2" t="s">
        <v>12</v>
      </c>
    </row>
    <row r="14" spans="1:11" x14ac:dyDescent="0.35">
      <c r="A14" s="2" t="s">
        <v>24</v>
      </c>
      <c r="B14" s="2">
        <v>487</v>
      </c>
      <c r="C14" s="2">
        <v>497</v>
      </c>
      <c r="D14" s="2">
        <v>0.49491869918699188</v>
      </c>
      <c r="E14" s="2">
        <v>0.63707119183948069</v>
      </c>
      <c r="F14" s="2">
        <v>0.38709935059452272</v>
      </c>
      <c r="G14" s="2">
        <v>0.77419870118904544</v>
      </c>
      <c r="H14" s="2">
        <v>0.62505649593136781</v>
      </c>
      <c r="I14" s="2">
        <v>0.37494350406863219</v>
      </c>
      <c r="J14" s="2">
        <v>0.74988700813726439</v>
      </c>
      <c r="K14" s="2" t="s">
        <v>12</v>
      </c>
    </row>
    <row r="15" spans="1:11" x14ac:dyDescent="0.35">
      <c r="A15" s="2" t="s">
        <v>25</v>
      </c>
      <c r="B15" s="2">
        <v>425</v>
      </c>
      <c r="C15" s="2">
        <v>559</v>
      </c>
      <c r="D15" s="2">
        <v>0.43191056910569098</v>
      </c>
      <c r="E15" s="2">
        <v>0.99999183995244467</v>
      </c>
      <c r="F15" s="2">
        <v>1.087998784664854E-5</v>
      </c>
      <c r="G15" s="2">
        <v>2.1759975693297091E-5</v>
      </c>
      <c r="H15" s="2">
        <v>0.99999030336114281</v>
      </c>
      <c r="I15" s="2">
        <v>9.6966388571788149E-6</v>
      </c>
      <c r="J15" s="2">
        <v>1.93932777143857E-5</v>
      </c>
      <c r="K15" s="2" t="s">
        <v>2</v>
      </c>
    </row>
    <row r="16" spans="1:11" x14ac:dyDescent="0.35">
      <c r="A16" s="2" t="s">
        <v>26</v>
      </c>
      <c r="B16" s="2">
        <v>601</v>
      </c>
      <c r="C16" s="2">
        <v>383</v>
      </c>
      <c r="D16" s="2">
        <v>0.61077235772357719</v>
      </c>
      <c r="E16" s="2">
        <v>1.8836006924052991E-12</v>
      </c>
      <c r="F16" s="2">
        <v>0.99999999999881017</v>
      </c>
      <c r="G16" s="2">
        <v>3.7672013848105983E-12</v>
      </c>
      <c r="H16" s="2">
        <v>1.8317569683290462E-12</v>
      </c>
      <c r="I16" s="2">
        <v>0.99999999999816824</v>
      </c>
      <c r="J16" s="2">
        <v>3.6635139366580924E-12</v>
      </c>
      <c r="K16" s="2" t="s">
        <v>1</v>
      </c>
    </row>
    <row r="17" spans="1:11" x14ac:dyDescent="0.35">
      <c r="A17" s="2" t="s">
        <v>27</v>
      </c>
      <c r="B17" s="2">
        <v>566</v>
      </c>
      <c r="C17" s="2">
        <v>418</v>
      </c>
      <c r="D17" s="2">
        <v>0.57520325203252032</v>
      </c>
      <c r="E17" s="2">
        <v>1.335807115945141E-6</v>
      </c>
      <c r="F17" s="2">
        <v>0.99999902574657795</v>
      </c>
      <c r="G17" s="2">
        <v>2.6716142318902821E-6</v>
      </c>
      <c r="H17" s="2">
        <v>1.1904764806169869E-6</v>
      </c>
      <c r="I17" s="2">
        <v>0.99999880952351938</v>
      </c>
      <c r="J17" s="2">
        <v>2.380952961233973E-6</v>
      </c>
      <c r="K17" s="2" t="s">
        <v>1</v>
      </c>
    </row>
    <row r="18" spans="1:11" x14ac:dyDescent="0.35">
      <c r="A18" s="2" t="s">
        <v>28</v>
      </c>
      <c r="B18" s="2">
        <v>423</v>
      </c>
      <c r="C18" s="2">
        <v>561</v>
      </c>
      <c r="D18" s="2">
        <v>0.4298780487804878</v>
      </c>
      <c r="E18" s="2">
        <v>0.9999954643317559</v>
      </c>
      <c r="F18" s="2">
        <v>6.0958071557261596E-6</v>
      </c>
      <c r="G18" s="2">
        <v>1.2191614311452319E-5</v>
      </c>
      <c r="H18" s="2">
        <v>0.9999945694520268</v>
      </c>
      <c r="I18" s="2">
        <v>5.4305479732201839E-6</v>
      </c>
      <c r="J18" s="2">
        <v>1.086109594639062E-5</v>
      </c>
      <c r="K18" s="2" t="s">
        <v>2</v>
      </c>
    </row>
    <row r="19" spans="1:11" x14ac:dyDescent="0.35">
      <c r="A19" s="2" t="s">
        <v>29</v>
      </c>
      <c r="B19" s="2">
        <v>394</v>
      </c>
      <c r="C19" s="2">
        <v>590</v>
      </c>
      <c r="D19" s="2">
        <v>0.40040650406504058</v>
      </c>
      <c r="E19" s="2">
        <v>0.99999999985201682</v>
      </c>
      <c r="F19" s="2">
        <v>2.237676364152182E-10</v>
      </c>
      <c r="G19" s="2">
        <v>4.4753527283043639E-10</v>
      </c>
      <c r="H19" s="2">
        <v>0.9999999997924639</v>
      </c>
      <c r="I19" s="2">
        <v>2.0753609061794201E-10</v>
      </c>
      <c r="J19" s="2">
        <v>4.150721988338546E-10</v>
      </c>
      <c r="K19" s="2" t="s">
        <v>2</v>
      </c>
    </row>
    <row r="20" spans="1:11" x14ac:dyDescent="0.35">
      <c r="A20" s="2" t="s">
        <v>30</v>
      </c>
      <c r="B20" s="2">
        <v>541</v>
      </c>
      <c r="C20" s="2">
        <v>443</v>
      </c>
      <c r="D20" s="2">
        <v>0.54979674796747968</v>
      </c>
      <c r="E20" s="2">
        <v>9.8573453230169756E-4</v>
      </c>
      <c r="F20" s="2">
        <v>0.99920683398657739</v>
      </c>
      <c r="G20" s="2">
        <v>1.9714690646033951E-3</v>
      </c>
      <c r="H20" s="2">
        <v>8.9167068401962979E-4</v>
      </c>
      <c r="I20" s="2">
        <v>0.99910832931598037</v>
      </c>
      <c r="J20" s="2">
        <v>1.78334136803926E-3</v>
      </c>
      <c r="K20" s="2" t="s">
        <v>1</v>
      </c>
    </row>
    <row r="21" spans="1:11" x14ac:dyDescent="0.35">
      <c r="A21" s="2" t="s">
        <v>31</v>
      </c>
      <c r="B21" s="2">
        <v>465</v>
      </c>
      <c r="C21" s="2">
        <v>519</v>
      </c>
      <c r="D21" s="2">
        <v>0.47256097560975607</v>
      </c>
      <c r="E21" s="2">
        <v>0.96025424856792696</v>
      </c>
      <c r="F21" s="2">
        <v>4.5528921742181858E-2</v>
      </c>
      <c r="G21" s="2">
        <v>9.1057843484363715E-2</v>
      </c>
      <c r="H21" s="2">
        <v>0.95741604705802219</v>
      </c>
      <c r="I21" s="2">
        <v>4.2583952941977823E-2</v>
      </c>
      <c r="J21" s="2">
        <v>8.5167905883955619E-2</v>
      </c>
      <c r="K21" s="2" t="s">
        <v>2</v>
      </c>
    </row>
    <row r="22" spans="1:11" x14ac:dyDescent="0.35">
      <c r="A22" s="2" t="s">
        <v>32</v>
      </c>
      <c r="B22" s="2">
        <v>474</v>
      </c>
      <c r="C22" s="2">
        <v>510</v>
      </c>
      <c r="D22" s="2">
        <v>0.48170731707317072</v>
      </c>
      <c r="E22" s="2">
        <v>0.88091155336354654</v>
      </c>
      <c r="F22" s="2">
        <v>0.13225767047767359</v>
      </c>
      <c r="G22" s="2">
        <v>0.26451534095534718</v>
      </c>
      <c r="H22" s="2">
        <v>0.87444099936276332</v>
      </c>
      <c r="I22" s="2">
        <v>0.1255590006372366</v>
      </c>
      <c r="J22" s="2">
        <v>0.25111800127447342</v>
      </c>
      <c r="K22" s="2" t="s">
        <v>12</v>
      </c>
    </row>
    <row r="23" spans="1:11" x14ac:dyDescent="0.35">
      <c r="A23" s="2" t="s">
        <v>33</v>
      </c>
      <c r="B23" s="2">
        <v>494</v>
      </c>
      <c r="C23" s="2">
        <v>490</v>
      </c>
      <c r="D23" s="2">
        <v>0.50203252032520329</v>
      </c>
      <c r="E23" s="2">
        <v>0.46190782651296952</v>
      </c>
      <c r="F23" s="2">
        <v>0.56331564741138507</v>
      </c>
      <c r="G23" s="2">
        <v>0.92381565302593904</v>
      </c>
      <c r="H23" s="2">
        <v>0.44926626532927483</v>
      </c>
      <c r="I23" s="2">
        <v>0.55073373467072517</v>
      </c>
      <c r="J23" s="2">
        <v>0.89853253065854966</v>
      </c>
      <c r="K23" s="2" t="s">
        <v>12</v>
      </c>
    </row>
    <row r="24" spans="1:11" x14ac:dyDescent="0.35">
      <c r="A24" s="2" t="s">
        <v>34</v>
      </c>
      <c r="B24" s="2">
        <v>444</v>
      </c>
      <c r="C24" s="2">
        <v>540</v>
      </c>
      <c r="D24" s="2">
        <v>0.45121951219512202</v>
      </c>
      <c r="E24" s="2">
        <v>0.99901426546769834</v>
      </c>
      <c r="F24" s="2">
        <v>1.220373200575612E-3</v>
      </c>
      <c r="G24" s="2">
        <v>2.4407464011512239E-3</v>
      </c>
      <c r="H24" s="2">
        <v>0.99889467490842754</v>
      </c>
      <c r="I24" s="2">
        <v>1.1053250915724509E-3</v>
      </c>
      <c r="J24" s="2">
        <v>2.2106501831449239E-3</v>
      </c>
      <c r="K24" s="2" t="s">
        <v>2</v>
      </c>
    </row>
    <row r="25" spans="1:11" x14ac:dyDescent="0.35">
      <c r="A25" s="2" t="s">
        <v>35</v>
      </c>
      <c r="B25" s="2">
        <v>486</v>
      </c>
      <c r="C25" s="2">
        <v>498</v>
      </c>
      <c r="D25" s="2">
        <v>0.49390243902439018</v>
      </c>
      <c r="E25" s="2">
        <v>0.66070784679000227</v>
      </c>
      <c r="F25" s="2">
        <v>0.36292880816051931</v>
      </c>
      <c r="G25" s="2">
        <v>0.72585761632103862</v>
      </c>
      <c r="H25" s="2">
        <v>0.64897180253652942</v>
      </c>
      <c r="I25" s="2">
        <v>0.35102819746347058</v>
      </c>
      <c r="J25" s="2">
        <v>0.70205639492694116</v>
      </c>
      <c r="K25" s="2" t="s">
        <v>12</v>
      </c>
    </row>
    <row r="26" spans="1:11" x14ac:dyDescent="0.35">
      <c r="A26" s="2" t="s">
        <v>36</v>
      </c>
      <c r="B26" s="2">
        <v>415</v>
      </c>
      <c r="C26" s="2">
        <v>569</v>
      </c>
      <c r="D26" s="2">
        <v>0.4217479674796748</v>
      </c>
      <c r="E26" s="2">
        <v>0.9999996310375634</v>
      </c>
      <c r="F26" s="2">
        <v>5.1202790114057245E-7</v>
      </c>
      <c r="G26" s="2">
        <v>1.0240558022811451E-6</v>
      </c>
      <c r="H26" s="2">
        <v>0.99999954308449535</v>
      </c>
      <c r="I26" s="2">
        <v>4.5691550463889449E-7</v>
      </c>
      <c r="J26" s="2">
        <v>9.1383100930819694E-7</v>
      </c>
      <c r="K26" s="2" t="s">
        <v>2</v>
      </c>
    </row>
    <row r="27" spans="1:11" x14ac:dyDescent="0.35">
      <c r="A27" s="2" t="s">
        <v>37</v>
      </c>
      <c r="B27" s="2">
        <v>453</v>
      </c>
      <c r="C27" s="2">
        <v>531</v>
      </c>
      <c r="D27" s="2">
        <v>0.46036585365853661</v>
      </c>
      <c r="E27" s="2">
        <v>0.99412508576870617</v>
      </c>
      <c r="F27" s="2">
        <v>7.0301879699863909E-3</v>
      </c>
      <c r="G27" s="2">
        <v>1.406037593997278E-2</v>
      </c>
      <c r="H27" s="2">
        <v>0.99355056303245914</v>
      </c>
      <c r="I27" s="2">
        <v>6.4494369675408619E-3</v>
      </c>
      <c r="J27" s="2">
        <v>1.289887393508171E-2</v>
      </c>
      <c r="K27" s="2" t="s">
        <v>2</v>
      </c>
    </row>
    <row r="28" spans="1:11" x14ac:dyDescent="0.35">
      <c r="A28" s="2" t="s">
        <v>38</v>
      </c>
      <c r="B28" s="2">
        <v>354</v>
      </c>
      <c r="C28" s="2">
        <v>630</v>
      </c>
      <c r="D28" s="2">
        <v>0.3597560975609756</v>
      </c>
      <c r="E28" s="2">
        <v>1</v>
      </c>
      <c r="F28" s="2">
        <v>5.4903211090487047E-19</v>
      </c>
      <c r="G28" s="2">
        <v>1.0980642218097409E-18</v>
      </c>
      <c r="H28" s="2">
        <v>1</v>
      </c>
      <c r="I28" s="2">
        <v>6.9292290393337892E-19</v>
      </c>
      <c r="J28" s="2">
        <v>0</v>
      </c>
      <c r="K28" s="2" t="s">
        <v>2</v>
      </c>
    </row>
    <row r="29" spans="1:11" x14ac:dyDescent="0.35">
      <c r="A29" s="2" t="s">
        <v>39</v>
      </c>
      <c r="B29" s="2">
        <v>475</v>
      </c>
      <c r="C29" s="2">
        <v>509</v>
      </c>
      <c r="D29" s="2">
        <v>0.48272357723577242</v>
      </c>
      <c r="E29" s="2">
        <v>0.86774232952232644</v>
      </c>
      <c r="F29" s="2">
        <v>0.14639725818087859</v>
      </c>
      <c r="G29" s="2">
        <v>0.29279451636175718</v>
      </c>
      <c r="H29" s="2">
        <v>0.86079108721220654</v>
      </c>
      <c r="I29" s="2">
        <v>0.13920891278779349</v>
      </c>
      <c r="J29" s="2">
        <v>0.27841782557558692</v>
      </c>
      <c r="K29" s="2" t="s">
        <v>12</v>
      </c>
    </row>
    <row r="30" spans="1:11" x14ac:dyDescent="0.35">
      <c r="A30" s="2" t="s">
        <v>40</v>
      </c>
      <c r="B30" s="2">
        <v>402</v>
      </c>
      <c r="C30" s="2">
        <v>582</v>
      </c>
      <c r="D30" s="2">
        <v>0.40853658536585358</v>
      </c>
      <c r="E30" s="2">
        <v>0.99999999639687387</v>
      </c>
      <c r="F30" s="2">
        <v>5.2716344514879012E-9</v>
      </c>
      <c r="G30" s="2">
        <v>1.0543268902975801E-8</v>
      </c>
      <c r="H30" s="2">
        <v>0.99999999521532545</v>
      </c>
      <c r="I30" s="2">
        <v>4.7846745409718489E-9</v>
      </c>
      <c r="J30" s="2">
        <v>9.5693490909098955E-9</v>
      </c>
      <c r="K30" s="2" t="s">
        <v>2</v>
      </c>
    </row>
    <row r="31" spans="1:11" x14ac:dyDescent="0.35">
      <c r="A31" s="2" t="s">
        <v>41</v>
      </c>
      <c r="B31" s="2">
        <v>442</v>
      </c>
      <c r="C31" s="2">
        <v>542</v>
      </c>
      <c r="D31" s="2">
        <v>0.44918699186991867</v>
      </c>
      <c r="E31" s="2">
        <v>0.99936422855090112</v>
      </c>
      <c r="F31" s="2">
        <v>7.9316601342255938E-4</v>
      </c>
      <c r="G31" s="2">
        <v>1.586332026845119E-3</v>
      </c>
      <c r="H31" s="2">
        <v>0.99928340882733779</v>
      </c>
      <c r="I31" s="2">
        <v>7.1659117266223329E-4</v>
      </c>
      <c r="J31" s="2">
        <v>1.433182345324413E-3</v>
      </c>
      <c r="K31" s="2" t="s">
        <v>2</v>
      </c>
    </row>
    <row r="32" spans="1:11" x14ac:dyDescent="0.35">
      <c r="A32" s="2" t="s">
        <v>42</v>
      </c>
      <c r="B32" s="2">
        <v>367</v>
      </c>
      <c r="C32" s="2">
        <v>617</v>
      </c>
      <c r="D32" s="2">
        <v>0.37296747967479682</v>
      </c>
      <c r="E32" s="2">
        <v>0.99999999999999956</v>
      </c>
      <c r="F32" s="2">
        <v>7.286550271003536E-16</v>
      </c>
      <c r="G32" s="2">
        <v>1.457310054200707E-15</v>
      </c>
      <c r="H32" s="2">
        <v>0.99999999999999922</v>
      </c>
      <c r="I32" s="2">
        <v>7.9524273243847475E-16</v>
      </c>
      <c r="J32" s="2">
        <v>1.554312234475219E-15</v>
      </c>
      <c r="K32" s="2" t="s">
        <v>2</v>
      </c>
    </row>
    <row r="33" spans="1:11" x14ac:dyDescent="0.35">
      <c r="A33" s="2" t="s">
        <v>43</v>
      </c>
      <c r="B33" s="2">
        <v>309</v>
      </c>
      <c r="C33" s="2">
        <v>675</v>
      </c>
      <c r="D33" s="2">
        <v>0.31402439024390238</v>
      </c>
      <c r="E33" s="2">
        <v>1</v>
      </c>
      <c r="F33" s="2">
        <v>2.6178462369069562E-32</v>
      </c>
      <c r="G33" s="2">
        <v>5.2356924738139123E-32</v>
      </c>
      <c r="H33" s="2">
        <v>1</v>
      </c>
      <c r="I33" s="2">
        <v>9.3247806435735974E-32</v>
      </c>
      <c r="J33" s="2">
        <v>0</v>
      </c>
      <c r="K33" s="2" t="s">
        <v>2</v>
      </c>
    </row>
    <row r="34" spans="1:11" x14ac:dyDescent="0.35">
      <c r="A34" s="2" t="s">
        <v>44</v>
      </c>
      <c r="B34" s="2">
        <v>450</v>
      </c>
      <c r="C34" s="2">
        <v>534</v>
      </c>
      <c r="D34" s="2">
        <v>0.45731707317073172</v>
      </c>
      <c r="E34" s="2">
        <v>0.99664758972954359</v>
      </c>
      <c r="F34" s="2">
        <v>4.0569702675854434E-3</v>
      </c>
      <c r="G34" s="2">
        <v>8.1139405351708851E-3</v>
      </c>
      <c r="H34" s="2">
        <v>0.99629487279869788</v>
      </c>
      <c r="I34" s="2">
        <v>3.7051272013021558E-3</v>
      </c>
      <c r="J34" s="2">
        <v>7.4102544026042327E-3</v>
      </c>
      <c r="K34" s="2" t="s">
        <v>2</v>
      </c>
    </row>
    <row r="35" spans="1:11" x14ac:dyDescent="0.35">
      <c r="A35" s="2" t="s">
        <v>45</v>
      </c>
      <c r="B35" s="2">
        <v>527</v>
      </c>
      <c r="C35" s="2">
        <v>457</v>
      </c>
      <c r="D35" s="2">
        <v>0.53556910569105687</v>
      </c>
      <c r="E35" s="2">
        <v>1.3890830540437099E-2</v>
      </c>
      <c r="F35" s="2">
        <v>0.98821875234863443</v>
      </c>
      <c r="G35" s="2">
        <v>2.7781661080874199E-2</v>
      </c>
      <c r="H35" s="2">
        <v>1.282340187676201E-2</v>
      </c>
      <c r="I35" s="2">
        <v>0.98717659812323799</v>
      </c>
      <c r="J35" s="2">
        <v>2.564680375352402E-2</v>
      </c>
      <c r="K35" s="2" t="s">
        <v>1</v>
      </c>
    </row>
    <row r="36" spans="1:11" x14ac:dyDescent="0.35">
      <c r="A36" s="2" t="s">
        <v>46</v>
      </c>
      <c r="B36" s="2">
        <v>645</v>
      </c>
      <c r="C36" s="2">
        <v>339</v>
      </c>
      <c r="D36" s="2">
        <v>0.65548780487804881</v>
      </c>
      <c r="E36" s="2">
        <v>5.4717536245839704E-23</v>
      </c>
      <c r="F36" s="2">
        <v>1</v>
      </c>
      <c r="G36" s="2">
        <v>1.0943507249167941E-22</v>
      </c>
      <c r="H36" s="2">
        <v>0</v>
      </c>
      <c r="I36" s="2">
        <v>1</v>
      </c>
      <c r="J36" s="2">
        <v>0</v>
      </c>
      <c r="K36" s="2" t="s">
        <v>1</v>
      </c>
    </row>
    <row r="37" spans="1:11" x14ac:dyDescent="0.35">
      <c r="A37" s="2" t="s">
        <v>47</v>
      </c>
      <c r="B37" s="2">
        <v>596</v>
      </c>
      <c r="C37" s="2">
        <v>388</v>
      </c>
      <c r="D37" s="2">
        <v>0.60569105691056913</v>
      </c>
      <c r="E37" s="2">
        <v>1.7589057995474821E-11</v>
      </c>
      <c r="F37" s="2">
        <v>0.99999999998865452</v>
      </c>
      <c r="G37" s="2">
        <v>3.5178115990949649E-11</v>
      </c>
      <c r="H37" s="2">
        <v>1.669386850977617E-11</v>
      </c>
      <c r="I37" s="2">
        <v>0.99999999998330613</v>
      </c>
      <c r="J37" s="2">
        <v>3.3387737019552333E-11</v>
      </c>
      <c r="K37" s="2" t="s">
        <v>1</v>
      </c>
    </row>
    <row r="38" spans="1:11" x14ac:dyDescent="0.35">
      <c r="A38" s="2" t="s">
        <v>48</v>
      </c>
      <c r="B38" s="2">
        <v>447</v>
      </c>
      <c r="C38" s="2">
        <v>537</v>
      </c>
      <c r="D38" s="2">
        <v>0.45426829268292679</v>
      </c>
      <c r="E38" s="2">
        <v>0.99815079469555534</v>
      </c>
      <c r="F38" s="2">
        <v>2.263359430982945E-3</v>
      </c>
      <c r="G38" s="2">
        <v>4.5267188619658909E-3</v>
      </c>
      <c r="H38" s="2">
        <v>0.99794176066730267</v>
      </c>
      <c r="I38" s="2">
        <v>2.058239332697331E-3</v>
      </c>
      <c r="J38" s="2">
        <v>4.1164786653946628E-3</v>
      </c>
      <c r="K38" s="2" t="s">
        <v>2</v>
      </c>
    </row>
    <row r="39" spans="1:11" x14ac:dyDescent="0.35">
      <c r="A39" s="2" t="s">
        <v>49</v>
      </c>
      <c r="B39" s="2">
        <v>447</v>
      </c>
      <c r="C39" s="2">
        <v>537</v>
      </c>
      <c r="D39" s="2">
        <v>0.45426829268292679</v>
      </c>
      <c r="E39" s="2">
        <v>0.99815079469555534</v>
      </c>
      <c r="F39" s="2">
        <v>2.263359430982945E-3</v>
      </c>
      <c r="G39" s="2">
        <v>4.5267188619658909E-3</v>
      </c>
      <c r="H39" s="2">
        <v>0.99794176066730267</v>
      </c>
      <c r="I39" s="2">
        <v>2.058239332697331E-3</v>
      </c>
      <c r="J39" s="2">
        <v>4.1164786653946628E-3</v>
      </c>
      <c r="K39" s="2" t="s">
        <v>2</v>
      </c>
    </row>
    <row r="40" spans="1:11" x14ac:dyDescent="0.35">
      <c r="A40" s="2" t="s">
        <v>50</v>
      </c>
      <c r="B40" s="2">
        <v>563</v>
      </c>
      <c r="C40" s="2">
        <v>421</v>
      </c>
      <c r="D40" s="2">
        <v>0.57215447154471544</v>
      </c>
      <c r="E40" s="2">
        <v>3.361399988478439E-6</v>
      </c>
      <c r="F40" s="2">
        <v>0.99999751877976972</v>
      </c>
      <c r="G40" s="2">
        <v>6.7227999769568789E-6</v>
      </c>
      <c r="H40" s="2">
        <v>2.9942538566363201E-6</v>
      </c>
      <c r="I40" s="2">
        <v>0.99999700574614336</v>
      </c>
      <c r="J40" s="2">
        <v>5.9885077132726394E-6</v>
      </c>
      <c r="K40" s="2" t="s">
        <v>1</v>
      </c>
    </row>
    <row r="41" spans="1:11" x14ac:dyDescent="0.35">
      <c r="A41" s="2" t="s">
        <v>51</v>
      </c>
      <c r="B41" s="2">
        <v>386</v>
      </c>
      <c r="C41" s="2">
        <v>598</v>
      </c>
      <c r="D41" s="2">
        <v>0.39227642276422758</v>
      </c>
      <c r="E41" s="2">
        <v>0.99999999999533828</v>
      </c>
      <c r="F41" s="2">
        <v>7.2877092782711453E-12</v>
      </c>
      <c r="G41" s="2">
        <v>1.4575418556542291E-11</v>
      </c>
      <c r="H41" s="2">
        <v>0.99999999999301958</v>
      </c>
      <c r="I41" s="2">
        <v>6.9803765079068722E-12</v>
      </c>
      <c r="J41" s="2">
        <v>1.396083249005642E-11</v>
      </c>
      <c r="K41" s="2" t="s">
        <v>2</v>
      </c>
    </row>
    <row r="42" spans="1:11" x14ac:dyDescent="0.35">
      <c r="A42" s="2" t="s">
        <v>52</v>
      </c>
      <c r="B42" s="2">
        <v>459</v>
      </c>
      <c r="C42" s="2">
        <v>525</v>
      </c>
      <c r="D42" s="2">
        <v>0.46646341463414642</v>
      </c>
      <c r="E42" s="2">
        <v>0.98368176731427748</v>
      </c>
      <c r="F42" s="2">
        <v>1.909996150581E-2</v>
      </c>
      <c r="G42" s="2">
        <v>3.8199923011619993E-2</v>
      </c>
      <c r="H42" s="2">
        <v>0.98231091401857318</v>
      </c>
      <c r="I42" s="2">
        <v>1.7689085981426871E-2</v>
      </c>
      <c r="J42" s="2">
        <v>3.5378171962853637E-2</v>
      </c>
      <c r="K42" s="2" t="s">
        <v>2</v>
      </c>
    </row>
    <row r="43" spans="1:11" x14ac:dyDescent="0.35">
      <c r="A43" s="2" t="s">
        <v>53</v>
      </c>
      <c r="B43" s="2">
        <v>389</v>
      </c>
      <c r="C43" s="2">
        <v>595</v>
      </c>
      <c r="D43" s="2">
        <v>0.39532520325203252</v>
      </c>
      <c r="E43" s="2">
        <v>0.99999999998241096</v>
      </c>
      <c r="F43" s="2">
        <v>2.7155024327904059E-11</v>
      </c>
      <c r="G43" s="2">
        <v>5.4310048655808118E-11</v>
      </c>
      <c r="H43" s="2">
        <v>0.99999999997433742</v>
      </c>
      <c r="I43" s="2">
        <v>2.566260674956086E-11</v>
      </c>
      <c r="J43" s="2">
        <v>5.1325166339211137E-11</v>
      </c>
      <c r="K43" s="2" t="s">
        <v>2</v>
      </c>
    </row>
    <row r="44" spans="1:11" x14ac:dyDescent="0.35">
      <c r="A44" s="2" t="s">
        <v>54</v>
      </c>
      <c r="B44" s="2">
        <v>344</v>
      </c>
      <c r="C44" s="2">
        <v>640</v>
      </c>
      <c r="D44" s="2">
        <v>0.34959349593495942</v>
      </c>
      <c r="E44" s="2">
        <v>1</v>
      </c>
      <c r="F44" s="2">
        <v>1.3178358356954E-21</v>
      </c>
      <c r="G44" s="2">
        <v>2.6356716713908E-21</v>
      </c>
      <c r="H44" s="2">
        <v>1</v>
      </c>
      <c r="I44" s="2">
        <v>1.9339122372967909E-21</v>
      </c>
      <c r="J44" s="2">
        <v>0</v>
      </c>
      <c r="K44" s="2" t="s">
        <v>2</v>
      </c>
    </row>
    <row r="45" spans="1:11" x14ac:dyDescent="0.35">
      <c r="A45" s="2" t="s">
        <v>55</v>
      </c>
      <c r="B45" s="2">
        <v>526</v>
      </c>
      <c r="C45" s="2">
        <v>458</v>
      </c>
      <c r="D45" s="2">
        <v>0.53455284552845528</v>
      </c>
      <c r="E45" s="2">
        <v>1.631823268572254E-2</v>
      </c>
      <c r="F45" s="2">
        <v>0.98610916945956295</v>
      </c>
      <c r="G45" s="2">
        <v>3.2636465371445079E-2</v>
      </c>
      <c r="H45" s="2">
        <v>1.5088444472732609E-2</v>
      </c>
      <c r="I45" s="2">
        <v>0.98491155552726739</v>
      </c>
      <c r="J45" s="2">
        <v>3.0176888945465219E-2</v>
      </c>
      <c r="K45" s="2" t="s">
        <v>1</v>
      </c>
    </row>
    <row r="46" spans="1:11" x14ac:dyDescent="0.35">
      <c r="A46" s="2" t="s">
        <v>56</v>
      </c>
      <c r="B46" s="2">
        <v>665</v>
      </c>
      <c r="C46" s="2">
        <v>319</v>
      </c>
      <c r="D46" s="2">
        <v>0.67581300813008127</v>
      </c>
      <c r="E46" s="2">
        <v>5.2904122347699522E-29</v>
      </c>
      <c r="F46" s="2">
        <v>1</v>
      </c>
      <c r="G46" s="2">
        <v>1.05808244695399E-28</v>
      </c>
      <c r="H46" s="2">
        <v>0</v>
      </c>
      <c r="I46" s="2">
        <v>1</v>
      </c>
      <c r="J46" s="2">
        <v>0</v>
      </c>
      <c r="K46" s="2" t="s">
        <v>1</v>
      </c>
    </row>
    <row r="47" spans="1:11" x14ac:dyDescent="0.35">
      <c r="A47" s="2" t="s">
        <v>57</v>
      </c>
      <c r="B47" s="2">
        <v>534</v>
      </c>
      <c r="C47" s="2">
        <v>450</v>
      </c>
      <c r="D47" s="2">
        <v>0.54268292682926833</v>
      </c>
      <c r="E47" s="2">
        <v>4.0569702675854434E-3</v>
      </c>
      <c r="F47" s="2">
        <v>0.99664758972954359</v>
      </c>
      <c r="G47" s="2">
        <v>8.1139405351708851E-3</v>
      </c>
      <c r="H47" s="2">
        <v>3.7051272013021159E-3</v>
      </c>
      <c r="I47" s="2">
        <v>0.99629487279869788</v>
      </c>
      <c r="J47" s="2">
        <v>7.4102544026042327E-3</v>
      </c>
      <c r="K47" s="2" t="s">
        <v>1</v>
      </c>
    </row>
    <row r="48" spans="1:11" x14ac:dyDescent="0.35">
      <c r="A48" s="2" t="s">
        <v>58</v>
      </c>
      <c r="B48" s="2">
        <v>508</v>
      </c>
      <c r="C48" s="2">
        <v>476</v>
      </c>
      <c r="D48" s="2">
        <v>0.51626016260162599</v>
      </c>
      <c r="E48" s="2">
        <v>0.16151711141812949</v>
      </c>
      <c r="F48" s="2">
        <v>0.85360274181912144</v>
      </c>
      <c r="G48" s="2">
        <v>0.32303422283625888</v>
      </c>
      <c r="H48" s="2">
        <v>0.1538351264051647</v>
      </c>
      <c r="I48" s="2">
        <v>0.84616487359483528</v>
      </c>
      <c r="J48" s="2">
        <v>0.30767025281032939</v>
      </c>
      <c r="K48" s="2" t="s">
        <v>12</v>
      </c>
    </row>
    <row r="49" spans="1:11" x14ac:dyDescent="0.35">
      <c r="A49" s="2" t="s">
        <v>59</v>
      </c>
      <c r="B49" s="2">
        <v>423</v>
      </c>
      <c r="C49" s="2">
        <v>561</v>
      </c>
      <c r="D49" s="2">
        <v>0.4298780487804878</v>
      </c>
      <c r="E49" s="2">
        <v>0.9999954643317559</v>
      </c>
      <c r="F49" s="2">
        <v>6.0958071557261596E-6</v>
      </c>
      <c r="G49" s="2">
        <v>1.2191614311452319E-5</v>
      </c>
      <c r="H49" s="2">
        <v>0.9999945694520268</v>
      </c>
      <c r="I49" s="2">
        <v>5.4305479732201839E-6</v>
      </c>
      <c r="J49" s="2">
        <v>1.086109594639062E-5</v>
      </c>
      <c r="K49" s="2" t="s">
        <v>2</v>
      </c>
    </row>
    <row r="50" spans="1:11" x14ac:dyDescent="0.35">
      <c r="A50" s="2" t="s">
        <v>60</v>
      </c>
      <c r="B50" s="2">
        <v>736</v>
      </c>
      <c r="C50" s="2">
        <v>248</v>
      </c>
      <c r="D50" s="2">
        <v>0.74796747967479671</v>
      </c>
      <c r="E50" s="2">
        <v>4.9172353737614231E-57</v>
      </c>
      <c r="F50" s="2">
        <v>1</v>
      </c>
      <c r="G50" s="2">
        <v>9.8344707475228451E-57</v>
      </c>
      <c r="H50" s="2">
        <v>0</v>
      </c>
      <c r="I50" s="2">
        <v>1</v>
      </c>
      <c r="J50" s="2">
        <v>0</v>
      </c>
      <c r="K50" s="2" t="s">
        <v>1</v>
      </c>
    </row>
    <row r="51" spans="1:11" x14ac:dyDescent="0.35">
      <c r="A51" s="2" t="s">
        <v>61</v>
      </c>
      <c r="B51" s="2">
        <v>341</v>
      </c>
      <c r="C51" s="2">
        <v>643</v>
      </c>
      <c r="D51" s="2">
        <v>0.34654471544715448</v>
      </c>
      <c r="E51" s="2">
        <v>1</v>
      </c>
      <c r="F51" s="2">
        <v>1.9797325263251729E-22</v>
      </c>
      <c r="G51" s="2">
        <v>3.9594650526503459E-22</v>
      </c>
      <c r="H51" s="2">
        <v>1</v>
      </c>
      <c r="I51" s="2">
        <v>3.0627435977526589E-22</v>
      </c>
      <c r="J51" s="2">
        <v>0</v>
      </c>
      <c r="K51" s="2" t="s">
        <v>2</v>
      </c>
    </row>
    <row r="52" spans="1:11" x14ac:dyDescent="0.35">
      <c r="A52" s="2" t="s">
        <v>62</v>
      </c>
      <c r="B52" s="2">
        <v>465</v>
      </c>
      <c r="C52" s="2">
        <v>519</v>
      </c>
      <c r="D52" s="2">
        <v>0.47256097560975607</v>
      </c>
      <c r="E52" s="2">
        <v>0.96025424856792696</v>
      </c>
      <c r="F52" s="2">
        <v>4.5528921742181858E-2</v>
      </c>
      <c r="G52" s="2">
        <v>9.1057843484363715E-2</v>
      </c>
      <c r="H52" s="2">
        <v>0.95741604705802219</v>
      </c>
      <c r="I52" s="2">
        <v>4.2583952941977823E-2</v>
      </c>
      <c r="J52" s="2">
        <v>8.5167905883955619E-2</v>
      </c>
      <c r="K52" s="2" t="s">
        <v>2</v>
      </c>
    </row>
    <row r="53" spans="1:11" x14ac:dyDescent="0.35">
      <c r="A53" s="2" t="s">
        <v>63</v>
      </c>
      <c r="B53" s="2">
        <v>321</v>
      </c>
      <c r="C53" s="2">
        <v>663</v>
      </c>
      <c r="D53" s="2">
        <v>0.32621951219512202</v>
      </c>
      <c r="E53" s="2">
        <v>1</v>
      </c>
      <c r="F53" s="2">
        <v>2.293503273485017E-28</v>
      </c>
      <c r="G53" s="2">
        <v>4.5870065469700331E-28</v>
      </c>
      <c r="H53" s="2">
        <v>1</v>
      </c>
      <c r="I53" s="2">
        <v>5.6028568237205951E-28</v>
      </c>
      <c r="J53" s="2">
        <v>0</v>
      </c>
      <c r="K53" s="2" t="s">
        <v>2</v>
      </c>
    </row>
    <row r="54" spans="1:11" x14ac:dyDescent="0.35">
      <c r="A54" s="2" t="s">
        <v>64</v>
      </c>
      <c r="B54" s="2">
        <v>218</v>
      </c>
      <c r="C54" s="2">
        <v>766</v>
      </c>
      <c r="D54" s="2">
        <v>0.22154471544715451</v>
      </c>
      <c r="E54" s="2">
        <v>1</v>
      </c>
      <c r="F54" s="2">
        <v>2.6400965477779032E-72</v>
      </c>
      <c r="G54" s="2">
        <v>5.2801930955558055E-72</v>
      </c>
      <c r="H54" s="2">
        <v>1</v>
      </c>
      <c r="I54" s="2">
        <v>1.2209622226072819E-68</v>
      </c>
      <c r="J54" s="2">
        <v>0</v>
      </c>
      <c r="K54" s="2" t="s">
        <v>2</v>
      </c>
    </row>
    <row r="55" spans="1:11" x14ac:dyDescent="0.35">
      <c r="A55" s="2" t="s">
        <v>65</v>
      </c>
      <c r="B55" s="2">
        <v>423</v>
      </c>
      <c r="C55" s="2">
        <v>561</v>
      </c>
      <c r="D55" s="2">
        <v>0.4298780487804878</v>
      </c>
      <c r="E55" s="2">
        <v>0.9999954643317559</v>
      </c>
      <c r="F55" s="2">
        <v>6.0958071557261596E-6</v>
      </c>
      <c r="G55" s="2">
        <v>1.2191614311452319E-5</v>
      </c>
      <c r="H55" s="2">
        <v>0.9999945694520268</v>
      </c>
      <c r="I55" s="2">
        <v>5.4305479732201839E-6</v>
      </c>
      <c r="J55" s="2">
        <v>1.086109594639062E-5</v>
      </c>
      <c r="K55" s="2" t="s">
        <v>2</v>
      </c>
    </row>
    <row r="56" spans="1:11" x14ac:dyDescent="0.35">
      <c r="A56" s="2" t="s">
        <v>66</v>
      </c>
      <c r="B56" s="2">
        <v>307</v>
      </c>
      <c r="C56" s="2">
        <v>677</v>
      </c>
      <c r="D56" s="2">
        <v>0.31199186991869921</v>
      </c>
      <c r="E56" s="2">
        <v>1</v>
      </c>
      <c r="F56" s="2">
        <v>5.4017712735869157E-33</v>
      </c>
      <c r="G56" s="2">
        <v>1.080354254717383E-32</v>
      </c>
      <c r="H56" s="2">
        <v>1</v>
      </c>
      <c r="I56" s="2">
        <v>2.066845076287369E-32</v>
      </c>
      <c r="J56" s="2">
        <v>0</v>
      </c>
      <c r="K56" s="2" t="s">
        <v>2</v>
      </c>
    </row>
    <row r="57" spans="1:11" x14ac:dyDescent="0.35">
      <c r="A57" s="2" t="s">
        <v>67</v>
      </c>
      <c r="B57" s="2">
        <v>437</v>
      </c>
      <c r="C57" s="2">
        <v>547</v>
      </c>
      <c r="D57" s="2">
        <v>0.44410569105691061</v>
      </c>
      <c r="E57" s="2">
        <v>0.99980146178356266</v>
      </c>
      <c r="F57" s="2">
        <v>2.5252241958683542E-4</v>
      </c>
      <c r="G57" s="2">
        <v>5.0504483917367083E-4</v>
      </c>
      <c r="H57" s="2">
        <v>0.99977312589297829</v>
      </c>
      <c r="I57" s="2">
        <v>2.2687410702172279E-4</v>
      </c>
      <c r="J57" s="2">
        <v>4.5374821404342569E-4</v>
      </c>
      <c r="K57" s="2" t="s">
        <v>2</v>
      </c>
    </row>
    <row r="58" spans="1:11" x14ac:dyDescent="0.35">
      <c r="A58" s="2" t="s">
        <v>68</v>
      </c>
      <c r="B58" s="2">
        <v>544</v>
      </c>
      <c r="C58" s="2">
        <v>440</v>
      </c>
      <c r="D58" s="2">
        <v>0.55284552845528456</v>
      </c>
      <c r="E58" s="2">
        <v>5.0765285346146517E-4</v>
      </c>
      <c r="F58" s="2">
        <v>0.99959620799336957</v>
      </c>
      <c r="G58" s="2">
        <v>1.0153057069229299E-3</v>
      </c>
      <c r="H58" s="2">
        <v>4.5756216810122208E-4</v>
      </c>
      <c r="I58" s="2">
        <v>0.99954243783189878</v>
      </c>
      <c r="J58" s="2">
        <v>9.1512433620244416E-4</v>
      </c>
      <c r="K58" s="2" t="s">
        <v>1</v>
      </c>
    </row>
    <row r="59" spans="1:11" x14ac:dyDescent="0.35">
      <c r="A59" s="2" t="s">
        <v>69</v>
      </c>
      <c r="B59" s="2">
        <v>323</v>
      </c>
      <c r="C59" s="2">
        <v>661</v>
      </c>
      <c r="D59" s="2">
        <v>0.3282520325203252</v>
      </c>
      <c r="E59" s="2">
        <v>1</v>
      </c>
      <c r="F59" s="2">
        <v>9.7620402540357762E-28</v>
      </c>
      <c r="G59" s="2">
        <v>1.9524080508071549E-27</v>
      </c>
      <c r="H59" s="2">
        <v>1</v>
      </c>
      <c r="I59" s="2">
        <v>2.2577707079099098E-27</v>
      </c>
      <c r="J59" s="2">
        <v>0</v>
      </c>
      <c r="K59" s="2" t="s">
        <v>2</v>
      </c>
    </row>
    <row r="60" spans="1:11" x14ac:dyDescent="0.35">
      <c r="A60" s="2" t="s">
        <v>70</v>
      </c>
      <c r="B60" s="2">
        <v>684</v>
      </c>
      <c r="C60" s="2">
        <v>300</v>
      </c>
      <c r="D60" s="2">
        <v>0.69512195121951215</v>
      </c>
      <c r="E60" s="2">
        <v>1.8581545442298041E-35</v>
      </c>
      <c r="F60" s="2">
        <v>1</v>
      </c>
      <c r="G60" s="2">
        <v>3.7163090884596083E-35</v>
      </c>
      <c r="H60" s="2">
        <v>0</v>
      </c>
      <c r="I60" s="2">
        <v>1</v>
      </c>
      <c r="J60" s="2">
        <v>0</v>
      </c>
      <c r="K60" s="2" t="s">
        <v>1</v>
      </c>
    </row>
    <row r="61" spans="1:11" x14ac:dyDescent="0.35">
      <c r="A61" s="2" t="s">
        <v>71</v>
      </c>
      <c r="B61" s="2">
        <v>328</v>
      </c>
      <c r="C61" s="2">
        <v>656</v>
      </c>
      <c r="D61" s="2">
        <v>0.33333333333333331</v>
      </c>
      <c r="E61" s="2">
        <v>1</v>
      </c>
      <c r="F61" s="2">
        <v>3.3686473783027312E-26</v>
      </c>
      <c r="G61" s="2">
        <v>6.7372947566054624E-26</v>
      </c>
      <c r="H61" s="2">
        <v>1</v>
      </c>
      <c r="I61" s="2">
        <v>6.8583061131524297E-26</v>
      </c>
      <c r="J61" s="2">
        <v>0</v>
      </c>
      <c r="K61" s="2" t="s">
        <v>2</v>
      </c>
    </row>
    <row r="62" spans="1:11" x14ac:dyDescent="0.35">
      <c r="A62" s="2" t="s">
        <v>72</v>
      </c>
      <c r="B62" s="2">
        <v>762</v>
      </c>
      <c r="C62" s="2">
        <v>222</v>
      </c>
      <c r="D62" s="2">
        <v>0.77439024390243905</v>
      </c>
      <c r="E62" s="2">
        <v>3.8512221625519637E-70</v>
      </c>
      <c r="F62" s="2">
        <v>1</v>
      </c>
      <c r="G62" s="2">
        <v>7.7024443251039287E-70</v>
      </c>
      <c r="H62" s="2">
        <v>0</v>
      </c>
      <c r="I62" s="2">
        <v>1</v>
      </c>
      <c r="J62" s="2">
        <v>0</v>
      </c>
      <c r="K62" s="2" t="s">
        <v>1</v>
      </c>
    </row>
    <row r="63" spans="1:11" x14ac:dyDescent="0.35">
      <c r="A63" s="2" t="s">
        <v>73</v>
      </c>
      <c r="B63" s="2">
        <v>927</v>
      </c>
      <c r="C63" s="2">
        <v>57</v>
      </c>
      <c r="D63" s="2">
        <v>0.94207317073170727</v>
      </c>
      <c r="E63" s="2">
        <v>1.226504790306943E-203</v>
      </c>
      <c r="F63" s="2">
        <v>1</v>
      </c>
      <c r="G63" s="2">
        <v>2.4530095806138861E-203</v>
      </c>
      <c r="H63" s="2">
        <v>0</v>
      </c>
      <c r="I63" s="2">
        <v>1</v>
      </c>
      <c r="J63" s="2">
        <v>0</v>
      </c>
      <c r="K63" s="2" t="s">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795</v>
      </c>
      <c r="C2" s="2">
        <v>838</v>
      </c>
      <c r="D2" s="2">
        <v>0.48683404776485001</v>
      </c>
      <c r="E2" s="2">
        <v>0.86188756165359359</v>
      </c>
      <c r="F2" s="2">
        <v>0.14932314264485841</v>
      </c>
      <c r="G2" s="2">
        <v>0.29864628528971682</v>
      </c>
      <c r="H2" s="2">
        <v>0.85635437073453313</v>
      </c>
      <c r="I2" s="2">
        <v>0.1436456292654669</v>
      </c>
      <c r="J2" s="2">
        <v>0.28729125853093368</v>
      </c>
      <c r="K2" s="2" t="s">
        <v>12</v>
      </c>
    </row>
    <row r="3" spans="1:11" x14ac:dyDescent="0.35">
      <c r="A3" s="2" t="s">
        <v>13</v>
      </c>
      <c r="B3" s="2">
        <v>894</v>
      </c>
      <c r="C3" s="2">
        <v>739</v>
      </c>
      <c r="D3" s="2">
        <v>0.54745866503368035</v>
      </c>
      <c r="E3" s="2">
        <v>6.8495451888000259E-5</v>
      </c>
      <c r="F3" s="2">
        <v>0.99994403076320326</v>
      </c>
      <c r="G3" s="2">
        <v>1.3699090377600049E-4</v>
      </c>
      <c r="H3" s="2">
        <v>6.2617145115462236E-5</v>
      </c>
      <c r="I3" s="2">
        <v>0.99993738285488454</v>
      </c>
      <c r="J3" s="2">
        <v>1.252342902309245E-4</v>
      </c>
      <c r="K3" s="2" t="s">
        <v>1</v>
      </c>
    </row>
    <row r="4" spans="1:11" x14ac:dyDescent="0.35">
      <c r="A4" s="2" t="s">
        <v>14</v>
      </c>
      <c r="B4" s="2">
        <v>666</v>
      </c>
      <c r="C4" s="2">
        <v>967</v>
      </c>
      <c r="D4" s="2">
        <v>0.40783833435394978</v>
      </c>
      <c r="E4" s="2">
        <v>0.99999999999996669</v>
      </c>
      <c r="F4" s="2">
        <v>4.8624237484994682E-14</v>
      </c>
      <c r="G4" s="2">
        <v>9.7248474969989351E-14</v>
      </c>
      <c r="H4" s="2">
        <v>0.99999999999995282</v>
      </c>
      <c r="I4" s="2">
        <v>4.7175616965351608E-14</v>
      </c>
      <c r="J4" s="2">
        <v>9.4368957093138306E-14</v>
      </c>
      <c r="K4" s="2" t="s">
        <v>2</v>
      </c>
    </row>
    <row r="5" spans="1:11" x14ac:dyDescent="0.35">
      <c r="A5" s="2" t="s">
        <v>15</v>
      </c>
      <c r="B5" s="2">
        <v>584</v>
      </c>
      <c r="C5" s="2">
        <v>1049</v>
      </c>
      <c r="D5" s="2">
        <v>0.35762400489895901</v>
      </c>
      <c r="E5" s="2">
        <v>1</v>
      </c>
      <c r="F5" s="2">
        <v>3.2405845739373421E-31</v>
      </c>
      <c r="G5" s="2">
        <v>6.4811691478746832E-31</v>
      </c>
      <c r="H5" s="2">
        <v>1</v>
      </c>
      <c r="I5" s="2">
        <v>6.0860331594527916E-31</v>
      </c>
      <c r="J5" s="2">
        <v>0</v>
      </c>
      <c r="K5" s="2" t="s">
        <v>2</v>
      </c>
    </row>
    <row r="6" spans="1:11" x14ac:dyDescent="0.35">
      <c r="A6" s="2" t="s">
        <v>16</v>
      </c>
      <c r="B6" s="2">
        <v>519</v>
      </c>
      <c r="C6" s="2">
        <v>1114</v>
      </c>
      <c r="D6" s="2">
        <v>0.3178199632578077</v>
      </c>
      <c r="E6" s="2">
        <v>1</v>
      </c>
      <c r="F6" s="2">
        <v>2.629677884581502E-50</v>
      </c>
      <c r="G6" s="2">
        <v>5.2593557691630049E-50</v>
      </c>
      <c r="H6" s="2">
        <v>1</v>
      </c>
      <c r="I6" s="2">
        <v>2.2627347631506648E-49</v>
      </c>
      <c r="J6" s="2">
        <v>0</v>
      </c>
      <c r="K6" s="2" t="s">
        <v>2</v>
      </c>
    </row>
    <row r="7" spans="1:11" x14ac:dyDescent="0.35">
      <c r="A7" s="2" t="s">
        <v>17</v>
      </c>
      <c r="B7" s="2">
        <v>595</v>
      </c>
      <c r="C7" s="2">
        <v>1038</v>
      </c>
      <c r="D7" s="2">
        <v>0.36436007348438459</v>
      </c>
      <c r="E7" s="2">
        <v>1</v>
      </c>
      <c r="F7" s="2">
        <v>1.791419905777891E-28</v>
      </c>
      <c r="G7" s="2">
        <v>3.5828398115557821E-28</v>
      </c>
      <c r="H7" s="2">
        <v>1</v>
      </c>
      <c r="I7" s="2">
        <v>2.893072906633057E-28</v>
      </c>
      <c r="J7" s="2">
        <v>0</v>
      </c>
      <c r="K7" s="2" t="s">
        <v>2</v>
      </c>
    </row>
    <row r="8" spans="1:11" x14ac:dyDescent="0.35">
      <c r="A8" s="2" t="s">
        <v>18</v>
      </c>
      <c r="B8" s="2">
        <v>977</v>
      </c>
      <c r="C8" s="2">
        <v>656</v>
      </c>
      <c r="D8" s="2">
        <v>0.59828536436007351</v>
      </c>
      <c r="E8" s="2">
        <v>9.7848639363589E-16</v>
      </c>
      <c r="F8" s="2">
        <v>0.99999999999999933</v>
      </c>
      <c r="G8" s="2">
        <v>1.95697278727178E-15</v>
      </c>
      <c r="H8" s="2">
        <v>9.9920072216264089E-16</v>
      </c>
      <c r="I8" s="2">
        <v>0.999999999999999</v>
      </c>
      <c r="J8" s="2">
        <v>1.9984014443252822E-15</v>
      </c>
      <c r="K8" s="2" t="s">
        <v>1</v>
      </c>
    </row>
    <row r="9" spans="1:11" x14ac:dyDescent="0.35">
      <c r="A9" s="2" t="s">
        <v>19</v>
      </c>
      <c r="B9" s="2">
        <v>744</v>
      </c>
      <c r="C9" s="2">
        <v>889</v>
      </c>
      <c r="D9" s="2">
        <v>0.4556031843233313</v>
      </c>
      <c r="E9" s="2">
        <v>0.99984991919105171</v>
      </c>
      <c r="F9" s="2">
        <v>1.815311837402471E-4</v>
      </c>
      <c r="G9" s="2">
        <v>3.6306236748049421E-4</v>
      </c>
      <c r="H9" s="2">
        <v>0.99983350644711377</v>
      </c>
      <c r="I9" s="2">
        <v>1.6649355288621861E-4</v>
      </c>
      <c r="J9" s="2">
        <v>3.3298710577245322E-4</v>
      </c>
      <c r="K9" s="2" t="s">
        <v>2</v>
      </c>
    </row>
    <row r="10" spans="1:11" x14ac:dyDescent="0.35">
      <c r="A10" s="2" t="s">
        <v>20</v>
      </c>
      <c r="B10" s="2">
        <v>621</v>
      </c>
      <c r="C10" s="2">
        <v>1012</v>
      </c>
      <c r="D10" s="2">
        <v>0.38028169014084512</v>
      </c>
      <c r="E10" s="2">
        <v>1</v>
      </c>
      <c r="F10" s="2">
        <v>1.547601377779754E-22</v>
      </c>
      <c r="G10" s="2">
        <v>3.095202755559508E-22</v>
      </c>
      <c r="H10" s="2">
        <v>1</v>
      </c>
      <c r="I10" s="2">
        <v>1.911796903706294E-22</v>
      </c>
      <c r="J10" s="2">
        <v>0</v>
      </c>
      <c r="K10" s="2" t="s">
        <v>2</v>
      </c>
    </row>
    <row r="11" spans="1:11" x14ac:dyDescent="0.35">
      <c r="A11" s="2" t="s">
        <v>21</v>
      </c>
      <c r="B11" s="2">
        <v>608</v>
      </c>
      <c r="C11" s="2">
        <v>1025</v>
      </c>
      <c r="D11" s="2">
        <v>0.3723208818126148</v>
      </c>
      <c r="E11" s="2">
        <v>1</v>
      </c>
      <c r="F11" s="2">
        <v>2.0737567766717872E-25</v>
      </c>
      <c r="G11" s="2">
        <v>4.1475135533435734E-25</v>
      </c>
      <c r="H11" s="2">
        <v>1</v>
      </c>
      <c r="I11" s="2">
        <v>2.887286636845764E-25</v>
      </c>
      <c r="J11" s="2">
        <v>0</v>
      </c>
      <c r="K11" s="2" t="s">
        <v>2</v>
      </c>
    </row>
    <row r="12" spans="1:11" x14ac:dyDescent="0.35">
      <c r="A12" s="2" t="s">
        <v>22</v>
      </c>
      <c r="B12" s="2">
        <v>713</v>
      </c>
      <c r="C12" s="2">
        <v>920</v>
      </c>
      <c r="D12" s="2">
        <v>0.43661971830985907</v>
      </c>
      <c r="E12" s="2">
        <v>0.99999987245591715</v>
      </c>
      <c r="F12" s="2">
        <v>1.6606683961664049E-7</v>
      </c>
      <c r="G12" s="2">
        <v>3.3213367923328098E-7</v>
      </c>
      <c r="H12" s="2">
        <v>0.99999984919997753</v>
      </c>
      <c r="I12" s="2">
        <v>1.5080002245080279E-7</v>
      </c>
      <c r="J12" s="2">
        <v>3.0160004493851028E-7</v>
      </c>
      <c r="K12" s="2" t="s">
        <v>2</v>
      </c>
    </row>
    <row r="13" spans="1:11" x14ac:dyDescent="0.35">
      <c r="A13" s="2" t="s">
        <v>23</v>
      </c>
      <c r="B13" s="2">
        <v>1216</v>
      </c>
      <c r="C13" s="2">
        <v>417</v>
      </c>
      <c r="D13" s="2">
        <v>0.7446417636252296</v>
      </c>
      <c r="E13" s="2">
        <v>7.6752412623391479E-91</v>
      </c>
      <c r="F13" s="2">
        <v>1</v>
      </c>
      <c r="G13" s="2">
        <v>1.53504825246783E-90</v>
      </c>
      <c r="H13" s="2">
        <v>0</v>
      </c>
      <c r="I13" s="2">
        <v>1</v>
      </c>
      <c r="J13" s="2">
        <v>0</v>
      </c>
      <c r="K13" s="2" t="s">
        <v>1</v>
      </c>
    </row>
    <row r="14" spans="1:11" x14ac:dyDescent="0.35">
      <c r="A14" s="2" t="s">
        <v>24</v>
      </c>
      <c r="B14" s="2">
        <v>1228</v>
      </c>
      <c r="C14" s="2">
        <v>405</v>
      </c>
      <c r="D14" s="2">
        <v>0.75199020208205758</v>
      </c>
      <c r="E14" s="2">
        <v>1.5916232962623739E-96</v>
      </c>
      <c r="F14" s="2">
        <v>1</v>
      </c>
      <c r="G14" s="2">
        <v>3.1832465925247491E-96</v>
      </c>
      <c r="H14" s="2">
        <v>0</v>
      </c>
      <c r="I14" s="2">
        <v>1</v>
      </c>
      <c r="J14" s="2">
        <v>0</v>
      </c>
      <c r="K14" s="2" t="s">
        <v>1</v>
      </c>
    </row>
    <row r="15" spans="1:11" x14ac:dyDescent="0.35">
      <c r="A15" s="2" t="s">
        <v>25</v>
      </c>
      <c r="B15" s="2">
        <v>615</v>
      </c>
      <c r="C15" s="2">
        <v>1018</v>
      </c>
      <c r="D15" s="2">
        <v>0.37660747091243107</v>
      </c>
      <c r="E15" s="2">
        <v>1</v>
      </c>
      <c r="F15" s="2">
        <v>7.7139783622012847E-24</v>
      </c>
      <c r="G15" s="2">
        <v>1.5427956724402569E-23</v>
      </c>
      <c r="H15" s="2">
        <v>1</v>
      </c>
      <c r="I15" s="2">
        <v>1.003672774292487E-23</v>
      </c>
      <c r="J15" s="2">
        <v>0</v>
      </c>
      <c r="K15" s="2" t="s">
        <v>2</v>
      </c>
    </row>
    <row r="16" spans="1:11" x14ac:dyDescent="0.35">
      <c r="A16" s="2" t="s">
        <v>26</v>
      </c>
      <c r="B16" s="2">
        <v>809</v>
      </c>
      <c r="C16" s="2">
        <v>824</v>
      </c>
      <c r="D16" s="2">
        <v>0.49540722596448261</v>
      </c>
      <c r="E16" s="2">
        <v>0.6539182261478429</v>
      </c>
      <c r="F16" s="2">
        <v>0.36450981315316999</v>
      </c>
      <c r="G16" s="2">
        <v>0.7290196263063401</v>
      </c>
      <c r="H16" s="2">
        <v>0.64475259402999296</v>
      </c>
      <c r="I16" s="2">
        <v>0.35524740597000709</v>
      </c>
      <c r="J16" s="2">
        <v>0.71049481194001407</v>
      </c>
      <c r="K16" s="2" t="s">
        <v>12</v>
      </c>
    </row>
    <row r="17" spans="1:11" x14ac:dyDescent="0.35">
      <c r="A17" s="2" t="s">
        <v>27</v>
      </c>
      <c r="B17" s="2">
        <v>973</v>
      </c>
      <c r="C17" s="2">
        <v>660</v>
      </c>
      <c r="D17" s="2">
        <v>0.59583588487446415</v>
      </c>
      <c r="E17" s="2">
        <v>4.8097469097399136E-15</v>
      </c>
      <c r="F17" s="2">
        <v>0.99999999999999678</v>
      </c>
      <c r="G17" s="2">
        <v>9.6194938194798288E-15</v>
      </c>
      <c r="H17" s="2">
        <v>4.7739590058881731E-15</v>
      </c>
      <c r="I17" s="2">
        <v>0.99999999999999523</v>
      </c>
      <c r="J17" s="2">
        <v>9.5479180117763462E-15</v>
      </c>
      <c r="K17" s="2" t="s">
        <v>1</v>
      </c>
    </row>
    <row r="18" spans="1:11" x14ac:dyDescent="0.35">
      <c r="A18" s="2" t="s">
        <v>28</v>
      </c>
      <c r="B18" s="2">
        <v>895</v>
      </c>
      <c r="C18" s="2">
        <v>738</v>
      </c>
      <c r="D18" s="2">
        <v>0.54807103490508269</v>
      </c>
      <c r="E18" s="2">
        <v>5.5969236796788963E-5</v>
      </c>
      <c r="F18" s="2">
        <v>0.99995437363801032</v>
      </c>
      <c r="G18" s="2">
        <v>1.119384735935779E-4</v>
      </c>
      <c r="H18" s="2">
        <v>5.1135681138236848E-5</v>
      </c>
      <c r="I18" s="2">
        <v>0.99994886431886176</v>
      </c>
      <c r="J18" s="2">
        <v>1.022713622764737E-4</v>
      </c>
      <c r="K18" s="2" t="s">
        <v>1</v>
      </c>
    </row>
    <row r="19" spans="1:11" x14ac:dyDescent="0.35">
      <c r="A19" s="2" t="s">
        <v>29</v>
      </c>
      <c r="B19" s="2">
        <v>1018</v>
      </c>
      <c r="C19" s="2">
        <v>615</v>
      </c>
      <c r="D19" s="2">
        <v>0.62339252908756893</v>
      </c>
      <c r="E19" s="2">
        <v>7.7139783622012847E-24</v>
      </c>
      <c r="F19" s="2">
        <v>1</v>
      </c>
      <c r="G19" s="2">
        <v>1.5427956724402569E-23</v>
      </c>
      <c r="H19" s="2">
        <v>0</v>
      </c>
      <c r="I19" s="2">
        <v>1</v>
      </c>
      <c r="J19" s="2">
        <v>0</v>
      </c>
      <c r="K19" s="2" t="s">
        <v>1</v>
      </c>
    </row>
    <row r="20" spans="1:11" x14ac:dyDescent="0.35">
      <c r="A20" s="2" t="s">
        <v>30</v>
      </c>
      <c r="B20" s="2">
        <v>892</v>
      </c>
      <c r="C20" s="2">
        <v>741</v>
      </c>
      <c r="D20" s="2">
        <v>0.54623392529087567</v>
      </c>
      <c r="E20" s="2">
        <v>1.018657055634177E-4</v>
      </c>
      <c r="F20" s="2">
        <v>0.99991637152609636</v>
      </c>
      <c r="G20" s="2">
        <v>2.0373141112683531E-4</v>
      </c>
      <c r="H20" s="2">
        <v>9.3239535750799796E-5</v>
      </c>
      <c r="I20" s="2">
        <v>0.9999067604642492</v>
      </c>
      <c r="J20" s="2">
        <v>1.8647907150159959E-4</v>
      </c>
      <c r="K20" s="2" t="s">
        <v>1</v>
      </c>
    </row>
    <row r="21" spans="1:11" x14ac:dyDescent="0.35">
      <c r="A21" s="2" t="s">
        <v>31</v>
      </c>
      <c r="B21" s="2">
        <v>555</v>
      </c>
      <c r="C21" s="2">
        <v>1078</v>
      </c>
      <c r="D21" s="2">
        <v>0.33986527862829152</v>
      </c>
      <c r="E21" s="2">
        <v>1</v>
      </c>
      <c r="F21" s="2">
        <v>4.0745483613636383E-39</v>
      </c>
      <c r="G21" s="2">
        <v>8.1490967227272752E-39</v>
      </c>
      <c r="H21" s="2">
        <v>1</v>
      </c>
      <c r="I21" s="2">
        <v>1.300121571603233E-38</v>
      </c>
      <c r="J21" s="2">
        <v>0</v>
      </c>
      <c r="K21" s="2" t="s">
        <v>2</v>
      </c>
    </row>
    <row r="22" spans="1:11" x14ac:dyDescent="0.35">
      <c r="A22" s="2" t="s">
        <v>32</v>
      </c>
      <c r="B22" s="2">
        <v>648</v>
      </c>
      <c r="C22" s="2">
        <v>985</v>
      </c>
      <c r="D22" s="2">
        <v>0.39681567666870787</v>
      </c>
      <c r="E22" s="2">
        <v>1</v>
      </c>
      <c r="F22" s="2">
        <v>3.5893598147530843E-17</v>
      </c>
      <c r="G22" s="2">
        <v>7.1787196295061673E-17</v>
      </c>
      <c r="H22" s="2">
        <v>1</v>
      </c>
      <c r="I22" s="2">
        <v>3.7322073243770539E-17</v>
      </c>
      <c r="J22" s="2">
        <v>0</v>
      </c>
      <c r="K22" s="2" t="s">
        <v>2</v>
      </c>
    </row>
    <row r="23" spans="1:11" x14ac:dyDescent="0.35">
      <c r="A23" s="2" t="s">
        <v>33</v>
      </c>
      <c r="B23" s="2">
        <v>1124</v>
      </c>
      <c r="C23" s="2">
        <v>509</v>
      </c>
      <c r="D23" s="2">
        <v>0.68830373545621559</v>
      </c>
      <c r="E23" s="2">
        <v>1.079163552591287E-53</v>
      </c>
      <c r="F23" s="2">
        <v>1</v>
      </c>
      <c r="G23" s="2">
        <v>2.158327105182574E-53</v>
      </c>
      <c r="H23" s="2">
        <v>0</v>
      </c>
      <c r="I23" s="2">
        <v>1</v>
      </c>
      <c r="J23" s="2">
        <v>0</v>
      </c>
      <c r="K23" s="2" t="s">
        <v>1</v>
      </c>
    </row>
    <row r="24" spans="1:11" x14ac:dyDescent="0.35">
      <c r="A24" s="2" t="s">
        <v>34</v>
      </c>
      <c r="B24" s="2">
        <v>1161</v>
      </c>
      <c r="C24" s="2">
        <v>472</v>
      </c>
      <c r="D24" s="2">
        <v>0.71096142069810164</v>
      </c>
      <c r="E24" s="2">
        <v>2.6140504054922549E-67</v>
      </c>
      <c r="F24" s="2">
        <v>1</v>
      </c>
      <c r="G24" s="2">
        <v>5.2281008109845097E-67</v>
      </c>
      <c r="H24" s="2">
        <v>0</v>
      </c>
      <c r="I24" s="2">
        <v>1</v>
      </c>
      <c r="J24" s="2">
        <v>0</v>
      </c>
      <c r="K24" s="2" t="s">
        <v>1</v>
      </c>
    </row>
    <row r="25" spans="1:11" x14ac:dyDescent="0.35">
      <c r="A25" s="2" t="s">
        <v>35</v>
      </c>
      <c r="B25" s="2">
        <v>555</v>
      </c>
      <c r="C25" s="2">
        <v>1078</v>
      </c>
      <c r="D25" s="2">
        <v>0.33986527862829152</v>
      </c>
      <c r="E25" s="2">
        <v>1</v>
      </c>
      <c r="F25" s="2">
        <v>4.0745483613636383E-39</v>
      </c>
      <c r="G25" s="2">
        <v>8.1490967227272752E-39</v>
      </c>
      <c r="H25" s="2">
        <v>1</v>
      </c>
      <c r="I25" s="2">
        <v>1.300121571603233E-38</v>
      </c>
      <c r="J25" s="2">
        <v>0</v>
      </c>
      <c r="K25" s="2" t="s">
        <v>2</v>
      </c>
    </row>
    <row r="26" spans="1:11" x14ac:dyDescent="0.35">
      <c r="A26" s="2" t="s">
        <v>36</v>
      </c>
      <c r="B26" s="2">
        <v>659</v>
      </c>
      <c r="C26" s="2">
        <v>974</v>
      </c>
      <c r="D26" s="2">
        <v>0.40355174525413351</v>
      </c>
      <c r="E26" s="2">
        <v>0.99999999999999778</v>
      </c>
      <c r="F26" s="2">
        <v>3.2423801973958432E-15</v>
      </c>
      <c r="G26" s="2">
        <v>6.4847603947916863E-15</v>
      </c>
      <c r="H26" s="2">
        <v>0.99999999999999678</v>
      </c>
      <c r="I26" s="2">
        <v>3.2198097325126299E-15</v>
      </c>
      <c r="J26" s="2">
        <v>6.4392935428259079E-15</v>
      </c>
      <c r="K26" s="2" t="s">
        <v>2</v>
      </c>
    </row>
    <row r="27" spans="1:11" x14ac:dyDescent="0.35">
      <c r="A27" s="2" t="s">
        <v>37</v>
      </c>
      <c r="B27" s="2">
        <v>727</v>
      </c>
      <c r="C27" s="2">
        <v>906</v>
      </c>
      <c r="D27" s="2">
        <v>0.44519289650949168</v>
      </c>
      <c r="E27" s="2">
        <v>0.99999587518426136</v>
      </c>
      <c r="F27" s="2">
        <v>5.1933716582758664E-6</v>
      </c>
      <c r="G27" s="2">
        <v>1.0386743316551729E-5</v>
      </c>
      <c r="H27" s="2">
        <v>0.99999527857781301</v>
      </c>
      <c r="I27" s="2">
        <v>4.721422187028885E-6</v>
      </c>
      <c r="J27" s="2">
        <v>9.4428443739857926E-6</v>
      </c>
      <c r="K27" s="2" t="s">
        <v>2</v>
      </c>
    </row>
    <row r="28" spans="1:11" x14ac:dyDescent="0.35">
      <c r="A28" s="2" t="s">
        <v>38</v>
      </c>
      <c r="B28" s="2">
        <v>799</v>
      </c>
      <c r="C28" s="2">
        <v>834</v>
      </c>
      <c r="D28" s="2">
        <v>0.48928352725045932</v>
      </c>
      <c r="E28" s="2">
        <v>0.8134953038914281</v>
      </c>
      <c r="F28" s="2">
        <v>0.2000745154932691</v>
      </c>
      <c r="G28" s="2">
        <v>0.40014903098653831</v>
      </c>
      <c r="H28" s="2">
        <v>0.80678611743958184</v>
      </c>
      <c r="I28" s="2">
        <v>0.19321388256041819</v>
      </c>
      <c r="J28" s="2">
        <v>0.38642776512083632</v>
      </c>
      <c r="K28" s="2" t="s">
        <v>12</v>
      </c>
    </row>
    <row r="29" spans="1:11" x14ac:dyDescent="0.35">
      <c r="A29" s="2" t="s">
        <v>39</v>
      </c>
      <c r="B29" s="2">
        <v>821</v>
      </c>
      <c r="C29" s="2">
        <v>812</v>
      </c>
      <c r="D29" s="2">
        <v>0.50275566442131048</v>
      </c>
      <c r="E29" s="2">
        <v>0.42153851230015671</v>
      </c>
      <c r="F29" s="2">
        <v>0.59771970540567021</v>
      </c>
      <c r="G29" s="2">
        <v>0.84307702460031342</v>
      </c>
      <c r="H29" s="2">
        <v>0.41187867329510047</v>
      </c>
      <c r="I29" s="2">
        <v>0.58812132670489947</v>
      </c>
      <c r="J29" s="2">
        <v>0.82375734659020106</v>
      </c>
      <c r="K29" s="2" t="s">
        <v>12</v>
      </c>
    </row>
    <row r="30" spans="1:11" x14ac:dyDescent="0.35">
      <c r="A30" s="2" t="s">
        <v>40</v>
      </c>
      <c r="B30" s="2">
        <v>880</v>
      </c>
      <c r="C30" s="2">
        <v>753</v>
      </c>
      <c r="D30" s="2">
        <v>0.5388854868340478</v>
      </c>
      <c r="E30" s="2">
        <v>9.0609765053783109E-4</v>
      </c>
      <c r="F30" s="2">
        <v>0.99923508635261349</v>
      </c>
      <c r="G30" s="2">
        <v>1.812195301075662E-3</v>
      </c>
      <c r="H30" s="2">
        <v>8.36827186579292E-4</v>
      </c>
      <c r="I30" s="2">
        <v>0.99916317281342071</v>
      </c>
      <c r="J30" s="2">
        <v>1.673654373158584E-3</v>
      </c>
      <c r="K30" s="2" t="s">
        <v>1</v>
      </c>
    </row>
    <row r="31" spans="1:11" x14ac:dyDescent="0.35">
      <c r="A31" s="2" t="s">
        <v>41</v>
      </c>
      <c r="B31" s="2">
        <v>889</v>
      </c>
      <c r="C31" s="2">
        <v>744</v>
      </c>
      <c r="D31" s="2">
        <v>0.54439681567666875</v>
      </c>
      <c r="E31" s="2">
        <v>1.815311837402471E-4</v>
      </c>
      <c r="F31" s="2">
        <v>0.99984991919105171</v>
      </c>
      <c r="G31" s="2">
        <v>3.6306236748049421E-4</v>
      </c>
      <c r="H31" s="2">
        <v>1.6649355288622661E-4</v>
      </c>
      <c r="I31" s="2">
        <v>0.99983350644711377</v>
      </c>
      <c r="J31" s="2">
        <v>3.3298710577245322E-4</v>
      </c>
      <c r="K31" s="2" t="s">
        <v>1</v>
      </c>
    </row>
    <row r="32" spans="1:11" x14ac:dyDescent="0.35">
      <c r="A32" s="2" t="s">
        <v>42</v>
      </c>
      <c r="B32" s="2">
        <v>749</v>
      </c>
      <c r="C32" s="2">
        <v>884</v>
      </c>
      <c r="D32" s="2">
        <v>0.45866503368034289</v>
      </c>
      <c r="E32" s="2">
        <v>0.99962038895999206</v>
      </c>
      <c r="F32" s="2">
        <v>4.5385173808198991E-4</v>
      </c>
      <c r="G32" s="2">
        <v>9.0770347616397982E-4</v>
      </c>
      <c r="H32" s="2">
        <v>0.99958219969181084</v>
      </c>
      <c r="I32" s="2">
        <v>4.1780030818919283E-4</v>
      </c>
      <c r="J32" s="2">
        <v>8.3560061637832916E-4</v>
      </c>
      <c r="K32" s="2" t="s">
        <v>2</v>
      </c>
    </row>
    <row r="33" spans="1:11" x14ac:dyDescent="0.35">
      <c r="A33" s="2" t="s">
        <v>43</v>
      </c>
      <c r="B33" s="2">
        <v>628</v>
      </c>
      <c r="C33" s="2">
        <v>1005</v>
      </c>
      <c r="D33" s="2">
        <v>0.38456827924066128</v>
      </c>
      <c r="E33" s="2">
        <v>1</v>
      </c>
      <c r="F33" s="2">
        <v>4.5527459005307487E-21</v>
      </c>
      <c r="G33" s="2">
        <v>9.1054918010614973E-21</v>
      </c>
      <c r="H33" s="2">
        <v>1</v>
      </c>
      <c r="I33" s="2">
        <v>5.3294854854330128E-21</v>
      </c>
      <c r="J33" s="2">
        <v>0</v>
      </c>
      <c r="K33" s="2" t="s">
        <v>2</v>
      </c>
    </row>
    <row r="34" spans="1:11" x14ac:dyDescent="0.35">
      <c r="A34" s="2" t="s">
        <v>44</v>
      </c>
      <c r="B34" s="2">
        <v>804</v>
      </c>
      <c r="C34" s="2">
        <v>829</v>
      </c>
      <c r="D34" s="2">
        <v>0.49234537660747091</v>
      </c>
      <c r="E34" s="2">
        <v>0.7400110727828465</v>
      </c>
      <c r="F34" s="2">
        <v>0.27629386313673959</v>
      </c>
      <c r="G34" s="2">
        <v>0.55258772627347919</v>
      </c>
      <c r="H34" s="2">
        <v>0.7319274135323901</v>
      </c>
      <c r="I34" s="2">
        <v>0.26807258646761001</v>
      </c>
      <c r="J34" s="2">
        <v>0.53614517293521979</v>
      </c>
      <c r="K34" s="2" t="s">
        <v>12</v>
      </c>
    </row>
    <row r="35" spans="1:11" x14ac:dyDescent="0.35">
      <c r="A35" s="2" t="s">
        <v>45</v>
      </c>
      <c r="B35" s="2">
        <v>946</v>
      </c>
      <c r="C35" s="2">
        <v>687</v>
      </c>
      <c r="D35" s="2">
        <v>0.5793018983466014</v>
      </c>
      <c r="E35" s="2">
        <v>7.8935242586655639E-11</v>
      </c>
      <c r="F35" s="2">
        <v>0.99999999994309774</v>
      </c>
      <c r="G35" s="2">
        <v>1.578704851733113E-10</v>
      </c>
      <c r="H35" s="2">
        <v>7.312239702628176E-11</v>
      </c>
      <c r="I35" s="2">
        <v>0.9999999999268776</v>
      </c>
      <c r="J35" s="2">
        <v>1.4624479405256349E-10</v>
      </c>
      <c r="K35" s="2" t="s">
        <v>1</v>
      </c>
    </row>
    <row r="36" spans="1:11" x14ac:dyDescent="0.35">
      <c r="A36" s="2" t="s">
        <v>46</v>
      </c>
      <c r="B36" s="2">
        <v>981</v>
      </c>
      <c r="C36" s="2">
        <v>652</v>
      </c>
      <c r="D36" s="2">
        <v>0.60073484384568276</v>
      </c>
      <c r="E36" s="2">
        <v>1.9122089432156339E-16</v>
      </c>
      <c r="F36" s="2">
        <v>0.99999999999999989</v>
      </c>
      <c r="G36" s="2">
        <v>3.8244178864312688E-16</v>
      </c>
      <c r="H36" s="2">
        <v>2.2204460492503131E-16</v>
      </c>
      <c r="I36" s="2">
        <v>0.99999999999999978</v>
      </c>
      <c r="J36" s="2">
        <v>4.4408920985006262E-16</v>
      </c>
      <c r="K36" s="2" t="s">
        <v>1</v>
      </c>
    </row>
    <row r="37" spans="1:11" x14ac:dyDescent="0.35">
      <c r="A37" s="2" t="s">
        <v>47</v>
      </c>
      <c r="B37" s="2">
        <v>979</v>
      </c>
      <c r="C37" s="2">
        <v>654</v>
      </c>
      <c r="D37" s="2">
        <v>0.59951010410287808</v>
      </c>
      <c r="E37" s="2">
        <v>6.5303714115702355E-16</v>
      </c>
      <c r="F37" s="2">
        <v>0.99999999999999956</v>
      </c>
      <c r="G37" s="2">
        <v>1.3060742823140469E-15</v>
      </c>
      <c r="H37" s="2">
        <v>4.4408920985006262E-16</v>
      </c>
      <c r="I37" s="2">
        <v>0.99999999999999956</v>
      </c>
      <c r="J37" s="2">
        <v>8.8817841970012523E-16</v>
      </c>
      <c r="K37" s="2" t="s">
        <v>1</v>
      </c>
    </row>
    <row r="38" spans="1:11" x14ac:dyDescent="0.35">
      <c r="A38" s="2" t="s">
        <v>48</v>
      </c>
      <c r="B38" s="2">
        <v>931</v>
      </c>
      <c r="C38" s="2">
        <v>702</v>
      </c>
      <c r="D38" s="2">
        <v>0.5701163502755664</v>
      </c>
      <c r="E38" s="2">
        <v>1.0636167672362871E-8</v>
      </c>
      <c r="F38" s="2">
        <v>0.99999999202662226</v>
      </c>
      <c r="G38" s="2">
        <v>2.1272335344725731E-8</v>
      </c>
      <c r="H38" s="2">
        <v>7.2719557042688621E-9</v>
      </c>
      <c r="I38" s="2">
        <v>0.9999999927280443</v>
      </c>
      <c r="J38" s="2">
        <v>1.4543911408537721E-8</v>
      </c>
      <c r="K38" s="2" t="s">
        <v>1</v>
      </c>
    </row>
    <row r="39" spans="1:11" x14ac:dyDescent="0.35">
      <c r="A39" s="2" t="s">
        <v>49</v>
      </c>
      <c r="B39" s="2">
        <v>840</v>
      </c>
      <c r="C39" s="2">
        <v>793</v>
      </c>
      <c r="D39" s="2">
        <v>0.51439069197795473</v>
      </c>
      <c r="E39" s="2">
        <v>0.12748966132940071</v>
      </c>
      <c r="F39" s="2">
        <v>0.88255139218429346</v>
      </c>
      <c r="G39" s="2">
        <v>0.25497932265880152</v>
      </c>
      <c r="H39" s="2">
        <v>0.1224011425093143</v>
      </c>
      <c r="I39" s="2">
        <v>0.87759885749068567</v>
      </c>
      <c r="J39" s="2">
        <v>0.24480228501862869</v>
      </c>
      <c r="K39" s="2" t="s">
        <v>12</v>
      </c>
    </row>
    <row r="40" spans="1:11" x14ac:dyDescent="0.35">
      <c r="A40" s="2" t="s">
        <v>50</v>
      </c>
      <c r="B40" s="2">
        <v>461</v>
      </c>
      <c r="C40" s="2">
        <v>1172</v>
      </c>
      <c r="D40" s="2">
        <v>0.28230251071647278</v>
      </c>
      <c r="E40" s="2">
        <v>1</v>
      </c>
      <c r="F40" s="2">
        <v>1.077565535617143E-71</v>
      </c>
      <c r="G40" s="2">
        <v>2.1551310712342869E-71</v>
      </c>
      <c r="H40" s="2">
        <v>1</v>
      </c>
      <c r="I40" s="2">
        <v>1.3576129448265259E-69</v>
      </c>
      <c r="J40" s="2">
        <v>0</v>
      </c>
      <c r="K40" s="2" t="s">
        <v>2</v>
      </c>
    </row>
    <row r="41" spans="1:11" x14ac:dyDescent="0.35">
      <c r="A41" s="2" t="s">
        <v>51</v>
      </c>
      <c r="B41" s="2">
        <v>577</v>
      </c>
      <c r="C41" s="2">
        <v>1056</v>
      </c>
      <c r="D41" s="2">
        <v>0.35333741579914268</v>
      </c>
      <c r="E41" s="2">
        <v>1</v>
      </c>
      <c r="F41" s="2">
        <v>4.9318205638109478E-33</v>
      </c>
      <c r="G41" s="2">
        <v>9.8636411276218956E-33</v>
      </c>
      <c r="H41" s="2">
        <v>1</v>
      </c>
      <c r="I41" s="2">
        <v>1.033341955925331E-32</v>
      </c>
      <c r="J41" s="2">
        <v>0</v>
      </c>
      <c r="K41" s="2" t="s">
        <v>2</v>
      </c>
    </row>
    <row r="42" spans="1:11" x14ac:dyDescent="0.35">
      <c r="A42" s="2" t="s">
        <v>52</v>
      </c>
      <c r="B42" s="2">
        <v>917</v>
      </c>
      <c r="C42" s="2">
        <v>716</v>
      </c>
      <c r="D42" s="2">
        <v>0.56154317207593385</v>
      </c>
      <c r="E42" s="2">
        <v>3.6130202652385502E-7</v>
      </c>
      <c r="F42" s="2">
        <v>0.99999972049661712</v>
      </c>
      <c r="G42" s="2">
        <v>7.2260405304770993E-7</v>
      </c>
      <c r="H42" s="2">
        <v>3.279811326972748E-7</v>
      </c>
      <c r="I42" s="2">
        <v>0.9999996720188673</v>
      </c>
      <c r="J42" s="2">
        <v>6.559622653945496E-7</v>
      </c>
      <c r="K42" s="2" t="s">
        <v>1</v>
      </c>
    </row>
    <row r="43" spans="1:11" x14ac:dyDescent="0.35">
      <c r="A43" s="2" t="s">
        <v>53</v>
      </c>
      <c r="B43" s="2">
        <v>633</v>
      </c>
      <c r="C43" s="2">
        <v>1000</v>
      </c>
      <c r="D43" s="2">
        <v>0.38763012859767298</v>
      </c>
      <c r="E43" s="2">
        <v>1</v>
      </c>
      <c r="F43" s="2">
        <v>4.719678862717258E-20</v>
      </c>
      <c r="G43" s="2">
        <v>9.4393577254345161E-20</v>
      </c>
      <c r="H43" s="2">
        <v>1</v>
      </c>
      <c r="I43" s="2">
        <v>5.338628171789938E-20</v>
      </c>
      <c r="J43" s="2">
        <v>0</v>
      </c>
      <c r="K43" s="2" t="s">
        <v>2</v>
      </c>
    </row>
    <row r="44" spans="1:11" x14ac:dyDescent="0.35">
      <c r="A44" s="2" t="s">
        <v>54</v>
      </c>
      <c r="B44" s="2">
        <v>581</v>
      </c>
      <c r="C44" s="2">
        <v>1052</v>
      </c>
      <c r="D44" s="2">
        <v>0.35578689528475199</v>
      </c>
      <c r="E44" s="2">
        <v>1</v>
      </c>
      <c r="F44" s="2">
        <v>5.4772304363935804E-32</v>
      </c>
      <c r="G44" s="2">
        <v>1.0954460872787161E-31</v>
      </c>
      <c r="H44" s="2">
        <v>1</v>
      </c>
      <c r="I44" s="2">
        <v>1.076619072078553E-31</v>
      </c>
      <c r="J44" s="2">
        <v>0</v>
      </c>
      <c r="K44" s="2" t="s">
        <v>2</v>
      </c>
    </row>
    <row r="45" spans="1:11" x14ac:dyDescent="0.35">
      <c r="A45" s="2" t="s">
        <v>55</v>
      </c>
      <c r="B45" s="2">
        <v>557</v>
      </c>
      <c r="C45" s="2">
        <v>1076</v>
      </c>
      <c r="D45" s="2">
        <v>0.34109001837109609</v>
      </c>
      <c r="E45" s="2">
        <v>1</v>
      </c>
      <c r="F45" s="2">
        <v>1.5363105056700481E-38</v>
      </c>
      <c r="G45" s="2">
        <v>3.0726210113400962E-38</v>
      </c>
      <c r="H45" s="2">
        <v>1</v>
      </c>
      <c r="I45" s="2">
        <v>4.6937153385856459E-38</v>
      </c>
      <c r="J45" s="2">
        <v>0</v>
      </c>
      <c r="K45" s="2" t="s">
        <v>2</v>
      </c>
    </row>
    <row r="46" spans="1:11" x14ac:dyDescent="0.35">
      <c r="A46" s="2" t="s">
        <v>56</v>
      </c>
      <c r="B46" s="2">
        <v>691</v>
      </c>
      <c r="C46" s="2">
        <v>942</v>
      </c>
      <c r="D46" s="2">
        <v>0.42314758113900802</v>
      </c>
      <c r="E46" s="2">
        <v>0.99999999979237009</v>
      </c>
      <c r="F46" s="2">
        <v>2.8520920080195801E-10</v>
      </c>
      <c r="G46" s="2">
        <v>5.7041840160391591E-10</v>
      </c>
      <c r="H46" s="2">
        <v>0.99999999973721487</v>
      </c>
      <c r="I46" s="2">
        <v>2.627850973028444E-10</v>
      </c>
      <c r="J46" s="2">
        <v>5.2557025398414225E-10</v>
      </c>
      <c r="K46" s="2" t="s">
        <v>2</v>
      </c>
    </row>
    <row r="47" spans="1:11" x14ac:dyDescent="0.35">
      <c r="A47" s="2" t="s">
        <v>57</v>
      </c>
      <c r="B47" s="2">
        <v>789</v>
      </c>
      <c r="C47" s="2">
        <v>844</v>
      </c>
      <c r="D47" s="2">
        <v>0.48315982853643602</v>
      </c>
      <c r="E47" s="2">
        <v>0.91710320520539457</v>
      </c>
      <c r="F47" s="2">
        <v>9.071853013336878E-2</v>
      </c>
      <c r="G47" s="2">
        <v>0.18143706026673759</v>
      </c>
      <c r="H47" s="2">
        <v>0.91324883580213156</v>
      </c>
      <c r="I47" s="2">
        <v>8.6751164197868491E-2</v>
      </c>
      <c r="J47" s="2">
        <v>0.1735023283957369</v>
      </c>
      <c r="K47" s="2" t="s">
        <v>12</v>
      </c>
    </row>
    <row r="48" spans="1:11" x14ac:dyDescent="0.35">
      <c r="A48" s="2" t="s">
        <v>58</v>
      </c>
      <c r="B48" s="2">
        <v>1018</v>
      </c>
      <c r="C48" s="2">
        <v>615</v>
      </c>
      <c r="D48" s="2">
        <v>0.62339252908756893</v>
      </c>
      <c r="E48" s="2">
        <v>7.7139783622012847E-24</v>
      </c>
      <c r="F48" s="2">
        <v>1</v>
      </c>
      <c r="G48" s="2">
        <v>1.5427956724402569E-23</v>
      </c>
      <c r="H48" s="2">
        <v>0</v>
      </c>
      <c r="I48" s="2">
        <v>1</v>
      </c>
      <c r="J48" s="2">
        <v>0</v>
      </c>
      <c r="K48" s="2" t="s">
        <v>1</v>
      </c>
    </row>
    <row r="49" spans="1:11" x14ac:dyDescent="0.35">
      <c r="A49" s="2" t="s">
        <v>59</v>
      </c>
      <c r="B49" s="2">
        <v>1100</v>
      </c>
      <c r="C49" s="2">
        <v>533</v>
      </c>
      <c r="D49" s="2">
        <v>0.67360685854255975</v>
      </c>
      <c r="E49" s="2">
        <v>9.0480276144684775E-46</v>
      </c>
      <c r="F49" s="2">
        <v>1</v>
      </c>
      <c r="G49" s="2">
        <v>1.8096055228936961E-45</v>
      </c>
      <c r="H49" s="2">
        <v>0</v>
      </c>
      <c r="I49" s="2">
        <v>1</v>
      </c>
      <c r="J49" s="2">
        <v>0</v>
      </c>
      <c r="K49" s="2" t="s">
        <v>1</v>
      </c>
    </row>
    <row r="50" spans="1:11" x14ac:dyDescent="0.35">
      <c r="A50" s="2" t="s">
        <v>60</v>
      </c>
      <c r="B50" s="2">
        <v>826</v>
      </c>
      <c r="C50" s="2">
        <v>807</v>
      </c>
      <c r="D50" s="2">
        <v>0.50581751377832207</v>
      </c>
      <c r="E50" s="2">
        <v>0.34608177385215699</v>
      </c>
      <c r="F50" s="2">
        <v>0.67198887317150136</v>
      </c>
      <c r="G50" s="2">
        <v>0.6921635477043141</v>
      </c>
      <c r="H50" s="2">
        <v>0.31911461974557059</v>
      </c>
      <c r="I50" s="2">
        <v>0.68088538025442935</v>
      </c>
      <c r="J50" s="2">
        <v>0.6382292394911413</v>
      </c>
      <c r="K50" s="2" t="s">
        <v>12</v>
      </c>
    </row>
    <row r="51" spans="1:11" x14ac:dyDescent="0.35">
      <c r="A51" s="2" t="s">
        <v>61</v>
      </c>
      <c r="B51" s="2">
        <v>476</v>
      </c>
      <c r="C51" s="2">
        <v>1157</v>
      </c>
      <c r="D51" s="2">
        <v>0.29148805878750772</v>
      </c>
      <c r="E51" s="2">
        <v>1</v>
      </c>
      <c r="F51" s="2">
        <v>9.3972742957142358E-66</v>
      </c>
      <c r="G51" s="2">
        <v>1.8794548591428469E-65</v>
      </c>
      <c r="H51" s="2">
        <v>1</v>
      </c>
      <c r="I51" s="2">
        <v>5.0627481815493907E-64</v>
      </c>
      <c r="J51" s="2">
        <v>0</v>
      </c>
      <c r="K51" s="2" t="s">
        <v>2</v>
      </c>
    </row>
    <row r="52" spans="1:11" x14ac:dyDescent="0.35">
      <c r="A52" s="2" t="s">
        <v>62</v>
      </c>
      <c r="B52" s="2">
        <v>1270</v>
      </c>
      <c r="C52" s="2">
        <v>363</v>
      </c>
      <c r="D52" s="2">
        <v>0.77770973668095533</v>
      </c>
      <c r="E52" s="2">
        <v>4.6653417237740486E-118</v>
      </c>
      <c r="F52" s="2">
        <v>1</v>
      </c>
      <c r="G52" s="2">
        <v>9.330683447548099E-118</v>
      </c>
      <c r="H52" s="2">
        <v>0</v>
      </c>
      <c r="I52" s="2">
        <v>1</v>
      </c>
      <c r="J52" s="2">
        <v>0</v>
      </c>
      <c r="K52" s="2" t="s">
        <v>1</v>
      </c>
    </row>
    <row r="53" spans="1:11" x14ac:dyDescent="0.35">
      <c r="A53" s="2" t="s">
        <v>63</v>
      </c>
      <c r="B53" s="2">
        <v>1028</v>
      </c>
      <c r="C53" s="2">
        <v>605</v>
      </c>
      <c r="D53" s="2">
        <v>0.62951622780159211</v>
      </c>
      <c r="E53" s="2">
        <v>4.2342124969112131E-26</v>
      </c>
      <c r="F53" s="2">
        <v>1</v>
      </c>
      <c r="G53" s="2">
        <v>8.4684249938224251E-26</v>
      </c>
      <c r="H53" s="2">
        <v>0</v>
      </c>
      <c r="I53" s="2">
        <v>1</v>
      </c>
      <c r="J53" s="2">
        <v>0</v>
      </c>
      <c r="K53" s="2" t="s">
        <v>1</v>
      </c>
    </row>
    <row r="54" spans="1:11" x14ac:dyDescent="0.35">
      <c r="A54" s="2" t="s">
        <v>64</v>
      </c>
      <c r="B54" s="2">
        <v>666</v>
      </c>
      <c r="C54" s="2">
        <v>967</v>
      </c>
      <c r="D54" s="2">
        <v>0.40783833435394978</v>
      </c>
      <c r="E54" s="2">
        <v>0.99999999999996669</v>
      </c>
      <c r="F54" s="2">
        <v>4.8624237484994682E-14</v>
      </c>
      <c r="G54" s="2">
        <v>9.7248474969989351E-14</v>
      </c>
      <c r="H54" s="2">
        <v>0.99999999999995282</v>
      </c>
      <c r="I54" s="2">
        <v>4.7175616965351608E-14</v>
      </c>
      <c r="J54" s="2">
        <v>9.4368957093138306E-14</v>
      </c>
      <c r="K54" s="2" t="s">
        <v>2</v>
      </c>
    </row>
    <row r="55" spans="1:11" x14ac:dyDescent="0.35">
      <c r="A55" s="2" t="s">
        <v>65</v>
      </c>
      <c r="B55" s="2">
        <v>857</v>
      </c>
      <c r="C55" s="2">
        <v>776</v>
      </c>
      <c r="D55" s="2">
        <v>0.5248009797917943</v>
      </c>
      <c r="E55" s="2">
        <v>2.385267667127133E-2</v>
      </c>
      <c r="F55" s="2">
        <v>0.9787965056724921</v>
      </c>
      <c r="G55" s="2">
        <v>4.7705353342542653E-2</v>
      </c>
      <c r="H55" s="2">
        <v>2.2511754206333671E-2</v>
      </c>
      <c r="I55" s="2">
        <v>0.97748824579366633</v>
      </c>
      <c r="J55" s="2">
        <v>4.5023508412667328E-2</v>
      </c>
      <c r="K55" s="2" t="s">
        <v>1</v>
      </c>
    </row>
    <row r="56" spans="1:11" x14ac:dyDescent="0.35">
      <c r="A56" s="2" t="s">
        <v>66</v>
      </c>
      <c r="B56" s="2">
        <v>847</v>
      </c>
      <c r="C56" s="2">
        <v>786</v>
      </c>
      <c r="D56" s="2">
        <v>0.518677281077771</v>
      </c>
      <c r="E56" s="2">
        <v>6.8790755145647128E-2</v>
      </c>
      <c r="F56" s="2">
        <v>0.9375300235870816</v>
      </c>
      <c r="G56" s="2">
        <v>0.13758151029129431</v>
      </c>
      <c r="H56" s="2">
        <v>6.5583918823462817E-2</v>
      </c>
      <c r="I56" s="2">
        <v>0.93441608117653718</v>
      </c>
      <c r="J56" s="2">
        <v>0.13116783764692561</v>
      </c>
      <c r="K56" s="2" t="s">
        <v>12</v>
      </c>
    </row>
    <row r="57" spans="1:11" x14ac:dyDescent="0.35">
      <c r="A57" s="2" t="s">
        <v>67</v>
      </c>
      <c r="B57" s="2">
        <v>1097</v>
      </c>
      <c r="C57" s="2">
        <v>536</v>
      </c>
      <c r="D57" s="2">
        <v>0.67176974892835273</v>
      </c>
      <c r="E57" s="2">
        <v>7.90464948905811E-45</v>
      </c>
      <c r="F57" s="2">
        <v>1</v>
      </c>
      <c r="G57" s="2">
        <v>1.580929897811622E-44</v>
      </c>
      <c r="H57" s="2">
        <v>0</v>
      </c>
      <c r="I57" s="2">
        <v>1</v>
      </c>
      <c r="J57" s="2">
        <v>0</v>
      </c>
      <c r="K57" s="2" t="s">
        <v>1</v>
      </c>
    </row>
    <row r="58" spans="1:11" x14ac:dyDescent="0.35">
      <c r="A58" s="2" t="s">
        <v>68</v>
      </c>
      <c r="B58" s="2">
        <v>872</v>
      </c>
      <c r="C58" s="2">
        <v>761</v>
      </c>
      <c r="D58" s="2">
        <v>0.53398652786282919</v>
      </c>
      <c r="E58" s="2">
        <v>3.2349585525299558E-3</v>
      </c>
      <c r="F58" s="2">
        <v>0.99721871533267858</v>
      </c>
      <c r="G58" s="2">
        <v>6.4699171050599117E-3</v>
      </c>
      <c r="H58" s="2">
        <v>3.0088257719597111E-3</v>
      </c>
      <c r="I58" s="2">
        <v>0.99699117422804029</v>
      </c>
      <c r="J58" s="2">
        <v>6.0176515439194223E-3</v>
      </c>
      <c r="K58" s="2" t="s">
        <v>1</v>
      </c>
    </row>
    <row r="59" spans="1:11" x14ac:dyDescent="0.35">
      <c r="A59" s="2" t="s">
        <v>69</v>
      </c>
      <c r="B59" s="2">
        <v>842</v>
      </c>
      <c r="C59" s="2">
        <v>791</v>
      </c>
      <c r="D59" s="2">
        <v>0.5156154317207593</v>
      </c>
      <c r="E59" s="2">
        <v>0.1174486078157065</v>
      </c>
      <c r="F59" s="2">
        <v>0.89201935346415062</v>
      </c>
      <c r="G59" s="2">
        <v>0.23489721563141311</v>
      </c>
      <c r="H59" s="2">
        <v>0.1034651244321636</v>
      </c>
      <c r="I59" s="2">
        <v>0.8965348755678364</v>
      </c>
      <c r="J59" s="2">
        <v>0.2069302488643272</v>
      </c>
      <c r="K59" s="2" t="s">
        <v>12</v>
      </c>
    </row>
    <row r="60" spans="1:11" x14ac:dyDescent="0.35">
      <c r="A60" s="2" t="s">
        <v>70</v>
      </c>
      <c r="B60" s="2">
        <v>391</v>
      </c>
      <c r="C60" s="2">
        <v>1242</v>
      </c>
      <c r="D60" s="2">
        <v>0.23943661971830979</v>
      </c>
      <c r="E60" s="2">
        <v>1</v>
      </c>
      <c r="F60" s="2">
        <v>2.0521211298825431E-103</v>
      </c>
      <c r="G60" s="2">
        <v>4.1042422597650862E-103</v>
      </c>
      <c r="H60" s="2">
        <v>1</v>
      </c>
      <c r="I60" s="2">
        <v>9.4686055278211524E-99</v>
      </c>
      <c r="J60" s="2">
        <v>0</v>
      </c>
      <c r="K60" s="2" t="s">
        <v>2</v>
      </c>
    </row>
    <row r="61" spans="1:11" x14ac:dyDescent="0.35">
      <c r="A61" s="2" t="s">
        <v>71</v>
      </c>
      <c r="B61" s="2">
        <v>607</v>
      </c>
      <c r="C61" s="2">
        <v>1026</v>
      </c>
      <c r="D61" s="2">
        <v>0.37170851194121252</v>
      </c>
      <c r="E61" s="2">
        <v>1</v>
      </c>
      <c r="F61" s="2">
        <v>1.22431171462495E-25</v>
      </c>
      <c r="G61" s="2">
        <v>2.4486234292498991E-25</v>
      </c>
      <c r="H61" s="2">
        <v>1</v>
      </c>
      <c r="I61" s="2">
        <v>1.7223278806016381E-25</v>
      </c>
      <c r="J61" s="2">
        <v>0</v>
      </c>
      <c r="K61" s="2" t="s">
        <v>2</v>
      </c>
    </row>
    <row r="62" spans="1:11" x14ac:dyDescent="0.35">
      <c r="A62" s="2" t="s">
        <v>72</v>
      </c>
      <c r="B62" s="2">
        <v>1628</v>
      </c>
      <c r="C62" s="2">
        <v>5</v>
      </c>
      <c r="D62" s="2">
        <v>0.99693815064298841</v>
      </c>
      <c r="E62" s="2">
        <v>0</v>
      </c>
      <c r="F62" s="2">
        <v>1</v>
      </c>
      <c r="G62" s="2">
        <v>0</v>
      </c>
      <c r="H62" s="2">
        <v>0</v>
      </c>
      <c r="I62" s="2">
        <v>1</v>
      </c>
      <c r="J62" s="2">
        <v>0</v>
      </c>
      <c r="K62" s="2" t="s">
        <v>1</v>
      </c>
    </row>
    <row r="63" spans="1:11" x14ac:dyDescent="0.35">
      <c r="A63" s="2" t="s">
        <v>73</v>
      </c>
      <c r="B63" s="2">
        <v>1618</v>
      </c>
      <c r="C63" s="2">
        <v>15</v>
      </c>
      <c r="D63" s="2">
        <v>0.99081445192896511</v>
      </c>
      <c r="E63" s="2">
        <v>0</v>
      </c>
      <c r="F63" s="2">
        <v>1</v>
      </c>
      <c r="G63" s="2">
        <v>0</v>
      </c>
      <c r="H63" s="2">
        <v>0</v>
      </c>
      <c r="I63" s="2">
        <v>1</v>
      </c>
      <c r="J63" s="2">
        <v>0</v>
      </c>
      <c r="K63" s="2" t="s">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337</v>
      </c>
      <c r="C2" s="2">
        <v>367</v>
      </c>
      <c r="D2" s="2">
        <v>0.47869318181818182</v>
      </c>
      <c r="E2" s="2">
        <v>0.87867863039430649</v>
      </c>
      <c r="F2" s="2">
        <v>0.1371961135641718</v>
      </c>
      <c r="G2" s="2">
        <v>0.27439222712834371</v>
      </c>
      <c r="H2" s="2">
        <v>0.8709024762080273</v>
      </c>
      <c r="I2" s="2">
        <v>0.12909752379197259</v>
      </c>
      <c r="J2" s="2">
        <v>0.2581950475839454</v>
      </c>
      <c r="K2" s="2" t="s">
        <v>12</v>
      </c>
    </row>
    <row r="3" spans="1:11" x14ac:dyDescent="0.35">
      <c r="A3" s="2" t="s">
        <v>13</v>
      </c>
      <c r="B3" s="2">
        <v>333</v>
      </c>
      <c r="C3" s="2">
        <v>371</v>
      </c>
      <c r="D3" s="2">
        <v>0.47301136363636359</v>
      </c>
      <c r="E3" s="2">
        <v>0.92922855552128913</v>
      </c>
      <c r="F3" s="2">
        <v>8.1561343068735734E-2</v>
      </c>
      <c r="G3" s="2">
        <v>0.1631226861374715</v>
      </c>
      <c r="H3" s="2">
        <v>0.92395368375921005</v>
      </c>
      <c r="I3" s="2">
        <v>7.6046316240789988E-2</v>
      </c>
      <c r="J3" s="2">
        <v>0.15209263248157989</v>
      </c>
      <c r="K3" s="2" t="s">
        <v>12</v>
      </c>
    </row>
    <row r="4" spans="1:11" x14ac:dyDescent="0.35">
      <c r="A4" s="2" t="s">
        <v>14</v>
      </c>
      <c r="B4" s="2">
        <v>309</v>
      </c>
      <c r="C4" s="2">
        <v>395</v>
      </c>
      <c r="D4" s="2">
        <v>0.43892045454545447</v>
      </c>
      <c r="E4" s="2">
        <v>0.99948598562048263</v>
      </c>
      <c r="F4" s="2">
        <v>6.7042759450837246E-4</v>
      </c>
      <c r="G4" s="2">
        <v>1.3408551890167449E-3</v>
      </c>
      <c r="H4" s="2">
        <v>0.9994049598082726</v>
      </c>
      <c r="I4" s="2">
        <v>5.9504019172738302E-4</v>
      </c>
      <c r="J4" s="2">
        <v>1.1900803834548059E-3</v>
      </c>
      <c r="K4" s="2" t="s">
        <v>2</v>
      </c>
    </row>
    <row r="5" spans="1:11" x14ac:dyDescent="0.35">
      <c r="A5" s="2" t="s">
        <v>15</v>
      </c>
      <c r="B5" s="2">
        <v>409</v>
      </c>
      <c r="C5" s="2">
        <v>295</v>
      </c>
      <c r="D5" s="2">
        <v>0.58096590909090906</v>
      </c>
      <c r="E5" s="2">
        <v>9.8807434232840573E-6</v>
      </c>
      <c r="F5" s="2">
        <v>0.99999298654494129</v>
      </c>
      <c r="G5" s="2">
        <v>1.9761486846568111E-5</v>
      </c>
      <c r="H5" s="2">
        <v>8.6743644028830502E-6</v>
      </c>
      <c r="I5" s="2">
        <v>0.99999132563559712</v>
      </c>
      <c r="J5" s="2">
        <v>1.73487288057661E-5</v>
      </c>
      <c r="K5" s="2" t="s">
        <v>1</v>
      </c>
    </row>
    <row r="6" spans="1:11" x14ac:dyDescent="0.35">
      <c r="A6" s="2" t="s">
        <v>16</v>
      </c>
      <c r="B6" s="2">
        <v>421</v>
      </c>
      <c r="C6" s="2">
        <v>283</v>
      </c>
      <c r="D6" s="2">
        <v>0.59801136363636365</v>
      </c>
      <c r="E6" s="2">
        <v>1.113695060809213E-7</v>
      </c>
      <c r="F6" s="2">
        <v>0.99999992614603173</v>
      </c>
      <c r="G6" s="2">
        <v>2.2273901216184249E-7</v>
      </c>
      <c r="H6" s="2">
        <v>9.9071855386156926E-8</v>
      </c>
      <c r="I6" s="2">
        <v>0.99999990092814461</v>
      </c>
      <c r="J6" s="2">
        <v>1.9814371077231391E-7</v>
      </c>
      <c r="K6" s="2" t="s">
        <v>1</v>
      </c>
    </row>
    <row r="7" spans="1:11" x14ac:dyDescent="0.35">
      <c r="A7" s="2" t="s">
        <v>17</v>
      </c>
      <c r="B7" s="2">
        <v>455</v>
      </c>
      <c r="C7" s="2">
        <v>249</v>
      </c>
      <c r="D7" s="2">
        <v>0.64630681818181823</v>
      </c>
      <c r="E7" s="2">
        <v>3.5800149477577373E-15</v>
      </c>
      <c r="F7" s="2">
        <v>0.99999999999999811</v>
      </c>
      <c r="G7" s="2">
        <v>7.160029895515473E-15</v>
      </c>
      <c r="H7" s="2">
        <v>4.1078251911130792E-15</v>
      </c>
      <c r="I7" s="2">
        <v>0.99999999999999589</v>
      </c>
      <c r="J7" s="2">
        <v>8.2156503822261584E-15</v>
      </c>
      <c r="K7" s="2" t="s">
        <v>1</v>
      </c>
    </row>
    <row r="8" spans="1:11" x14ac:dyDescent="0.35">
      <c r="A8" s="2" t="s">
        <v>18</v>
      </c>
      <c r="B8" s="2">
        <v>336</v>
      </c>
      <c r="C8" s="2">
        <v>368</v>
      </c>
      <c r="D8" s="2">
        <v>0.47727272727272729</v>
      </c>
      <c r="E8" s="2">
        <v>0.8932160997258477</v>
      </c>
      <c r="F8" s="2">
        <v>0.12132136960569349</v>
      </c>
      <c r="G8" s="2">
        <v>0.24264273921138699</v>
      </c>
      <c r="H8" s="2">
        <v>0.88610000300588521</v>
      </c>
      <c r="I8" s="2">
        <v>0.1138999969941147</v>
      </c>
      <c r="J8" s="2">
        <v>0.22779999398822959</v>
      </c>
      <c r="K8" s="2" t="s">
        <v>12</v>
      </c>
    </row>
    <row r="9" spans="1:11" x14ac:dyDescent="0.35">
      <c r="A9" s="2" t="s">
        <v>19</v>
      </c>
      <c r="B9" s="2">
        <v>433</v>
      </c>
      <c r="C9" s="2">
        <v>271</v>
      </c>
      <c r="D9" s="2">
        <v>0.61505681818181823</v>
      </c>
      <c r="E9" s="2">
        <v>5.5012734621003682E-10</v>
      </c>
      <c r="F9" s="2">
        <v>0.99999999965971842</v>
      </c>
      <c r="G9" s="2">
        <v>1.1002546924200741E-9</v>
      </c>
      <c r="H9" s="2">
        <v>5.1206083817589843E-10</v>
      </c>
      <c r="I9" s="2">
        <v>0.99999999948793916</v>
      </c>
      <c r="J9" s="2">
        <v>1.0241216763517971E-9</v>
      </c>
      <c r="K9" s="2" t="s">
        <v>1</v>
      </c>
    </row>
    <row r="10" spans="1:11" x14ac:dyDescent="0.35">
      <c r="A10" s="2" t="s">
        <v>20</v>
      </c>
      <c r="B10" s="2">
        <v>384</v>
      </c>
      <c r="C10" s="2">
        <v>320</v>
      </c>
      <c r="D10" s="2">
        <v>0.54545454545454541</v>
      </c>
      <c r="E10" s="2">
        <v>8.7576396766929094E-3</v>
      </c>
      <c r="F10" s="2">
        <v>0.99288163498380022</v>
      </c>
      <c r="G10" s="2">
        <v>1.7515279353385819E-2</v>
      </c>
      <c r="H10" s="2">
        <v>7.9306663698865965E-3</v>
      </c>
      <c r="I10" s="2">
        <v>0.9920693336301134</v>
      </c>
      <c r="J10" s="2">
        <v>1.5861332739773189E-2</v>
      </c>
      <c r="K10" s="2" t="s">
        <v>1</v>
      </c>
    </row>
    <row r="11" spans="1:11" x14ac:dyDescent="0.35">
      <c r="A11" s="2" t="s">
        <v>21</v>
      </c>
      <c r="B11" s="2">
        <v>381</v>
      </c>
      <c r="C11" s="2">
        <v>323</v>
      </c>
      <c r="D11" s="2">
        <v>0.54119318181818177</v>
      </c>
      <c r="E11" s="2">
        <v>1.9053548193704001E-2</v>
      </c>
      <c r="F11" s="2">
        <v>0.98419030824746367</v>
      </c>
      <c r="G11" s="2">
        <v>3.8107096387408002E-2</v>
      </c>
      <c r="H11" s="2">
        <v>1.440936662513792E-2</v>
      </c>
      <c r="I11" s="2">
        <v>0.98559063337486208</v>
      </c>
      <c r="J11" s="2">
        <v>2.8818733250275841E-2</v>
      </c>
      <c r="K11" s="2" t="s">
        <v>1</v>
      </c>
    </row>
    <row r="12" spans="1:11" x14ac:dyDescent="0.35">
      <c r="A12" s="2" t="s">
        <v>22</v>
      </c>
      <c r="B12" s="2">
        <v>463</v>
      </c>
      <c r="C12" s="2">
        <v>241</v>
      </c>
      <c r="D12" s="2">
        <v>0.65767045454545459</v>
      </c>
      <c r="E12" s="2">
        <v>2.2479212144743419E-17</v>
      </c>
      <c r="F12" s="2">
        <v>1</v>
      </c>
      <c r="G12" s="2">
        <v>4.4958424289486838E-17</v>
      </c>
      <c r="H12" s="2">
        <v>0</v>
      </c>
      <c r="I12" s="2">
        <v>1</v>
      </c>
      <c r="J12" s="2">
        <v>0</v>
      </c>
      <c r="K12" s="2" t="s">
        <v>1</v>
      </c>
    </row>
    <row r="13" spans="1:11" x14ac:dyDescent="0.35">
      <c r="A13" s="2" t="s">
        <v>23</v>
      </c>
      <c r="B13" s="2">
        <v>394</v>
      </c>
      <c r="C13" s="2">
        <v>310</v>
      </c>
      <c r="D13" s="2">
        <v>0.55965909090909094</v>
      </c>
      <c r="E13" s="2">
        <v>8.6972830393244492E-4</v>
      </c>
      <c r="F13" s="2">
        <v>0.99932957240549158</v>
      </c>
      <c r="G13" s="2">
        <v>1.7394566078648901E-3</v>
      </c>
      <c r="H13" s="2">
        <v>7.7310173854039377E-4</v>
      </c>
      <c r="I13" s="2">
        <v>0.99922689826145961</v>
      </c>
      <c r="J13" s="2">
        <v>1.546203477080788E-3</v>
      </c>
      <c r="K13" s="2" t="s">
        <v>1</v>
      </c>
    </row>
    <row r="14" spans="1:11" x14ac:dyDescent="0.35">
      <c r="A14" s="2" t="s">
        <v>24</v>
      </c>
      <c r="B14" s="2">
        <v>269</v>
      </c>
      <c r="C14" s="2">
        <v>435</v>
      </c>
      <c r="D14" s="2">
        <v>0.38210227272727271</v>
      </c>
      <c r="E14" s="2">
        <v>0.99999999987208177</v>
      </c>
      <c r="F14" s="2">
        <v>2.0924884743097259E-10</v>
      </c>
      <c r="G14" s="2">
        <v>4.1849769486194508E-10</v>
      </c>
      <c r="H14" s="2">
        <v>0.99999999980296728</v>
      </c>
      <c r="I14" s="2">
        <v>1.9703275787215481E-10</v>
      </c>
      <c r="J14" s="2">
        <v>3.9406544694031709E-10</v>
      </c>
      <c r="K14" s="2" t="s">
        <v>2</v>
      </c>
    </row>
    <row r="15" spans="1:11" x14ac:dyDescent="0.35">
      <c r="A15" s="2" t="s">
        <v>25</v>
      </c>
      <c r="B15" s="2">
        <v>479</v>
      </c>
      <c r="C15" s="2">
        <v>225</v>
      </c>
      <c r="D15" s="2">
        <v>0.68039772727272729</v>
      </c>
      <c r="E15" s="2">
        <v>2.66113438101818E-22</v>
      </c>
      <c r="F15" s="2">
        <v>1</v>
      </c>
      <c r="G15" s="2">
        <v>5.3222687620363591E-22</v>
      </c>
      <c r="H15" s="2">
        <v>0</v>
      </c>
      <c r="I15" s="2">
        <v>1</v>
      </c>
      <c r="J15" s="2">
        <v>0</v>
      </c>
      <c r="K15" s="2" t="s">
        <v>1</v>
      </c>
    </row>
    <row r="16" spans="1:11" x14ac:dyDescent="0.35">
      <c r="A16" s="2" t="s">
        <v>26</v>
      </c>
      <c r="B16" s="2">
        <v>308</v>
      </c>
      <c r="C16" s="2">
        <v>396</v>
      </c>
      <c r="D16" s="2">
        <v>0.4375</v>
      </c>
      <c r="E16" s="2">
        <v>0.99960803532611964</v>
      </c>
      <c r="F16" s="2">
        <v>5.140143795173258E-4</v>
      </c>
      <c r="G16" s="2">
        <v>1.028028759034652E-3</v>
      </c>
      <c r="H16" s="2">
        <v>0.99954444056142311</v>
      </c>
      <c r="I16" s="2">
        <v>4.5555943857685638E-4</v>
      </c>
      <c r="J16" s="2">
        <v>9.1111887715378259E-4</v>
      </c>
      <c r="K16" s="2" t="s">
        <v>2</v>
      </c>
    </row>
    <row r="17" spans="1:11" x14ac:dyDescent="0.35">
      <c r="A17" s="2" t="s">
        <v>27</v>
      </c>
      <c r="B17" s="2">
        <v>324</v>
      </c>
      <c r="C17" s="2">
        <v>380</v>
      </c>
      <c r="D17" s="2">
        <v>0.46022727272727271</v>
      </c>
      <c r="E17" s="2">
        <v>0.98419030824746367</v>
      </c>
      <c r="F17" s="2">
        <v>1.9053548193704001E-2</v>
      </c>
      <c r="G17" s="2">
        <v>3.8107096387408002E-2</v>
      </c>
      <c r="H17" s="2">
        <v>0.9825957605940665</v>
      </c>
      <c r="I17" s="2">
        <v>1.7404239405933521E-2</v>
      </c>
      <c r="J17" s="2">
        <v>3.4808478811866987E-2</v>
      </c>
      <c r="K17" s="2" t="s">
        <v>2</v>
      </c>
    </row>
    <row r="18" spans="1:11" x14ac:dyDescent="0.35">
      <c r="A18" s="2" t="s">
        <v>28</v>
      </c>
      <c r="B18" s="2">
        <v>334</v>
      </c>
      <c r="C18" s="2">
        <v>370</v>
      </c>
      <c r="D18" s="2">
        <v>0.47443181818181818</v>
      </c>
      <c r="E18" s="2">
        <v>0.91843865693126425</v>
      </c>
      <c r="F18" s="2">
        <v>9.3546529825919919E-2</v>
      </c>
      <c r="G18" s="2">
        <v>0.18709305965183981</v>
      </c>
      <c r="H18" s="2">
        <v>0.91257778319479266</v>
      </c>
      <c r="I18" s="2">
        <v>8.7422216805207342E-2</v>
      </c>
      <c r="J18" s="2">
        <v>0.17484443361041471</v>
      </c>
      <c r="K18" s="2" t="s">
        <v>12</v>
      </c>
    </row>
    <row r="19" spans="1:11" x14ac:dyDescent="0.35">
      <c r="A19" s="2" t="s">
        <v>29</v>
      </c>
      <c r="B19" s="2">
        <v>312</v>
      </c>
      <c r="C19" s="2">
        <v>392</v>
      </c>
      <c r="D19" s="2">
        <v>0.44318181818181818</v>
      </c>
      <c r="E19" s="2">
        <v>0.99887778140824413</v>
      </c>
      <c r="F19" s="2">
        <v>1.440259242764247E-3</v>
      </c>
      <c r="G19" s="2">
        <v>2.880518485528494E-3</v>
      </c>
      <c r="H19" s="2">
        <v>0.99871558423648865</v>
      </c>
      <c r="I19" s="2">
        <v>1.284415763511356E-3</v>
      </c>
      <c r="J19" s="2">
        <v>2.5688315270226969E-3</v>
      </c>
      <c r="K19" s="2" t="s">
        <v>2</v>
      </c>
    </row>
    <row r="20" spans="1:11" x14ac:dyDescent="0.35">
      <c r="A20" s="2" t="s">
        <v>30</v>
      </c>
      <c r="B20" s="2">
        <v>294</v>
      </c>
      <c r="C20" s="2">
        <v>410</v>
      </c>
      <c r="D20" s="2">
        <v>0.41761363636363641</v>
      </c>
      <c r="E20" s="2">
        <v>0.99999504959388663</v>
      </c>
      <c r="F20" s="2">
        <v>7.0134550586825282E-6</v>
      </c>
      <c r="G20" s="2">
        <v>1.402691011736506E-5</v>
      </c>
      <c r="H20" s="2">
        <v>0.99999384191193175</v>
      </c>
      <c r="I20" s="2">
        <v>6.1580880682640709E-6</v>
      </c>
      <c r="J20" s="2">
        <v>1.231617613650648E-5</v>
      </c>
      <c r="K20" s="2" t="s">
        <v>2</v>
      </c>
    </row>
    <row r="21" spans="1:11" x14ac:dyDescent="0.35">
      <c r="A21" s="2" t="s">
        <v>31</v>
      </c>
      <c r="B21" s="2">
        <v>245</v>
      </c>
      <c r="C21" s="2">
        <v>459</v>
      </c>
      <c r="D21" s="2">
        <v>0.34801136363636359</v>
      </c>
      <c r="E21" s="2">
        <v>0.99999999999999989</v>
      </c>
      <c r="F21" s="2">
        <v>2.9804535640973499E-16</v>
      </c>
      <c r="G21" s="2">
        <v>5.9609071281946999E-16</v>
      </c>
      <c r="H21" s="2">
        <v>0.99999999999999967</v>
      </c>
      <c r="I21" s="2">
        <v>3.648972880327134E-16</v>
      </c>
      <c r="J21" s="2">
        <v>6.6613381477509392E-16</v>
      </c>
      <c r="K21" s="2" t="s">
        <v>2</v>
      </c>
    </row>
    <row r="22" spans="1:11" x14ac:dyDescent="0.35">
      <c r="A22" s="2" t="s">
        <v>32</v>
      </c>
      <c r="B22" s="2">
        <v>237</v>
      </c>
      <c r="C22" s="2">
        <v>467</v>
      </c>
      <c r="D22" s="2">
        <v>0.33664772727272729</v>
      </c>
      <c r="E22" s="2">
        <v>1</v>
      </c>
      <c r="F22" s="2">
        <v>1.5346390564693779E-18</v>
      </c>
      <c r="G22" s="2">
        <v>3.0692781129387559E-18</v>
      </c>
      <c r="H22" s="2">
        <v>1</v>
      </c>
      <c r="I22" s="2">
        <v>2.1901900516412299E-18</v>
      </c>
      <c r="J22" s="2">
        <v>0</v>
      </c>
      <c r="K22" s="2" t="s">
        <v>2</v>
      </c>
    </row>
    <row r="23" spans="1:11" x14ac:dyDescent="0.35">
      <c r="A23" s="2" t="s">
        <v>33</v>
      </c>
      <c r="B23" s="2">
        <v>164</v>
      </c>
      <c r="C23" s="2">
        <v>540</v>
      </c>
      <c r="D23" s="2">
        <v>0.23295454545454539</v>
      </c>
      <c r="E23" s="2">
        <v>1</v>
      </c>
      <c r="F23" s="2">
        <v>5.5727158589487565E-48</v>
      </c>
      <c r="G23" s="2">
        <v>1.1145431717897511E-47</v>
      </c>
      <c r="H23" s="2">
        <v>1</v>
      </c>
      <c r="I23" s="2">
        <v>6.9224223716449627E-46</v>
      </c>
      <c r="J23" s="2">
        <v>0</v>
      </c>
      <c r="K23" s="2" t="s">
        <v>2</v>
      </c>
    </row>
    <row r="24" spans="1:11" x14ac:dyDescent="0.35">
      <c r="A24" s="2" t="s">
        <v>34</v>
      </c>
      <c r="B24" s="2">
        <v>110</v>
      </c>
      <c r="C24" s="2">
        <v>594</v>
      </c>
      <c r="D24" s="2">
        <v>0.15625</v>
      </c>
      <c r="E24" s="2">
        <v>1</v>
      </c>
      <c r="F24" s="2">
        <v>1.945343773751816E-81</v>
      </c>
      <c r="G24" s="2">
        <v>3.890687547503632E-81</v>
      </c>
      <c r="H24" s="2">
        <v>1</v>
      </c>
      <c r="I24" s="2">
        <v>1.2100716971802989E-74</v>
      </c>
      <c r="J24" s="2">
        <v>0</v>
      </c>
      <c r="K24" s="2" t="s">
        <v>2</v>
      </c>
    </row>
    <row r="25" spans="1:11" x14ac:dyDescent="0.35">
      <c r="A25" s="2" t="s">
        <v>35</v>
      </c>
      <c r="B25" s="2">
        <v>261</v>
      </c>
      <c r="C25" s="2">
        <v>443</v>
      </c>
      <c r="D25" s="2">
        <v>0.37073863636363641</v>
      </c>
      <c r="E25" s="2">
        <v>0.99999999999798395</v>
      </c>
      <c r="F25" s="2">
        <v>3.458226107812958E-12</v>
      </c>
      <c r="G25" s="2">
        <v>6.9164522156259161E-12</v>
      </c>
      <c r="H25" s="2">
        <v>0.9999999999965421</v>
      </c>
      <c r="I25" s="2">
        <v>3.4579275081758E-12</v>
      </c>
      <c r="J25" s="2">
        <v>6.9158012649950251E-12</v>
      </c>
      <c r="K25" s="2" t="s">
        <v>2</v>
      </c>
    </row>
    <row r="26" spans="1:11" x14ac:dyDescent="0.35">
      <c r="A26" s="2" t="s">
        <v>36</v>
      </c>
      <c r="B26" s="2">
        <v>510</v>
      </c>
      <c r="C26" s="2">
        <v>194</v>
      </c>
      <c r="D26" s="2">
        <v>0.72443181818181823</v>
      </c>
      <c r="E26" s="2">
        <v>6.3788292383545346E-34</v>
      </c>
      <c r="F26" s="2">
        <v>1</v>
      </c>
      <c r="G26" s="2">
        <v>1.2757658476709069E-33</v>
      </c>
      <c r="H26" s="2">
        <v>0</v>
      </c>
      <c r="I26" s="2">
        <v>1</v>
      </c>
      <c r="J26" s="2">
        <v>0</v>
      </c>
      <c r="K26" s="2" t="s">
        <v>1</v>
      </c>
    </row>
    <row r="27" spans="1:11" x14ac:dyDescent="0.35">
      <c r="A27" s="2" t="s">
        <v>37</v>
      </c>
      <c r="B27" s="2">
        <v>444</v>
      </c>
      <c r="C27" s="2">
        <v>260</v>
      </c>
      <c r="D27" s="2">
        <v>0.63068181818181823</v>
      </c>
      <c r="E27" s="2">
        <v>2.0160533626992649E-12</v>
      </c>
      <c r="F27" s="2">
        <v>0.99999999999883171</v>
      </c>
      <c r="G27" s="2">
        <v>4.0321067253985298E-12</v>
      </c>
      <c r="H27" s="2">
        <v>2.0345947149280619E-12</v>
      </c>
      <c r="I27" s="2">
        <v>0.99999999999796541</v>
      </c>
      <c r="J27" s="2">
        <v>4.0691894298561238E-12</v>
      </c>
      <c r="K27" s="2" t="s">
        <v>1</v>
      </c>
    </row>
    <row r="28" spans="1:11" x14ac:dyDescent="0.35">
      <c r="A28" s="2" t="s">
        <v>38</v>
      </c>
      <c r="B28" s="2">
        <v>479</v>
      </c>
      <c r="C28" s="2">
        <v>225</v>
      </c>
      <c r="D28" s="2">
        <v>0.68039772727272729</v>
      </c>
      <c r="E28" s="2">
        <v>2.66113438101818E-22</v>
      </c>
      <c r="F28" s="2">
        <v>1</v>
      </c>
      <c r="G28" s="2">
        <v>5.3222687620363591E-22</v>
      </c>
      <c r="H28" s="2">
        <v>0</v>
      </c>
      <c r="I28" s="2">
        <v>1</v>
      </c>
      <c r="J28" s="2">
        <v>0</v>
      </c>
      <c r="K28" s="2" t="s">
        <v>1</v>
      </c>
    </row>
    <row r="29" spans="1:11" x14ac:dyDescent="0.35">
      <c r="A29" s="2" t="s">
        <v>39</v>
      </c>
      <c r="B29" s="2">
        <v>341</v>
      </c>
      <c r="C29" s="2">
        <v>363</v>
      </c>
      <c r="D29" s="2">
        <v>0.484375</v>
      </c>
      <c r="E29" s="2">
        <v>0.80697951600757256</v>
      </c>
      <c r="F29" s="2">
        <v>0.21434594520575251</v>
      </c>
      <c r="G29" s="2">
        <v>0.42869189041150513</v>
      </c>
      <c r="H29" s="2">
        <v>0.79649198636431284</v>
      </c>
      <c r="I29" s="2">
        <v>0.20350801363568721</v>
      </c>
      <c r="J29" s="2">
        <v>0.40701602727137431</v>
      </c>
      <c r="K29" s="2" t="s">
        <v>12</v>
      </c>
    </row>
    <row r="30" spans="1:11" x14ac:dyDescent="0.35">
      <c r="A30" s="2" t="s">
        <v>40</v>
      </c>
      <c r="B30" s="2">
        <v>294</v>
      </c>
      <c r="C30" s="2">
        <v>410</v>
      </c>
      <c r="D30" s="2">
        <v>0.41761363636363641</v>
      </c>
      <c r="E30" s="2">
        <v>0.99999504959388663</v>
      </c>
      <c r="F30" s="2">
        <v>7.0134550586825282E-6</v>
      </c>
      <c r="G30" s="2">
        <v>1.402691011736506E-5</v>
      </c>
      <c r="H30" s="2">
        <v>0.99999384191193175</v>
      </c>
      <c r="I30" s="2">
        <v>6.1580880682640709E-6</v>
      </c>
      <c r="J30" s="2">
        <v>1.231617613650648E-5</v>
      </c>
      <c r="K30" s="2" t="s">
        <v>2</v>
      </c>
    </row>
    <row r="31" spans="1:11" x14ac:dyDescent="0.35">
      <c r="A31" s="2" t="s">
        <v>41</v>
      </c>
      <c r="B31" s="2">
        <v>408</v>
      </c>
      <c r="C31" s="2">
        <v>296</v>
      </c>
      <c r="D31" s="2">
        <v>0.57954545454545459</v>
      </c>
      <c r="E31" s="2">
        <v>1.3842638494642849E-5</v>
      </c>
      <c r="F31" s="2">
        <v>0.99999011925657677</v>
      </c>
      <c r="G31" s="2">
        <v>2.7685276989285692E-5</v>
      </c>
      <c r="H31" s="2">
        <v>1.215248034736049E-5</v>
      </c>
      <c r="I31" s="2">
        <v>0.99998784751965264</v>
      </c>
      <c r="J31" s="2">
        <v>2.430496069472099E-5</v>
      </c>
      <c r="K31" s="2" t="s">
        <v>1</v>
      </c>
    </row>
    <row r="32" spans="1:11" x14ac:dyDescent="0.35">
      <c r="A32" s="2" t="s">
        <v>42</v>
      </c>
      <c r="B32" s="2">
        <v>382</v>
      </c>
      <c r="C32" s="2">
        <v>322</v>
      </c>
      <c r="D32" s="2">
        <v>0.54261363636363635</v>
      </c>
      <c r="E32" s="2">
        <v>1.305113666870847E-2</v>
      </c>
      <c r="F32" s="2">
        <v>0.98928135886028723</v>
      </c>
      <c r="G32" s="2">
        <v>2.610227333741693E-2</v>
      </c>
      <c r="H32" s="2">
        <v>1.186925762502733E-2</v>
      </c>
      <c r="I32" s="2">
        <v>0.98813074237497267</v>
      </c>
      <c r="J32" s="2">
        <v>2.3738515250054659E-2</v>
      </c>
      <c r="K32" s="2" t="s">
        <v>1</v>
      </c>
    </row>
    <row r="33" spans="1:11" x14ac:dyDescent="0.35">
      <c r="A33" s="2" t="s">
        <v>43</v>
      </c>
      <c r="B33" s="2">
        <v>380</v>
      </c>
      <c r="C33" s="2">
        <v>324</v>
      </c>
      <c r="D33" s="2">
        <v>0.53977272727272729</v>
      </c>
      <c r="E33" s="2">
        <v>1.9053548193704001E-2</v>
      </c>
      <c r="F33" s="2">
        <v>0.98419030824746367</v>
      </c>
      <c r="G33" s="2">
        <v>3.8107096387408002E-2</v>
      </c>
      <c r="H33" s="2">
        <v>1.7404239405933501E-2</v>
      </c>
      <c r="I33" s="2">
        <v>0.9825957605940665</v>
      </c>
      <c r="J33" s="2">
        <v>3.4808478811866987E-2</v>
      </c>
      <c r="K33" s="2" t="s">
        <v>1</v>
      </c>
    </row>
    <row r="34" spans="1:11" x14ac:dyDescent="0.35">
      <c r="A34" s="2" t="s">
        <v>44</v>
      </c>
      <c r="B34" s="2">
        <v>361</v>
      </c>
      <c r="C34" s="2">
        <v>343</v>
      </c>
      <c r="D34" s="2">
        <v>0.51278409090909094</v>
      </c>
      <c r="E34" s="2">
        <v>0.26086961327395092</v>
      </c>
      <c r="F34" s="2">
        <v>0.76301913543624389</v>
      </c>
      <c r="G34" s="2">
        <v>0.52173922654790184</v>
      </c>
      <c r="H34" s="2">
        <v>0.2487588880649938</v>
      </c>
      <c r="I34" s="2">
        <v>0.7512411119350062</v>
      </c>
      <c r="J34" s="2">
        <v>0.4975177761299876</v>
      </c>
      <c r="K34" s="2" t="s">
        <v>12</v>
      </c>
    </row>
    <row r="35" spans="1:11" x14ac:dyDescent="0.35">
      <c r="A35" s="2" t="s">
        <v>45</v>
      </c>
      <c r="B35" s="2">
        <v>314</v>
      </c>
      <c r="C35" s="2">
        <v>390</v>
      </c>
      <c r="D35" s="2">
        <v>0.44602272727272729</v>
      </c>
      <c r="E35" s="2">
        <v>0.99816142786523809</v>
      </c>
      <c r="F35" s="2">
        <v>2.334560481166707E-3</v>
      </c>
      <c r="G35" s="2">
        <v>4.669120962333414E-3</v>
      </c>
      <c r="H35" s="2">
        <v>0.99791072121591673</v>
      </c>
      <c r="I35" s="2">
        <v>2.0892787840832449E-3</v>
      </c>
      <c r="J35" s="2">
        <v>4.178557568166541E-3</v>
      </c>
      <c r="K35" s="2" t="s">
        <v>2</v>
      </c>
    </row>
    <row r="36" spans="1:11" x14ac:dyDescent="0.35">
      <c r="A36" s="2" t="s">
        <v>46</v>
      </c>
      <c r="B36" s="2">
        <v>374</v>
      </c>
      <c r="C36" s="2">
        <v>330</v>
      </c>
      <c r="D36" s="2">
        <v>0.53125</v>
      </c>
      <c r="E36" s="2">
        <v>5.2515725500884958E-2</v>
      </c>
      <c r="F36" s="2">
        <v>0.955092866564618</v>
      </c>
      <c r="G36" s="2">
        <v>0.1050314510017699</v>
      </c>
      <c r="H36" s="2">
        <v>4.8627214219501669E-2</v>
      </c>
      <c r="I36" s="2">
        <v>0.95137278578049833</v>
      </c>
      <c r="J36" s="2">
        <v>9.7254428439003338E-2</v>
      </c>
      <c r="K36" s="2" t="s">
        <v>12</v>
      </c>
    </row>
    <row r="37" spans="1:11" x14ac:dyDescent="0.35">
      <c r="A37" s="2" t="s">
        <v>47</v>
      </c>
      <c r="B37" s="2">
        <v>362</v>
      </c>
      <c r="C37" s="2">
        <v>342</v>
      </c>
      <c r="D37" s="2">
        <v>0.51420454545454541</v>
      </c>
      <c r="E37" s="2">
        <v>0.23698086456375611</v>
      </c>
      <c r="F37" s="2">
        <v>0.78565405479424744</v>
      </c>
      <c r="G37" s="2">
        <v>0.47396172912751222</v>
      </c>
      <c r="H37" s="2">
        <v>0.225491159634442</v>
      </c>
      <c r="I37" s="2">
        <v>0.774508840365558</v>
      </c>
      <c r="J37" s="2">
        <v>0.45098231926888399</v>
      </c>
      <c r="K37" s="2" t="s">
        <v>12</v>
      </c>
    </row>
    <row r="38" spans="1:11" x14ac:dyDescent="0.35">
      <c r="A38" s="2" t="s">
        <v>48</v>
      </c>
      <c r="B38" s="2">
        <v>479</v>
      </c>
      <c r="C38" s="2">
        <v>225</v>
      </c>
      <c r="D38" s="2">
        <v>0.68039772727272729</v>
      </c>
      <c r="E38" s="2">
        <v>2.66113438101818E-22</v>
      </c>
      <c r="F38" s="2">
        <v>1</v>
      </c>
      <c r="G38" s="2">
        <v>5.3222687620363591E-22</v>
      </c>
      <c r="H38" s="2">
        <v>0</v>
      </c>
      <c r="I38" s="2">
        <v>1</v>
      </c>
      <c r="J38" s="2">
        <v>0</v>
      </c>
      <c r="K38" s="2" t="s">
        <v>1</v>
      </c>
    </row>
    <row r="39" spans="1:11" x14ac:dyDescent="0.35">
      <c r="A39" s="2" t="s">
        <v>49</v>
      </c>
      <c r="B39" s="2">
        <v>445</v>
      </c>
      <c r="C39" s="2">
        <v>259</v>
      </c>
      <c r="D39" s="2">
        <v>0.63210227272727271</v>
      </c>
      <c r="E39" s="2">
        <v>1.168289654423001E-12</v>
      </c>
      <c r="F39" s="2">
        <v>0.99999999999932698</v>
      </c>
      <c r="G39" s="2">
        <v>2.3365793088460009E-12</v>
      </c>
      <c r="H39" s="2">
        <v>1.190381127003093E-12</v>
      </c>
      <c r="I39" s="2">
        <v>0.99999999999880962</v>
      </c>
      <c r="J39" s="2">
        <v>2.3807622540061861E-12</v>
      </c>
      <c r="K39" s="2" t="s">
        <v>1</v>
      </c>
    </row>
    <row r="40" spans="1:11" x14ac:dyDescent="0.35">
      <c r="A40" s="2" t="s">
        <v>50</v>
      </c>
      <c r="B40" s="2">
        <v>319</v>
      </c>
      <c r="C40" s="2">
        <v>385</v>
      </c>
      <c r="D40" s="2">
        <v>0.453125</v>
      </c>
      <c r="E40" s="2">
        <v>0.99424414898732705</v>
      </c>
      <c r="F40" s="2">
        <v>7.1183650161997609E-3</v>
      </c>
      <c r="G40" s="2">
        <v>1.423673003239952E-2</v>
      </c>
      <c r="H40" s="2">
        <v>0.99356720935272191</v>
      </c>
      <c r="I40" s="2">
        <v>6.4327906472780392E-3</v>
      </c>
      <c r="J40" s="2">
        <v>1.286558129455617E-2</v>
      </c>
      <c r="K40" s="2" t="s">
        <v>2</v>
      </c>
    </row>
    <row r="41" spans="1:11" x14ac:dyDescent="0.35">
      <c r="A41" s="2" t="s">
        <v>51</v>
      </c>
      <c r="B41" s="2">
        <v>277</v>
      </c>
      <c r="C41" s="2">
        <v>427</v>
      </c>
      <c r="D41" s="2">
        <v>0.39346590909090912</v>
      </c>
      <c r="E41" s="2">
        <v>0.99999999443458498</v>
      </c>
      <c r="F41" s="2">
        <v>8.6880052469512098E-9</v>
      </c>
      <c r="G41" s="2">
        <v>1.737601049390242E-8</v>
      </c>
      <c r="H41" s="2">
        <v>0.99999999213191548</v>
      </c>
      <c r="I41" s="2">
        <v>7.8680844944330399E-9</v>
      </c>
      <c r="J41" s="2">
        <v>1.5736169034497038E-8</v>
      </c>
      <c r="K41" s="2" t="s">
        <v>2</v>
      </c>
    </row>
    <row r="42" spans="1:11" x14ac:dyDescent="0.35">
      <c r="A42" s="2" t="s">
        <v>52</v>
      </c>
      <c r="B42" s="2">
        <v>473</v>
      </c>
      <c r="C42" s="2">
        <v>231</v>
      </c>
      <c r="D42" s="2">
        <v>0.671875</v>
      </c>
      <c r="E42" s="2">
        <v>2.2664703991124299E-20</v>
      </c>
      <c r="F42" s="2">
        <v>1</v>
      </c>
      <c r="G42" s="2">
        <v>4.5329407982248592E-20</v>
      </c>
      <c r="H42" s="2">
        <v>0</v>
      </c>
      <c r="I42" s="2">
        <v>1</v>
      </c>
      <c r="J42" s="2">
        <v>0</v>
      </c>
      <c r="K42" s="2" t="s">
        <v>1</v>
      </c>
    </row>
    <row r="43" spans="1:11" x14ac:dyDescent="0.35">
      <c r="A43" s="2" t="s">
        <v>53</v>
      </c>
      <c r="B43" s="2">
        <v>357</v>
      </c>
      <c r="C43" s="2">
        <v>347</v>
      </c>
      <c r="D43" s="2">
        <v>0.50710227272727271</v>
      </c>
      <c r="E43" s="2">
        <v>0.36724284954996672</v>
      </c>
      <c r="F43" s="2">
        <v>0.66075969318714201</v>
      </c>
      <c r="G43" s="2">
        <v>0.73448569909993344</v>
      </c>
      <c r="H43" s="2">
        <v>0.35312798105242671</v>
      </c>
      <c r="I43" s="2">
        <v>0.64687201894757329</v>
      </c>
      <c r="J43" s="2">
        <v>0.70625596210485342</v>
      </c>
      <c r="K43" s="2" t="s">
        <v>12</v>
      </c>
    </row>
    <row r="44" spans="1:11" x14ac:dyDescent="0.35">
      <c r="A44" s="2" t="s">
        <v>54</v>
      </c>
      <c r="B44" s="2">
        <v>467</v>
      </c>
      <c r="C44" s="2">
        <v>237</v>
      </c>
      <c r="D44" s="2">
        <v>0.66335227272727271</v>
      </c>
      <c r="E44" s="2">
        <v>1.5346390564693779E-18</v>
      </c>
      <c r="F44" s="2">
        <v>1</v>
      </c>
      <c r="G44" s="2">
        <v>3.0692781129387559E-18</v>
      </c>
      <c r="H44" s="2">
        <v>0</v>
      </c>
      <c r="I44" s="2">
        <v>1</v>
      </c>
      <c r="J44" s="2">
        <v>0</v>
      </c>
      <c r="K44" s="2" t="s">
        <v>1</v>
      </c>
    </row>
    <row r="45" spans="1:11" x14ac:dyDescent="0.35">
      <c r="A45" s="2" t="s">
        <v>55</v>
      </c>
      <c r="B45" s="2">
        <v>339</v>
      </c>
      <c r="C45" s="2">
        <v>365</v>
      </c>
      <c r="D45" s="2">
        <v>0.48153409090909088</v>
      </c>
      <c r="E45" s="2">
        <v>0.84556710823239156</v>
      </c>
      <c r="F45" s="2">
        <v>0.17304251071291021</v>
      </c>
      <c r="G45" s="2">
        <v>0.34608502142582048</v>
      </c>
      <c r="H45" s="2">
        <v>0.83643518838242337</v>
      </c>
      <c r="I45" s="2">
        <v>0.16356481161757661</v>
      </c>
      <c r="J45" s="2">
        <v>0.32712962323515332</v>
      </c>
      <c r="K45" s="2" t="s">
        <v>12</v>
      </c>
    </row>
    <row r="46" spans="1:11" x14ac:dyDescent="0.35">
      <c r="A46" s="2" t="s">
        <v>56</v>
      </c>
      <c r="B46" s="2">
        <v>271</v>
      </c>
      <c r="C46" s="2">
        <v>433</v>
      </c>
      <c r="D46" s="2">
        <v>0.38494318181818182</v>
      </c>
      <c r="E46" s="2">
        <v>0.99999999965971842</v>
      </c>
      <c r="F46" s="2">
        <v>5.5012734621003682E-10</v>
      </c>
      <c r="G46" s="2">
        <v>1.1002546924200741E-9</v>
      </c>
      <c r="H46" s="2">
        <v>0.99999999948793916</v>
      </c>
      <c r="I46" s="2">
        <v>5.1206087656329149E-10</v>
      </c>
      <c r="J46" s="2">
        <v>1.0241216763517971E-9</v>
      </c>
      <c r="K46" s="2" t="s">
        <v>2</v>
      </c>
    </row>
    <row r="47" spans="1:11" x14ac:dyDescent="0.35">
      <c r="A47" s="2" t="s">
        <v>57</v>
      </c>
      <c r="B47" s="2">
        <v>519</v>
      </c>
      <c r="C47" s="2">
        <v>185</v>
      </c>
      <c r="D47" s="2">
        <v>0.73721590909090906</v>
      </c>
      <c r="E47" s="2">
        <v>7.7754249024820046E-38</v>
      </c>
      <c r="F47" s="2">
        <v>1</v>
      </c>
      <c r="G47" s="2">
        <v>1.5550849804964009E-37</v>
      </c>
      <c r="H47" s="2">
        <v>0</v>
      </c>
      <c r="I47" s="2">
        <v>1</v>
      </c>
      <c r="J47" s="2">
        <v>0</v>
      </c>
      <c r="K47" s="2" t="s">
        <v>1</v>
      </c>
    </row>
    <row r="48" spans="1:11" x14ac:dyDescent="0.35">
      <c r="A48" s="2" t="s">
        <v>58</v>
      </c>
      <c r="B48" s="2">
        <v>529</v>
      </c>
      <c r="C48" s="2">
        <v>175</v>
      </c>
      <c r="D48" s="2">
        <v>0.75142045454545459</v>
      </c>
      <c r="E48" s="2">
        <v>1.741043016652972E-42</v>
      </c>
      <c r="F48" s="2">
        <v>1</v>
      </c>
      <c r="G48" s="2">
        <v>3.4820860333059433E-42</v>
      </c>
      <c r="H48" s="2">
        <v>0</v>
      </c>
      <c r="I48" s="2">
        <v>1</v>
      </c>
      <c r="J48" s="2">
        <v>0</v>
      </c>
      <c r="K48" s="2" t="s">
        <v>1</v>
      </c>
    </row>
    <row r="49" spans="1:11" x14ac:dyDescent="0.35">
      <c r="A49" s="2" t="s">
        <v>59</v>
      </c>
      <c r="B49" s="2">
        <v>594</v>
      </c>
      <c r="C49" s="2">
        <v>110</v>
      </c>
      <c r="D49" s="2">
        <v>0.84375</v>
      </c>
      <c r="E49" s="2">
        <v>1.945343773751816E-81</v>
      </c>
      <c r="F49" s="2">
        <v>1</v>
      </c>
      <c r="G49" s="2">
        <v>3.890687547503632E-81</v>
      </c>
      <c r="H49" s="2">
        <v>0</v>
      </c>
      <c r="I49" s="2">
        <v>1</v>
      </c>
      <c r="J49" s="2">
        <v>0</v>
      </c>
      <c r="K49" s="2" t="s">
        <v>1</v>
      </c>
    </row>
    <row r="50" spans="1:11" x14ac:dyDescent="0.35">
      <c r="A50" s="2" t="s">
        <v>60</v>
      </c>
      <c r="B50" s="2">
        <v>273</v>
      </c>
      <c r="C50" s="2">
        <v>431</v>
      </c>
      <c r="D50" s="2">
        <v>0.38778409090909088</v>
      </c>
      <c r="E50" s="2">
        <v>0.99999999911581672</v>
      </c>
      <c r="F50" s="2">
        <v>1.412799308712125E-9</v>
      </c>
      <c r="G50" s="2">
        <v>2.82559861742425E-9</v>
      </c>
      <c r="H50" s="2">
        <v>0.99999999869844014</v>
      </c>
      <c r="I50" s="2">
        <v>1.301559873397955E-9</v>
      </c>
      <c r="J50" s="2">
        <v>2.6031197197795559E-9</v>
      </c>
      <c r="K50" s="2" t="s">
        <v>2</v>
      </c>
    </row>
    <row r="51" spans="1:11" x14ac:dyDescent="0.35">
      <c r="A51" s="2" t="s">
        <v>61</v>
      </c>
      <c r="B51" s="2">
        <v>253</v>
      </c>
      <c r="C51" s="2">
        <v>451</v>
      </c>
      <c r="D51" s="2">
        <v>0.359375</v>
      </c>
      <c r="E51" s="2">
        <v>0.99999999999997835</v>
      </c>
      <c r="F51" s="2">
        <v>3.8989699383371863E-14</v>
      </c>
      <c r="G51" s="2">
        <v>7.7979398766743726E-14</v>
      </c>
      <c r="H51" s="2">
        <v>0.99999999999995748</v>
      </c>
      <c r="I51" s="2">
        <v>4.2478382908461559E-14</v>
      </c>
      <c r="J51" s="2">
        <v>8.5043083686286991E-14</v>
      </c>
      <c r="K51" s="2" t="s">
        <v>2</v>
      </c>
    </row>
    <row r="52" spans="1:11" x14ac:dyDescent="0.35">
      <c r="A52" s="2" t="s">
        <v>62</v>
      </c>
      <c r="B52" s="2">
        <v>593</v>
      </c>
      <c r="C52" s="2">
        <v>111</v>
      </c>
      <c r="D52" s="2">
        <v>0.84232954545454541</v>
      </c>
      <c r="E52" s="2">
        <v>1.043564636923742E-80</v>
      </c>
      <c r="F52" s="2">
        <v>1</v>
      </c>
      <c r="G52" s="2">
        <v>2.0871292738474851E-80</v>
      </c>
      <c r="H52" s="2">
        <v>0</v>
      </c>
      <c r="I52" s="2">
        <v>1</v>
      </c>
      <c r="J52" s="2">
        <v>0</v>
      </c>
      <c r="K52" s="2" t="s">
        <v>1</v>
      </c>
    </row>
    <row r="53" spans="1:11" x14ac:dyDescent="0.35">
      <c r="A53" s="2" t="s">
        <v>63</v>
      </c>
      <c r="B53" s="2">
        <v>548</v>
      </c>
      <c r="C53" s="2">
        <v>156</v>
      </c>
      <c r="D53" s="2">
        <v>0.77840909090909094</v>
      </c>
      <c r="E53" s="2">
        <v>3.0901002623633379E-52</v>
      </c>
      <c r="F53" s="2">
        <v>1</v>
      </c>
      <c r="G53" s="2">
        <v>6.1802005247266759E-52</v>
      </c>
      <c r="H53" s="2">
        <v>0</v>
      </c>
      <c r="I53" s="2">
        <v>1</v>
      </c>
      <c r="J53" s="2">
        <v>0</v>
      </c>
      <c r="K53" s="2" t="s">
        <v>1</v>
      </c>
    </row>
    <row r="54" spans="1:11" x14ac:dyDescent="0.35">
      <c r="A54" s="2" t="s">
        <v>64</v>
      </c>
      <c r="B54" s="2">
        <v>392</v>
      </c>
      <c r="C54" s="2">
        <v>312</v>
      </c>
      <c r="D54" s="2">
        <v>0.55681818181818177</v>
      </c>
      <c r="E54" s="2">
        <v>1.838572134761929E-3</v>
      </c>
      <c r="F54" s="2">
        <v>0.99855974075723575</v>
      </c>
      <c r="G54" s="2">
        <v>3.6771442695238579E-3</v>
      </c>
      <c r="H54" s="2">
        <v>1.284415763511348E-3</v>
      </c>
      <c r="I54" s="2">
        <v>0.99871558423648865</v>
      </c>
      <c r="J54" s="2">
        <v>2.5688315270226969E-3</v>
      </c>
      <c r="K54" s="2" t="s">
        <v>1</v>
      </c>
    </row>
    <row r="55" spans="1:11" x14ac:dyDescent="0.35">
      <c r="A55" s="2" t="s">
        <v>65</v>
      </c>
      <c r="B55" s="2">
        <v>522</v>
      </c>
      <c r="C55" s="2">
        <v>182</v>
      </c>
      <c r="D55" s="2">
        <v>0.74147727272727271</v>
      </c>
      <c r="E55" s="2">
        <v>3.3845026632262342E-39</v>
      </c>
      <c r="F55" s="2">
        <v>1</v>
      </c>
      <c r="G55" s="2">
        <v>6.769005326452467E-39</v>
      </c>
      <c r="H55" s="2">
        <v>0</v>
      </c>
      <c r="I55" s="2">
        <v>1</v>
      </c>
      <c r="J55" s="2">
        <v>0</v>
      </c>
      <c r="K55" s="2" t="s">
        <v>1</v>
      </c>
    </row>
    <row r="56" spans="1:11" x14ac:dyDescent="0.35">
      <c r="A56" s="2" t="s">
        <v>66</v>
      </c>
      <c r="B56" s="2">
        <v>443</v>
      </c>
      <c r="C56" s="2">
        <v>261</v>
      </c>
      <c r="D56" s="2">
        <v>0.62926136363636365</v>
      </c>
      <c r="E56" s="2">
        <v>3.458226107812958E-12</v>
      </c>
      <c r="F56" s="2">
        <v>0.99999999999798395</v>
      </c>
      <c r="G56" s="2">
        <v>6.9164522156259161E-12</v>
      </c>
      <c r="H56" s="2">
        <v>3.457900632497513E-12</v>
      </c>
      <c r="I56" s="2">
        <v>0.9999999999965421</v>
      </c>
      <c r="J56" s="2">
        <v>6.9158012649950251E-12</v>
      </c>
      <c r="K56" s="2" t="s">
        <v>1</v>
      </c>
    </row>
    <row r="57" spans="1:11" x14ac:dyDescent="0.35">
      <c r="A57" s="2" t="s">
        <v>67</v>
      </c>
      <c r="B57" s="2">
        <v>652</v>
      </c>
      <c r="C57" s="2">
        <v>52</v>
      </c>
      <c r="D57" s="2">
        <v>0.92613636363636365</v>
      </c>
      <c r="E57" s="2">
        <v>2.7496109338662921E-133</v>
      </c>
      <c r="F57" s="2">
        <v>1</v>
      </c>
      <c r="G57" s="2">
        <v>5.4992218677325849E-133</v>
      </c>
      <c r="H57" s="2">
        <v>0</v>
      </c>
      <c r="I57" s="2">
        <v>1</v>
      </c>
      <c r="J57" s="2">
        <v>0</v>
      </c>
      <c r="K57" s="2" t="s">
        <v>1</v>
      </c>
    </row>
    <row r="58" spans="1:11" x14ac:dyDescent="0.35">
      <c r="A58" s="2" t="s">
        <v>68</v>
      </c>
      <c r="B58" s="2">
        <v>450</v>
      </c>
      <c r="C58" s="2">
        <v>254</v>
      </c>
      <c r="D58" s="2">
        <v>0.63920454545454541</v>
      </c>
      <c r="E58" s="2">
        <v>6.9760701953280878E-14</v>
      </c>
      <c r="F58" s="2">
        <v>0.99999999999996103</v>
      </c>
      <c r="G58" s="2">
        <v>1.3952140390656181E-13</v>
      </c>
      <c r="H58" s="2">
        <v>7.5051076464660582E-14</v>
      </c>
      <c r="I58" s="2">
        <v>0.99999999999992495</v>
      </c>
      <c r="J58" s="2">
        <v>1.5010215292932119E-13</v>
      </c>
      <c r="K58" s="2" t="s">
        <v>1</v>
      </c>
    </row>
    <row r="59" spans="1:11" x14ac:dyDescent="0.35">
      <c r="A59" s="2" t="s">
        <v>69</v>
      </c>
      <c r="B59" s="2">
        <v>444</v>
      </c>
      <c r="C59" s="2">
        <v>260</v>
      </c>
      <c r="D59" s="2">
        <v>0.63068181818181823</v>
      </c>
      <c r="E59" s="2">
        <v>2.0160533626992649E-12</v>
      </c>
      <c r="F59" s="2">
        <v>0.99999999999883171</v>
      </c>
      <c r="G59" s="2">
        <v>4.0321067253985298E-12</v>
      </c>
      <c r="H59" s="2">
        <v>2.0345947149280619E-12</v>
      </c>
      <c r="I59" s="2">
        <v>0.99999999999796541</v>
      </c>
      <c r="J59" s="2">
        <v>4.0691894298561238E-12</v>
      </c>
      <c r="K59" s="2" t="s">
        <v>1</v>
      </c>
    </row>
    <row r="60" spans="1:11" x14ac:dyDescent="0.35">
      <c r="A60" s="2" t="s">
        <v>70</v>
      </c>
      <c r="B60" s="2">
        <v>408</v>
      </c>
      <c r="C60" s="2">
        <v>296</v>
      </c>
      <c r="D60" s="2">
        <v>0.57954545454545459</v>
      </c>
      <c r="E60" s="2">
        <v>1.3842638494642849E-5</v>
      </c>
      <c r="F60" s="2">
        <v>0.99999011925657677</v>
      </c>
      <c r="G60" s="2">
        <v>2.7685276989285692E-5</v>
      </c>
      <c r="H60" s="2">
        <v>1.215248034736049E-5</v>
      </c>
      <c r="I60" s="2">
        <v>0.99998784751965264</v>
      </c>
      <c r="J60" s="2">
        <v>2.430496069472099E-5</v>
      </c>
      <c r="K60" s="2" t="s">
        <v>1</v>
      </c>
    </row>
    <row r="61" spans="1:11" x14ac:dyDescent="0.35">
      <c r="A61" s="2" t="s">
        <v>71</v>
      </c>
      <c r="B61" s="2">
        <v>300</v>
      </c>
      <c r="C61" s="2">
        <v>404</v>
      </c>
      <c r="D61" s="2">
        <v>0.42613636363636359</v>
      </c>
      <c r="E61" s="2">
        <v>0.99996318795309103</v>
      </c>
      <c r="F61" s="2">
        <v>5.0438205584933382E-5</v>
      </c>
      <c r="G61" s="2">
        <v>1.008764111698668E-4</v>
      </c>
      <c r="H61" s="2">
        <v>0.99995566070850206</v>
      </c>
      <c r="I61" s="2">
        <v>4.4339291497947962E-5</v>
      </c>
      <c r="J61" s="2">
        <v>8.8678582995882493E-5</v>
      </c>
      <c r="K61" s="2" t="s">
        <v>2</v>
      </c>
    </row>
    <row r="62" spans="1:11" x14ac:dyDescent="0.35">
      <c r="A62" s="2" t="s">
        <v>72</v>
      </c>
      <c r="B62" s="2">
        <v>698</v>
      </c>
      <c r="C62" s="2">
        <v>6</v>
      </c>
      <c r="D62" s="2">
        <v>0.99147727272727271</v>
      </c>
      <c r="E62" s="2">
        <v>1.98356930329381E-198</v>
      </c>
      <c r="F62" s="2">
        <v>1</v>
      </c>
      <c r="G62" s="2">
        <v>3.9671386065876193E-198</v>
      </c>
      <c r="H62" s="2">
        <v>0</v>
      </c>
      <c r="I62" s="2">
        <v>1</v>
      </c>
      <c r="J62" s="2">
        <v>0</v>
      </c>
      <c r="K62" s="2" t="s">
        <v>1</v>
      </c>
    </row>
    <row r="63" spans="1:11" x14ac:dyDescent="0.35">
      <c r="A63" s="2" t="s">
        <v>73</v>
      </c>
      <c r="B63" s="2">
        <v>693</v>
      </c>
      <c r="C63" s="2">
        <v>11</v>
      </c>
      <c r="D63" s="2">
        <v>0.984375</v>
      </c>
      <c r="E63" s="2">
        <v>5.8864815922639292E-189</v>
      </c>
      <c r="F63" s="2">
        <v>1</v>
      </c>
      <c r="G63" s="2">
        <v>1.177296318452786E-188</v>
      </c>
      <c r="H63" s="2">
        <v>0</v>
      </c>
      <c r="I63" s="2">
        <v>1</v>
      </c>
      <c r="J63" s="2">
        <v>0</v>
      </c>
      <c r="K63" s="2" t="s">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470</v>
      </c>
      <c r="C2" s="2">
        <v>514</v>
      </c>
      <c r="D2" s="2">
        <v>0.47764227642276419</v>
      </c>
      <c r="E2" s="2">
        <v>0.92431028870426246</v>
      </c>
      <c r="F2" s="2">
        <v>8.5204326358424731E-2</v>
      </c>
      <c r="G2" s="2">
        <v>0.17040865271684949</v>
      </c>
      <c r="H2" s="2">
        <v>0.91964218271622178</v>
      </c>
      <c r="I2" s="2">
        <v>8.0357817283778221E-2</v>
      </c>
      <c r="J2" s="2">
        <v>0.16071563456755639</v>
      </c>
      <c r="K2" s="2" t="s">
        <v>12</v>
      </c>
    </row>
    <row r="3" spans="1:11" x14ac:dyDescent="0.35">
      <c r="A3" s="2" t="s">
        <v>13</v>
      </c>
      <c r="B3" s="2">
        <v>448</v>
      </c>
      <c r="C3" s="2">
        <v>536</v>
      </c>
      <c r="D3" s="2">
        <v>0.45528455284552838</v>
      </c>
      <c r="E3" s="2">
        <v>0.99773664056901701</v>
      </c>
      <c r="F3" s="2">
        <v>2.7597897121236729E-3</v>
      </c>
      <c r="G3" s="2">
        <v>5.5195794242473457E-3</v>
      </c>
      <c r="H3" s="2">
        <v>0.99748680434957493</v>
      </c>
      <c r="I3" s="2">
        <v>2.5131956504250621E-3</v>
      </c>
      <c r="J3" s="2">
        <v>5.0263913008501424E-3</v>
      </c>
      <c r="K3" s="2" t="s">
        <v>2</v>
      </c>
    </row>
    <row r="4" spans="1:11" x14ac:dyDescent="0.35">
      <c r="A4" s="2" t="s">
        <v>14</v>
      </c>
      <c r="B4" s="2">
        <v>576</v>
      </c>
      <c r="C4" s="2">
        <v>408</v>
      </c>
      <c r="D4" s="2">
        <v>0.58536585365853655</v>
      </c>
      <c r="E4" s="2">
        <v>4.7451246753487619E-8</v>
      </c>
      <c r="F4" s="2">
        <v>0.99999996676273217</v>
      </c>
      <c r="G4" s="2">
        <v>9.4902493506975239E-8</v>
      </c>
      <c r="H4" s="2">
        <v>4.2626017271452099E-8</v>
      </c>
      <c r="I4" s="2">
        <v>0.99999995737398273</v>
      </c>
      <c r="J4" s="2">
        <v>8.5252034542904198E-8</v>
      </c>
      <c r="K4" s="2" t="s">
        <v>1</v>
      </c>
    </row>
    <row r="5" spans="1:11" x14ac:dyDescent="0.35">
      <c r="A5" s="2" t="s">
        <v>15</v>
      </c>
      <c r="B5" s="2">
        <v>534</v>
      </c>
      <c r="C5" s="2">
        <v>450</v>
      </c>
      <c r="D5" s="2">
        <v>0.54268292682926833</v>
      </c>
      <c r="E5" s="2">
        <v>4.0569702675854434E-3</v>
      </c>
      <c r="F5" s="2">
        <v>0.99664758972954359</v>
      </c>
      <c r="G5" s="2">
        <v>8.1139405351708851E-3</v>
      </c>
      <c r="H5" s="2">
        <v>3.7051272013021159E-3</v>
      </c>
      <c r="I5" s="2">
        <v>0.99629487279869788</v>
      </c>
      <c r="J5" s="2">
        <v>7.4102544026042327E-3</v>
      </c>
      <c r="K5" s="2" t="s">
        <v>1</v>
      </c>
    </row>
    <row r="6" spans="1:11" x14ac:dyDescent="0.35">
      <c r="A6" s="2" t="s">
        <v>16</v>
      </c>
      <c r="B6" s="2">
        <v>571</v>
      </c>
      <c r="C6" s="2">
        <v>413</v>
      </c>
      <c r="D6" s="2">
        <v>0.58028455284552849</v>
      </c>
      <c r="E6" s="2">
        <v>2.648007387775048E-7</v>
      </c>
      <c r="F6" s="2">
        <v>0.99999981072105271</v>
      </c>
      <c r="G6" s="2">
        <v>5.296014775550097E-7</v>
      </c>
      <c r="H6" s="2">
        <v>2.3662022130555021E-7</v>
      </c>
      <c r="I6" s="2">
        <v>0.99999976337977869</v>
      </c>
      <c r="J6" s="2">
        <v>4.7324044261110032E-7</v>
      </c>
      <c r="K6" s="2" t="s">
        <v>1</v>
      </c>
    </row>
    <row r="7" spans="1:11" x14ac:dyDescent="0.35">
      <c r="A7" s="2" t="s">
        <v>17</v>
      </c>
      <c r="B7" s="2">
        <v>563</v>
      </c>
      <c r="C7" s="2">
        <v>421</v>
      </c>
      <c r="D7" s="2">
        <v>0.57215447154471544</v>
      </c>
      <c r="E7" s="2">
        <v>3.361399988478439E-6</v>
      </c>
      <c r="F7" s="2">
        <v>0.99999751877976972</v>
      </c>
      <c r="G7" s="2">
        <v>6.7227999769568789E-6</v>
      </c>
      <c r="H7" s="2">
        <v>2.9942538566363201E-6</v>
      </c>
      <c r="I7" s="2">
        <v>0.99999700574614336</v>
      </c>
      <c r="J7" s="2">
        <v>5.9885077132726394E-6</v>
      </c>
      <c r="K7" s="2" t="s">
        <v>1</v>
      </c>
    </row>
    <row r="8" spans="1:11" x14ac:dyDescent="0.35">
      <c r="A8" s="2" t="s">
        <v>18</v>
      </c>
      <c r="B8" s="2">
        <v>494</v>
      </c>
      <c r="C8" s="2">
        <v>490</v>
      </c>
      <c r="D8" s="2">
        <v>0.50203252032520329</v>
      </c>
      <c r="E8" s="2">
        <v>0.46190782651296952</v>
      </c>
      <c r="F8" s="2">
        <v>0.56331564741138507</v>
      </c>
      <c r="G8" s="2">
        <v>0.92381565302593904</v>
      </c>
      <c r="H8" s="2">
        <v>0.44926626532927483</v>
      </c>
      <c r="I8" s="2">
        <v>0.55073373467072517</v>
      </c>
      <c r="J8" s="2">
        <v>0.89853253065854966</v>
      </c>
      <c r="K8" s="2" t="s">
        <v>12</v>
      </c>
    </row>
    <row r="9" spans="1:11" x14ac:dyDescent="0.35">
      <c r="A9" s="2" t="s">
        <v>19</v>
      </c>
      <c r="B9" s="2">
        <v>485</v>
      </c>
      <c r="C9" s="2">
        <v>499</v>
      </c>
      <c r="D9" s="2">
        <v>0.49288617886178859</v>
      </c>
      <c r="E9" s="2">
        <v>0.6837287171426143</v>
      </c>
      <c r="F9" s="2">
        <v>0.33929215320999773</v>
      </c>
      <c r="G9" s="2">
        <v>0.67858430641999545</v>
      </c>
      <c r="H9" s="2">
        <v>0.67231105772201771</v>
      </c>
      <c r="I9" s="2">
        <v>0.32768894227798229</v>
      </c>
      <c r="J9" s="2">
        <v>0.65537788455596457</v>
      </c>
      <c r="K9" s="2" t="s">
        <v>12</v>
      </c>
    </row>
    <row r="10" spans="1:11" x14ac:dyDescent="0.35">
      <c r="A10" s="2" t="s">
        <v>20</v>
      </c>
      <c r="B10" s="2">
        <v>429</v>
      </c>
      <c r="C10" s="2">
        <v>555</v>
      </c>
      <c r="D10" s="2">
        <v>0.43597560975609762</v>
      </c>
      <c r="E10" s="2">
        <v>0.99997481691893608</v>
      </c>
      <c r="F10" s="2">
        <v>3.3049857869967827E-5</v>
      </c>
      <c r="G10" s="2">
        <v>6.6099715739935654E-5</v>
      </c>
      <c r="H10" s="2">
        <v>0.99997049477781885</v>
      </c>
      <c r="I10" s="2">
        <v>2.950522218112095E-5</v>
      </c>
      <c r="J10" s="2">
        <v>5.9010444362295189E-5</v>
      </c>
      <c r="K10" s="2" t="s">
        <v>2</v>
      </c>
    </row>
    <row r="11" spans="1:11" x14ac:dyDescent="0.35">
      <c r="A11" s="2" t="s">
        <v>21</v>
      </c>
      <c r="B11" s="2">
        <v>436</v>
      </c>
      <c r="C11" s="2">
        <v>548</v>
      </c>
      <c r="D11" s="2">
        <v>0.44308943089430902</v>
      </c>
      <c r="E11" s="2">
        <v>0.99984451123023477</v>
      </c>
      <c r="F11" s="2">
        <v>1.9853821643737031E-4</v>
      </c>
      <c r="G11" s="2">
        <v>3.9707643287474072E-4</v>
      </c>
      <c r="H11" s="2">
        <v>0.99982180187847025</v>
      </c>
      <c r="I11" s="2">
        <v>1.7819812152978189E-4</v>
      </c>
      <c r="J11" s="2">
        <v>3.5639624305949802E-4</v>
      </c>
      <c r="K11" s="2" t="s">
        <v>2</v>
      </c>
    </row>
    <row r="12" spans="1:11" x14ac:dyDescent="0.35">
      <c r="A12" s="2" t="s">
        <v>22</v>
      </c>
      <c r="B12" s="2">
        <v>553</v>
      </c>
      <c r="C12" s="2">
        <v>431</v>
      </c>
      <c r="D12" s="2">
        <v>0.56199186991869921</v>
      </c>
      <c r="E12" s="2">
        <v>5.6254790749006029E-5</v>
      </c>
      <c r="F12" s="2">
        <v>0.99995679651160119</v>
      </c>
      <c r="G12" s="2">
        <v>1.125095814980121E-4</v>
      </c>
      <c r="H12" s="2">
        <v>5.0283886111723852E-5</v>
      </c>
      <c r="I12" s="2">
        <v>0.99994971611388828</v>
      </c>
      <c r="J12" s="2">
        <v>1.005677722234477E-4</v>
      </c>
      <c r="K12" s="2" t="s">
        <v>1</v>
      </c>
    </row>
    <row r="13" spans="1:11" x14ac:dyDescent="0.35">
      <c r="A13" s="2" t="s">
        <v>23</v>
      </c>
      <c r="B13" s="2">
        <v>501</v>
      </c>
      <c r="C13" s="2">
        <v>483</v>
      </c>
      <c r="D13" s="2">
        <v>0.50914634146341464</v>
      </c>
      <c r="E13" s="2">
        <v>0.29394103861535209</v>
      </c>
      <c r="F13" s="2">
        <v>0.72763149274820915</v>
      </c>
      <c r="G13" s="2">
        <v>0.58788207723070429</v>
      </c>
      <c r="H13" s="2">
        <v>0.28304513090842481</v>
      </c>
      <c r="I13" s="2">
        <v>0.71695486909157524</v>
      </c>
      <c r="J13" s="2">
        <v>0.56609026181684952</v>
      </c>
      <c r="K13" s="2" t="s">
        <v>12</v>
      </c>
    </row>
    <row r="14" spans="1:11" x14ac:dyDescent="0.35">
      <c r="A14" s="2" t="s">
        <v>24</v>
      </c>
      <c r="B14" s="2">
        <v>494</v>
      </c>
      <c r="C14" s="2">
        <v>490</v>
      </c>
      <c r="D14" s="2">
        <v>0.50203252032520329</v>
      </c>
      <c r="E14" s="2">
        <v>0.46190782651296952</v>
      </c>
      <c r="F14" s="2">
        <v>0.56331564741138507</v>
      </c>
      <c r="G14" s="2">
        <v>0.92381565302593904</v>
      </c>
      <c r="H14" s="2">
        <v>0.44926626532927483</v>
      </c>
      <c r="I14" s="2">
        <v>0.55073373467072517</v>
      </c>
      <c r="J14" s="2">
        <v>0.89853253065854966</v>
      </c>
      <c r="K14" s="2" t="s">
        <v>12</v>
      </c>
    </row>
    <row r="15" spans="1:11" x14ac:dyDescent="0.35">
      <c r="A15" s="2" t="s">
        <v>25</v>
      </c>
      <c r="B15" s="2">
        <v>441</v>
      </c>
      <c r="C15" s="2">
        <v>543</v>
      </c>
      <c r="D15" s="2">
        <v>0.44817073170731708</v>
      </c>
      <c r="E15" s="2">
        <v>0.99949234714653856</v>
      </c>
      <c r="F15" s="2">
        <v>6.3577144909883129E-4</v>
      </c>
      <c r="G15" s="2">
        <v>1.271542898197663E-3</v>
      </c>
      <c r="H15" s="2">
        <v>0.99942629623833568</v>
      </c>
      <c r="I15" s="2">
        <v>5.7370376166427891E-4</v>
      </c>
      <c r="J15" s="2">
        <v>1.1474075233286469E-3</v>
      </c>
      <c r="K15" s="2" t="s">
        <v>2</v>
      </c>
    </row>
    <row r="16" spans="1:11" x14ac:dyDescent="0.35">
      <c r="A16" s="2" t="s">
        <v>26</v>
      </c>
      <c r="B16" s="2">
        <v>607</v>
      </c>
      <c r="C16" s="2">
        <v>377</v>
      </c>
      <c r="D16" s="2">
        <v>0.61686991869918695</v>
      </c>
      <c r="E16" s="2">
        <v>1.123331919491978E-13</v>
      </c>
      <c r="F16" s="2">
        <v>0.99999999999993083</v>
      </c>
      <c r="G16" s="2">
        <v>2.2466638389839551E-13</v>
      </c>
      <c r="H16" s="2">
        <v>1.13242748511766E-13</v>
      </c>
      <c r="I16" s="2">
        <v>0.99999999999988676</v>
      </c>
      <c r="J16" s="2">
        <v>2.2648549702353191E-13</v>
      </c>
      <c r="K16" s="2" t="s">
        <v>1</v>
      </c>
    </row>
    <row r="17" spans="1:11" x14ac:dyDescent="0.35">
      <c r="A17" s="2" t="s">
        <v>27</v>
      </c>
      <c r="B17" s="2">
        <v>522</v>
      </c>
      <c r="C17" s="2">
        <v>462</v>
      </c>
      <c r="D17" s="2">
        <v>0.53048780487804881</v>
      </c>
      <c r="E17" s="2">
        <v>2.9968560448432519E-2</v>
      </c>
      <c r="F17" s="2">
        <v>0.9741165738328309</v>
      </c>
      <c r="G17" s="2">
        <v>5.9937120896865037E-2</v>
      </c>
      <c r="H17" s="2">
        <v>2.7891304353421909E-2</v>
      </c>
      <c r="I17" s="2">
        <v>0.97210869564657809</v>
      </c>
      <c r="J17" s="2">
        <v>5.5782608706843817E-2</v>
      </c>
      <c r="K17" s="2" t="s">
        <v>1</v>
      </c>
    </row>
    <row r="18" spans="1:11" x14ac:dyDescent="0.35">
      <c r="A18" s="2" t="s">
        <v>28</v>
      </c>
      <c r="B18" s="2">
        <v>464</v>
      </c>
      <c r="C18" s="2">
        <v>520</v>
      </c>
      <c r="D18" s="2">
        <v>0.47154471544715448</v>
      </c>
      <c r="E18" s="2">
        <v>0.96542573740292892</v>
      </c>
      <c r="F18" s="2">
        <v>3.9745751432072991E-2</v>
      </c>
      <c r="G18" s="2">
        <v>7.9491502864145983E-2</v>
      </c>
      <c r="H18" s="2">
        <v>0.96288675859325568</v>
      </c>
      <c r="I18" s="2">
        <v>3.7113241406744317E-2</v>
      </c>
      <c r="J18" s="2">
        <v>7.4226482813488648E-2</v>
      </c>
      <c r="K18" s="2" t="s">
        <v>2</v>
      </c>
    </row>
    <row r="19" spans="1:11" x14ac:dyDescent="0.35">
      <c r="A19" s="2" t="s">
        <v>29</v>
      </c>
      <c r="B19" s="2">
        <v>463</v>
      </c>
      <c r="C19" s="2">
        <v>521</v>
      </c>
      <c r="D19" s="2">
        <v>0.47052845528455278</v>
      </c>
      <c r="E19" s="2">
        <v>0.97003143955156745</v>
      </c>
      <c r="F19" s="2">
        <v>3.4574262597071033E-2</v>
      </c>
      <c r="G19" s="2">
        <v>6.9148525194142052E-2</v>
      </c>
      <c r="H19" s="2">
        <v>0.96776910581885811</v>
      </c>
      <c r="I19" s="2">
        <v>3.2230894181141882E-2</v>
      </c>
      <c r="J19" s="2">
        <v>6.4461788362283778E-2</v>
      </c>
      <c r="K19" s="2" t="s">
        <v>2</v>
      </c>
    </row>
    <row r="20" spans="1:11" x14ac:dyDescent="0.35">
      <c r="A20" s="2" t="s">
        <v>30</v>
      </c>
      <c r="B20" s="2">
        <v>583</v>
      </c>
      <c r="C20" s="2">
        <v>401</v>
      </c>
      <c r="D20" s="2">
        <v>0.59247967479674801</v>
      </c>
      <c r="E20" s="2">
        <v>3.6031261158055489E-9</v>
      </c>
      <c r="F20" s="2">
        <v>0.9999999975473719</v>
      </c>
      <c r="G20" s="2">
        <v>7.206252231611097E-9</v>
      </c>
      <c r="H20" s="2">
        <v>3.2774428726511928E-9</v>
      </c>
      <c r="I20" s="2">
        <v>0.99999999672255713</v>
      </c>
      <c r="J20" s="2">
        <v>6.5548857453023857E-9</v>
      </c>
      <c r="K20" s="2" t="s">
        <v>1</v>
      </c>
    </row>
    <row r="21" spans="1:11" x14ac:dyDescent="0.35">
      <c r="A21" s="2" t="s">
        <v>31</v>
      </c>
      <c r="B21" s="2">
        <v>469</v>
      </c>
      <c r="C21" s="2">
        <v>515</v>
      </c>
      <c r="D21" s="2">
        <v>0.4766260162601626</v>
      </c>
      <c r="E21" s="2">
        <v>0.93299352963525839</v>
      </c>
      <c r="F21" s="2">
        <v>7.5689711295737525E-2</v>
      </c>
      <c r="G21" s="2">
        <v>0.15137942259147499</v>
      </c>
      <c r="H21" s="2">
        <v>0.92873392619174178</v>
      </c>
      <c r="I21" s="2">
        <v>7.126607380825821E-2</v>
      </c>
      <c r="J21" s="2">
        <v>0.14253214761651639</v>
      </c>
      <c r="K21" s="2" t="s">
        <v>12</v>
      </c>
    </row>
    <row r="22" spans="1:11" x14ac:dyDescent="0.35">
      <c r="A22" s="2" t="s">
        <v>32</v>
      </c>
      <c r="B22" s="2">
        <v>490</v>
      </c>
      <c r="C22" s="2">
        <v>494</v>
      </c>
      <c r="D22" s="2">
        <v>0.49796747967479682</v>
      </c>
      <c r="E22" s="2">
        <v>0.56331564741138507</v>
      </c>
      <c r="F22" s="2">
        <v>0.46190782651296952</v>
      </c>
      <c r="G22" s="2">
        <v>0.92381565302593904</v>
      </c>
      <c r="H22" s="2">
        <v>0.55073373467072373</v>
      </c>
      <c r="I22" s="2">
        <v>0.44926626532927622</v>
      </c>
      <c r="J22" s="2">
        <v>0.89853253065855254</v>
      </c>
      <c r="K22" s="2" t="s">
        <v>12</v>
      </c>
    </row>
    <row r="23" spans="1:11" x14ac:dyDescent="0.35">
      <c r="A23" s="2" t="s">
        <v>33</v>
      </c>
      <c r="B23" s="2">
        <v>560</v>
      </c>
      <c r="C23" s="2">
        <v>424</v>
      </c>
      <c r="D23" s="2">
        <v>0.56910569105691056</v>
      </c>
      <c r="E23" s="2">
        <v>8.1600475553627389E-6</v>
      </c>
      <c r="F23" s="2">
        <v>0.99999390419284429</v>
      </c>
      <c r="G23" s="2">
        <v>1.6320095110725481E-5</v>
      </c>
      <c r="H23" s="2">
        <v>7.2707430692764419E-6</v>
      </c>
      <c r="I23" s="2">
        <v>0.99999272925693072</v>
      </c>
      <c r="J23" s="2">
        <v>1.454148613855288E-5</v>
      </c>
      <c r="K23" s="2" t="s">
        <v>1</v>
      </c>
    </row>
    <row r="24" spans="1:11" x14ac:dyDescent="0.35">
      <c r="A24" s="2" t="s">
        <v>34</v>
      </c>
      <c r="B24" s="2">
        <v>545</v>
      </c>
      <c r="C24" s="2">
        <v>439</v>
      </c>
      <c r="D24" s="2">
        <v>0.55386178861788615</v>
      </c>
      <c r="E24" s="2">
        <v>4.0379200663045079E-4</v>
      </c>
      <c r="F24" s="2">
        <v>0.99968005895227896</v>
      </c>
      <c r="G24" s="2">
        <v>8.0758401326090168E-4</v>
      </c>
      <c r="H24" s="2">
        <v>3.6354292167450902E-4</v>
      </c>
      <c r="I24" s="2">
        <v>0.99963645707832549</v>
      </c>
      <c r="J24" s="2">
        <v>7.2708584334901794E-4</v>
      </c>
      <c r="K24" s="2" t="s">
        <v>1</v>
      </c>
    </row>
    <row r="25" spans="1:11" x14ac:dyDescent="0.35">
      <c r="A25" s="2" t="s">
        <v>35</v>
      </c>
      <c r="B25" s="2">
        <v>553</v>
      </c>
      <c r="C25" s="2">
        <v>431</v>
      </c>
      <c r="D25" s="2">
        <v>0.56199186991869921</v>
      </c>
      <c r="E25" s="2">
        <v>5.6254790749006029E-5</v>
      </c>
      <c r="F25" s="2">
        <v>0.99995679651160119</v>
      </c>
      <c r="G25" s="2">
        <v>1.125095814980121E-4</v>
      </c>
      <c r="H25" s="2">
        <v>5.0283886111723852E-5</v>
      </c>
      <c r="I25" s="2">
        <v>0.99994971611388828</v>
      </c>
      <c r="J25" s="2">
        <v>1.005677722234477E-4</v>
      </c>
      <c r="K25" s="2" t="s">
        <v>1</v>
      </c>
    </row>
    <row r="26" spans="1:11" x14ac:dyDescent="0.35">
      <c r="A26" s="2" t="s">
        <v>36</v>
      </c>
      <c r="B26" s="2">
        <v>347</v>
      </c>
      <c r="C26" s="2">
        <v>637</v>
      </c>
      <c r="D26" s="2">
        <v>0.35264227642276419</v>
      </c>
      <c r="E26" s="2">
        <v>1</v>
      </c>
      <c r="F26" s="2">
        <v>8.4299803814425279E-21</v>
      </c>
      <c r="G26" s="2">
        <v>1.6859960762885059E-20</v>
      </c>
      <c r="H26" s="2">
        <v>1</v>
      </c>
      <c r="I26" s="2">
        <v>1.177718561281077E-20</v>
      </c>
      <c r="J26" s="2">
        <v>0</v>
      </c>
      <c r="K26" s="2" t="s">
        <v>2</v>
      </c>
    </row>
    <row r="27" spans="1:11" x14ac:dyDescent="0.35">
      <c r="A27" s="2" t="s">
        <v>37</v>
      </c>
      <c r="B27" s="2">
        <v>460</v>
      </c>
      <c r="C27" s="2">
        <v>524</v>
      </c>
      <c r="D27" s="2">
        <v>0.46747967479674801</v>
      </c>
      <c r="E27" s="2">
        <v>0.98090003849419005</v>
      </c>
      <c r="F27" s="2">
        <v>2.227476070264894E-2</v>
      </c>
      <c r="G27" s="2">
        <v>4.454952140529788E-2</v>
      </c>
      <c r="H27" s="2">
        <v>0.97933705908858992</v>
      </c>
      <c r="I27" s="2">
        <v>2.066294091141007E-2</v>
      </c>
      <c r="J27" s="2">
        <v>4.1325881822820147E-2</v>
      </c>
      <c r="K27" s="2" t="s">
        <v>2</v>
      </c>
    </row>
    <row r="28" spans="1:11" x14ac:dyDescent="0.35">
      <c r="A28" s="2" t="s">
        <v>38</v>
      </c>
      <c r="B28" s="2">
        <v>369</v>
      </c>
      <c r="C28" s="2">
        <v>615</v>
      </c>
      <c r="D28" s="2">
        <v>0.375</v>
      </c>
      <c r="E28" s="2">
        <v>0.99999999999999878</v>
      </c>
      <c r="F28" s="2">
        <v>2.0650291391172052E-15</v>
      </c>
      <c r="G28" s="2">
        <v>4.1300582782344104E-15</v>
      </c>
      <c r="H28" s="2">
        <v>0.99999999999999778</v>
      </c>
      <c r="I28" s="2">
        <v>2.2137157838849269E-15</v>
      </c>
      <c r="J28" s="2">
        <v>4.4408920985006262E-15</v>
      </c>
      <c r="K28" s="2" t="s">
        <v>2</v>
      </c>
    </row>
    <row r="29" spans="1:11" x14ac:dyDescent="0.35">
      <c r="A29" s="2" t="s">
        <v>39</v>
      </c>
      <c r="B29" s="2">
        <v>451</v>
      </c>
      <c r="C29" s="2">
        <v>533</v>
      </c>
      <c r="D29" s="2">
        <v>0.45833333333333331</v>
      </c>
      <c r="E29" s="2">
        <v>0.99594302973241455</v>
      </c>
      <c r="F29" s="2">
        <v>4.8911942996628134E-3</v>
      </c>
      <c r="G29" s="2">
        <v>9.7823885993256268E-3</v>
      </c>
      <c r="H29" s="2">
        <v>0.99552639311308277</v>
      </c>
      <c r="I29" s="2">
        <v>4.473606886917194E-3</v>
      </c>
      <c r="J29" s="2">
        <v>8.9472137738344504E-3</v>
      </c>
      <c r="K29" s="2" t="s">
        <v>2</v>
      </c>
    </row>
    <row r="30" spans="1:11" x14ac:dyDescent="0.35">
      <c r="A30" s="2" t="s">
        <v>40</v>
      </c>
      <c r="B30" s="2">
        <v>377</v>
      </c>
      <c r="C30" s="2">
        <v>607</v>
      </c>
      <c r="D30" s="2">
        <v>0.383130081300813</v>
      </c>
      <c r="E30" s="2">
        <v>0.99999999999993083</v>
      </c>
      <c r="F30" s="2">
        <v>1.123331919491978E-13</v>
      </c>
      <c r="G30" s="2">
        <v>2.2466638389839551E-13</v>
      </c>
      <c r="H30" s="2">
        <v>0.99999999999988676</v>
      </c>
      <c r="I30" s="2">
        <v>1.132597381709036E-13</v>
      </c>
      <c r="J30" s="2">
        <v>2.2648549702353191E-13</v>
      </c>
      <c r="K30" s="2" t="s">
        <v>2</v>
      </c>
    </row>
    <row r="31" spans="1:11" x14ac:dyDescent="0.35">
      <c r="A31" s="2" t="s">
        <v>41</v>
      </c>
      <c r="B31" s="2">
        <v>335</v>
      </c>
      <c r="C31" s="2">
        <v>649</v>
      </c>
      <c r="D31" s="2">
        <v>0.34044715447154472</v>
      </c>
      <c r="E31" s="2">
        <v>1</v>
      </c>
      <c r="F31" s="2">
        <v>3.9620231547523402E-24</v>
      </c>
      <c r="G31" s="2">
        <v>7.9240463095046805E-24</v>
      </c>
      <c r="H31" s="2">
        <v>1</v>
      </c>
      <c r="I31" s="2">
        <v>6.890802795531515E-24</v>
      </c>
      <c r="J31" s="2">
        <v>0</v>
      </c>
      <c r="K31" s="2" t="s">
        <v>2</v>
      </c>
    </row>
    <row r="32" spans="1:11" x14ac:dyDescent="0.35">
      <c r="A32" s="2" t="s">
        <v>42</v>
      </c>
      <c r="B32" s="2">
        <v>466</v>
      </c>
      <c r="C32" s="2">
        <v>518</v>
      </c>
      <c r="D32" s="2">
        <v>0.47357723577235772</v>
      </c>
      <c r="E32" s="2">
        <v>0.95447107825781818</v>
      </c>
      <c r="F32" s="2">
        <v>5.1969834598291027E-2</v>
      </c>
      <c r="G32" s="2">
        <v>0.1039396691965821</v>
      </c>
      <c r="H32" s="2">
        <v>0.95131092794959105</v>
      </c>
      <c r="I32" s="2">
        <v>4.8689072050408948E-2</v>
      </c>
      <c r="J32" s="2">
        <v>9.7378144100817909E-2</v>
      </c>
      <c r="K32" s="2" t="s">
        <v>12</v>
      </c>
    </row>
    <row r="33" spans="1:11" x14ac:dyDescent="0.35">
      <c r="A33" s="2" t="s">
        <v>43</v>
      </c>
      <c r="B33" s="2">
        <v>451</v>
      </c>
      <c r="C33" s="2">
        <v>533</v>
      </c>
      <c r="D33" s="2">
        <v>0.45833333333333331</v>
      </c>
      <c r="E33" s="2">
        <v>0.99594302973241455</v>
      </c>
      <c r="F33" s="2">
        <v>4.8911942996628134E-3</v>
      </c>
      <c r="G33" s="2">
        <v>9.7823885993256268E-3</v>
      </c>
      <c r="H33" s="2">
        <v>0.99552639311308277</v>
      </c>
      <c r="I33" s="2">
        <v>4.473606886917194E-3</v>
      </c>
      <c r="J33" s="2">
        <v>8.9472137738344504E-3</v>
      </c>
      <c r="K33" s="2" t="s">
        <v>2</v>
      </c>
    </row>
    <row r="34" spans="1:11" x14ac:dyDescent="0.35">
      <c r="A34" s="2" t="s">
        <v>44</v>
      </c>
      <c r="B34" s="2">
        <v>425</v>
      </c>
      <c r="C34" s="2">
        <v>559</v>
      </c>
      <c r="D34" s="2">
        <v>0.43191056910569098</v>
      </c>
      <c r="E34" s="2">
        <v>0.99999183995244467</v>
      </c>
      <c r="F34" s="2">
        <v>1.087998784664854E-5</v>
      </c>
      <c r="G34" s="2">
        <v>2.1759975693297091E-5</v>
      </c>
      <c r="H34" s="2">
        <v>0.99999030336114281</v>
      </c>
      <c r="I34" s="2">
        <v>9.6966388571788149E-6</v>
      </c>
      <c r="J34" s="2">
        <v>1.93932777143857E-5</v>
      </c>
      <c r="K34" s="2" t="s">
        <v>2</v>
      </c>
    </row>
    <row r="35" spans="1:11" x14ac:dyDescent="0.35">
      <c r="A35" s="2" t="s">
        <v>45</v>
      </c>
      <c r="B35" s="2">
        <v>530</v>
      </c>
      <c r="C35" s="2">
        <v>454</v>
      </c>
      <c r="D35" s="2">
        <v>0.53861788617886175</v>
      </c>
      <c r="E35" s="2">
        <v>8.381400206210492E-3</v>
      </c>
      <c r="F35" s="2">
        <v>0.99296981203001355</v>
      </c>
      <c r="G35" s="2">
        <v>1.6762800412420981E-2</v>
      </c>
      <c r="H35" s="2">
        <v>7.700881584476349E-3</v>
      </c>
      <c r="I35" s="2">
        <v>0.99229911841552365</v>
      </c>
      <c r="J35" s="2">
        <v>1.54017631689527E-2</v>
      </c>
      <c r="K35" s="2" t="s">
        <v>1</v>
      </c>
    </row>
    <row r="36" spans="1:11" x14ac:dyDescent="0.35">
      <c r="A36" s="2" t="s">
        <v>46</v>
      </c>
      <c r="B36" s="2">
        <v>689</v>
      </c>
      <c r="C36" s="2">
        <v>295</v>
      </c>
      <c r="D36" s="2">
        <v>0.70020325203252032</v>
      </c>
      <c r="E36" s="2">
        <v>2.802017860648386E-37</v>
      </c>
      <c r="F36" s="2">
        <v>1</v>
      </c>
      <c r="G36" s="2">
        <v>5.604035721296772E-37</v>
      </c>
      <c r="H36" s="2">
        <v>0</v>
      </c>
      <c r="I36" s="2">
        <v>1</v>
      </c>
      <c r="J36" s="2">
        <v>0</v>
      </c>
      <c r="K36" s="2" t="s">
        <v>1</v>
      </c>
    </row>
    <row r="37" spans="1:11" x14ac:dyDescent="0.35">
      <c r="A37" s="2" t="s">
        <v>47</v>
      </c>
      <c r="B37" s="2">
        <v>727</v>
      </c>
      <c r="C37" s="2">
        <v>257</v>
      </c>
      <c r="D37" s="2">
        <v>0.73882113821138207</v>
      </c>
      <c r="E37" s="2">
        <v>7.1662152374805404E-53</v>
      </c>
      <c r="F37" s="2">
        <v>1</v>
      </c>
      <c r="G37" s="2">
        <v>1.4332430474961081E-52</v>
      </c>
      <c r="H37" s="2">
        <v>0</v>
      </c>
      <c r="I37" s="2">
        <v>1</v>
      </c>
      <c r="J37" s="2">
        <v>0</v>
      </c>
      <c r="K37" s="2" t="s">
        <v>1</v>
      </c>
    </row>
    <row r="38" spans="1:11" x14ac:dyDescent="0.35">
      <c r="A38" s="2" t="s">
        <v>48</v>
      </c>
      <c r="B38" s="2">
        <v>475</v>
      </c>
      <c r="C38" s="2">
        <v>509</v>
      </c>
      <c r="D38" s="2">
        <v>0.48272357723577242</v>
      </c>
      <c r="E38" s="2">
        <v>0.86774232952232644</v>
      </c>
      <c r="F38" s="2">
        <v>0.14639725818087859</v>
      </c>
      <c r="G38" s="2">
        <v>0.29279451636175718</v>
      </c>
      <c r="H38" s="2">
        <v>0.86079108721220654</v>
      </c>
      <c r="I38" s="2">
        <v>0.13920891278779349</v>
      </c>
      <c r="J38" s="2">
        <v>0.27841782557558692</v>
      </c>
      <c r="K38" s="2" t="s">
        <v>12</v>
      </c>
    </row>
    <row r="39" spans="1:11" x14ac:dyDescent="0.35">
      <c r="A39" s="2" t="s">
        <v>49</v>
      </c>
      <c r="B39" s="2">
        <v>444</v>
      </c>
      <c r="C39" s="2">
        <v>540</v>
      </c>
      <c r="D39" s="2">
        <v>0.45121951219512202</v>
      </c>
      <c r="E39" s="2">
        <v>0.99901426546769834</v>
      </c>
      <c r="F39" s="2">
        <v>1.220373200575612E-3</v>
      </c>
      <c r="G39" s="2">
        <v>2.4407464011512239E-3</v>
      </c>
      <c r="H39" s="2">
        <v>0.99889467490842754</v>
      </c>
      <c r="I39" s="2">
        <v>1.1053250915724509E-3</v>
      </c>
      <c r="J39" s="2">
        <v>2.2106501831449239E-3</v>
      </c>
      <c r="K39" s="2" t="s">
        <v>2</v>
      </c>
    </row>
    <row r="40" spans="1:11" x14ac:dyDescent="0.35">
      <c r="A40" s="2" t="s">
        <v>50</v>
      </c>
      <c r="B40" s="2">
        <v>512</v>
      </c>
      <c r="C40" s="2">
        <v>472</v>
      </c>
      <c r="D40" s="2">
        <v>0.52032520325203258</v>
      </c>
      <c r="E40" s="2">
        <v>0.1068727673786477</v>
      </c>
      <c r="F40" s="2">
        <v>0.90441242068569194</v>
      </c>
      <c r="G40" s="2">
        <v>0.21374553475729549</v>
      </c>
      <c r="H40" s="2">
        <v>0.1011274711774712</v>
      </c>
      <c r="I40" s="2">
        <v>0.89887252882252877</v>
      </c>
      <c r="J40" s="2">
        <v>0.20225494235494251</v>
      </c>
      <c r="K40" s="2" t="s">
        <v>12</v>
      </c>
    </row>
    <row r="41" spans="1:11" x14ac:dyDescent="0.35">
      <c r="A41" s="2" t="s">
        <v>51</v>
      </c>
      <c r="B41" s="2">
        <v>440</v>
      </c>
      <c r="C41" s="2">
        <v>544</v>
      </c>
      <c r="D41" s="2">
        <v>0.44715447154471538</v>
      </c>
      <c r="E41" s="2">
        <v>0.99959620799336957</v>
      </c>
      <c r="F41" s="2">
        <v>5.0765285346146517E-4</v>
      </c>
      <c r="G41" s="2">
        <v>1.0153057069229299E-3</v>
      </c>
      <c r="H41" s="2">
        <v>0.99954243783189878</v>
      </c>
      <c r="I41" s="2">
        <v>4.5756216810125281E-4</v>
      </c>
      <c r="J41" s="2">
        <v>9.1512433620244416E-4</v>
      </c>
      <c r="K41" s="2" t="s">
        <v>2</v>
      </c>
    </row>
    <row r="42" spans="1:11" x14ac:dyDescent="0.35">
      <c r="A42" s="2" t="s">
        <v>52</v>
      </c>
      <c r="B42" s="2">
        <v>367</v>
      </c>
      <c r="C42" s="2">
        <v>617</v>
      </c>
      <c r="D42" s="2">
        <v>0.37296747967479682</v>
      </c>
      <c r="E42" s="2">
        <v>0.99999999999999956</v>
      </c>
      <c r="F42" s="2">
        <v>7.286550271003536E-16</v>
      </c>
      <c r="G42" s="2">
        <v>1.457310054200707E-15</v>
      </c>
      <c r="H42" s="2">
        <v>0.99999999999999922</v>
      </c>
      <c r="I42" s="2">
        <v>7.9524273243847475E-16</v>
      </c>
      <c r="J42" s="2">
        <v>1.554312234475219E-15</v>
      </c>
      <c r="K42" s="2" t="s">
        <v>2</v>
      </c>
    </row>
    <row r="43" spans="1:11" x14ac:dyDescent="0.35">
      <c r="A43" s="2" t="s">
        <v>53</v>
      </c>
      <c r="B43" s="2">
        <v>468</v>
      </c>
      <c r="C43" s="2">
        <v>516</v>
      </c>
      <c r="D43" s="2">
        <v>0.47560975609756101</v>
      </c>
      <c r="E43" s="2">
        <v>0.94088585521013635</v>
      </c>
      <c r="F43" s="2">
        <v>6.700647036474161E-2</v>
      </c>
      <c r="G43" s="2">
        <v>0.13401294072948319</v>
      </c>
      <c r="H43" s="2">
        <v>0.93701441846138467</v>
      </c>
      <c r="I43" s="2">
        <v>6.2985581538615346E-2</v>
      </c>
      <c r="J43" s="2">
        <v>0.12597116307723069</v>
      </c>
      <c r="K43" s="2" t="s">
        <v>12</v>
      </c>
    </row>
    <row r="44" spans="1:11" x14ac:dyDescent="0.35">
      <c r="A44" s="2" t="s">
        <v>54</v>
      </c>
      <c r="B44" s="2">
        <v>467</v>
      </c>
      <c r="C44" s="2">
        <v>517</v>
      </c>
      <c r="D44" s="2">
        <v>0.47459349593495942</v>
      </c>
      <c r="E44" s="2">
        <v>0.94803016540170892</v>
      </c>
      <c r="F44" s="2">
        <v>5.9114144789863682E-2</v>
      </c>
      <c r="G44" s="2">
        <v>0.11822828957972741</v>
      </c>
      <c r="H44" s="2">
        <v>0.94452546255531133</v>
      </c>
      <c r="I44" s="2">
        <v>5.5474537444688651E-2</v>
      </c>
      <c r="J44" s="2">
        <v>0.1109490748893773</v>
      </c>
      <c r="K44" s="2" t="s">
        <v>12</v>
      </c>
    </row>
    <row r="45" spans="1:11" x14ac:dyDescent="0.35">
      <c r="A45" s="2" t="s">
        <v>55</v>
      </c>
      <c r="B45" s="2">
        <v>508</v>
      </c>
      <c r="C45" s="2">
        <v>476</v>
      </c>
      <c r="D45" s="2">
        <v>0.51626016260162599</v>
      </c>
      <c r="E45" s="2">
        <v>0.16151711141812949</v>
      </c>
      <c r="F45" s="2">
        <v>0.85360274181912144</v>
      </c>
      <c r="G45" s="2">
        <v>0.32303422283625888</v>
      </c>
      <c r="H45" s="2">
        <v>0.1538351264051647</v>
      </c>
      <c r="I45" s="2">
        <v>0.84616487359483528</v>
      </c>
      <c r="J45" s="2">
        <v>0.30767025281032939</v>
      </c>
      <c r="K45" s="2" t="s">
        <v>12</v>
      </c>
    </row>
    <row r="46" spans="1:11" x14ac:dyDescent="0.35">
      <c r="A46" s="2" t="s">
        <v>56</v>
      </c>
      <c r="B46" s="2">
        <v>620</v>
      </c>
      <c r="C46" s="2">
        <v>364</v>
      </c>
      <c r="D46" s="2">
        <v>0.63008130081300817</v>
      </c>
      <c r="E46" s="2">
        <v>1.478956200573578E-16</v>
      </c>
      <c r="F46" s="2">
        <v>0.99999999999999989</v>
      </c>
      <c r="G46" s="2">
        <v>2.957912401147156E-16</v>
      </c>
      <c r="H46" s="2">
        <v>1.110223024625157E-16</v>
      </c>
      <c r="I46" s="2">
        <v>0.99999999999999989</v>
      </c>
      <c r="J46" s="2">
        <v>2.2204460492503131E-16</v>
      </c>
      <c r="K46" s="2" t="s">
        <v>1</v>
      </c>
    </row>
    <row r="47" spans="1:11" x14ac:dyDescent="0.35">
      <c r="A47" s="2" t="s">
        <v>57</v>
      </c>
      <c r="B47" s="2">
        <v>696</v>
      </c>
      <c r="C47" s="2">
        <v>288</v>
      </c>
      <c r="D47" s="2">
        <v>0.70731707317073167</v>
      </c>
      <c r="E47" s="2">
        <v>6.4465813507665597E-40</v>
      </c>
      <c r="F47" s="2">
        <v>1</v>
      </c>
      <c r="G47" s="2">
        <v>1.2893162701533119E-39</v>
      </c>
      <c r="H47" s="2">
        <v>0</v>
      </c>
      <c r="I47" s="2">
        <v>1</v>
      </c>
      <c r="J47" s="2">
        <v>0</v>
      </c>
      <c r="K47" s="2" t="s">
        <v>1</v>
      </c>
    </row>
    <row r="48" spans="1:11" x14ac:dyDescent="0.35">
      <c r="A48" s="2" t="s">
        <v>58</v>
      </c>
      <c r="B48" s="2">
        <v>513</v>
      </c>
      <c r="C48" s="2">
        <v>471</v>
      </c>
      <c r="D48" s="2">
        <v>0.52134146341463417</v>
      </c>
      <c r="E48" s="2">
        <v>9.5587579314308072E-2</v>
      </c>
      <c r="F48" s="2">
        <v>0.91479567364157521</v>
      </c>
      <c r="G48" s="2">
        <v>0.19117515862861609</v>
      </c>
      <c r="H48" s="2">
        <v>9.0299808246961932E-2</v>
      </c>
      <c r="I48" s="2">
        <v>0.90970019175303807</v>
      </c>
      <c r="J48" s="2">
        <v>0.18059961649392389</v>
      </c>
      <c r="K48" s="2" t="s">
        <v>12</v>
      </c>
    </row>
    <row r="49" spans="1:11" x14ac:dyDescent="0.35">
      <c r="A49" s="2" t="s">
        <v>59</v>
      </c>
      <c r="B49" s="2">
        <v>330</v>
      </c>
      <c r="C49" s="2">
        <v>654</v>
      </c>
      <c r="D49" s="2">
        <v>0.33536585365853661</v>
      </c>
      <c r="E49" s="2">
        <v>1</v>
      </c>
      <c r="F49" s="2">
        <v>1.3452860879497699E-25</v>
      </c>
      <c r="G49" s="2">
        <v>2.6905721758995389E-25</v>
      </c>
      <c r="H49" s="2">
        <v>1</v>
      </c>
      <c r="I49" s="2">
        <v>2.61203959012838E-25</v>
      </c>
      <c r="J49" s="2">
        <v>0</v>
      </c>
      <c r="K49" s="2" t="s">
        <v>2</v>
      </c>
    </row>
    <row r="50" spans="1:11" x14ac:dyDescent="0.35">
      <c r="A50" s="2" t="s">
        <v>60</v>
      </c>
      <c r="B50" s="2">
        <v>705</v>
      </c>
      <c r="C50" s="2">
        <v>279</v>
      </c>
      <c r="D50" s="2">
        <v>0.71646341463414631</v>
      </c>
      <c r="E50" s="2">
        <v>1.8390390166130869E-43</v>
      </c>
      <c r="F50" s="2">
        <v>1</v>
      </c>
      <c r="G50" s="2">
        <v>3.6780780332261738E-43</v>
      </c>
      <c r="H50" s="2">
        <v>0</v>
      </c>
      <c r="I50" s="2">
        <v>1</v>
      </c>
      <c r="J50" s="2">
        <v>0</v>
      </c>
      <c r="K50" s="2" t="s">
        <v>1</v>
      </c>
    </row>
    <row r="51" spans="1:11" x14ac:dyDescent="0.35">
      <c r="A51" s="2" t="s">
        <v>61</v>
      </c>
      <c r="B51" s="2">
        <v>274</v>
      </c>
      <c r="C51" s="2">
        <v>710</v>
      </c>
      <c r="D51" s="2">
        <v>0.27845528455284552</v>
      </c>
      <c r="E51" s="2">
        <v>1</v>
      </c>
      <c r="F51" s="2">
        <v>1.6591028541597021E-45</v>
      </c>
      <c r="G51" s="2">
        <v>3.3182057083194042E-45</v>
      </c>
      <c r="H51" s="2">
        <v>1</v>
      </c>
      <c r="I51" s="2">
        <v>3.2039016499712532E-44</v>
      </c>
      <c r="J51" s="2">
        <v>0</v>
      </c>
      <c r="K51" s="2" t="s">
        <v>2</v>
      </c>
    </row>
    <row r="52" spans="1:11" x14ac:dyDescent="0.35">
      <c r="A52" s="2" t="s">
        <v>62</v>
      </c>
      <c r="B52" s="2">
        <v>225</v>
      </c>
      <c r="C52" s="2">
        <v>759</v>
      </c>
      <c r="D52" s="2">
        <v>0.22865853658536589</v>
      </c>
      <c r="E52" s="2">
        <v>1</v>
      </c>
      <c r="F52" s="2">
        <v>1.5210096663140131E-68</v>
      </c>
      <c r="G52" s="2">
        <v>3.0420193326280261E-68</v>
      </c>
      <c r="H52" s="2">
        <v>1</v>
      </c>
      <c r="I52" s="2">
        <v>2.7586645094094632E-65</v>
      </c>
      <c r="J52" s="2">
        <v>0</v>
      </c>
      <c r="K52" s="2" t="s">
        <v>2</v>
      </c>
    </row>
    <row r="53" spans="1:11" x14ac:dyDescent="0.35">
      <c r="A53" s="2" t="s">
        <v>63</v>
      </c>
      <c r="B53" s="2">
        <v>358</v>
      </c>
      <c r="C53" s="2">
        <v>626</v>
      </c>
      <c r="D53" s="2">
        <v>0.36382113821138212</v>
      </c>
      <c r="E53" s="2">
        <v>1</v>
      </c>
      <c r="F53" s="2">
        <v>5.4239885053764207E-18</v>
      </c>
      <c r="G53" s="2">
        <v>1.084797701075284E-17</v>
      </c>
      <c r="H53" s="2">
        <v>1</v>
      </c>
      <c r="I53" s="2">
        <v>6.5092502548255929E-18</v>
      </c>
      <c r="J53" s="2">
        <v>0</v>
      </c>
      <c r="K53" s="2" t="s">
        <v>2</v>
      </c>
    </row>
    <row r="54" spans="1:11" x14ac:dyDescent="0.35">
      <c r="A54" s="2" t="s">
        <v>64</v>
      </c>
      <c r="B54" s="2">
        <v>207</v>
      </c>
      <c r="C54" s="2">
        <v>777</v>
      </c>
      <c r="D54" s="2">
        <v>0.21036585365853661</v>
      </c>
      <c r="E54" s="2">
        <v>1</v>
      </c>
      <c r="F54" s="2">
        <v>1.8142314102217739E-78</v>
      </c>
      <c r="G54" s="2">
        <v>3.6284628204435492E-78</v>
      </c>
      <c r="H54" s="2">
        <v>1</v>
      </c>
      <c r="I54" s="2">
        <v>4.3844557123923438E-74</v>
      </c>
      <c r="J54" s="2">
        <v>0</v>
      </c>
      <c r="K54" s="2" t="s">
        <v>2</v>
      </c>
    </row>
    <row r="55" spans="1:11" x14ac:dyDescent="0.35">
      <c r="A55" s="2" t="s">
        <v>65</v>
      </c>
      <c r="B55" s="2">
        <v>272</v>
      </c>
      <c r="C55" s="2">
        <v>712</v>
      </c>
      <c r="D55" s="2">
        <v>0.27642276422764228</v>
      </c>
      <c r="E55" s="2">
        <v>1</v>
      </c>
      <c r="F55" s="2">
        <v>2.436258105863215E-46</v>
      </c>
      <c r="G55" s="2">
        <v>4.8725162117264309E-46</v>
      </c>
      <c r="H55" s="2">
        <v>1</v>
      </c>
      <c r="I55" s="2">
        <v>5.3517601604816148E-45</v>
      </c>
      <c r="J55" s="2">
        <v>0</v>
      </c>
      <c r="K55" s="2" t="s">
        <v>2</v>
      </c>
    </row>
    <row r="56" spans="1:11" x14ac:dyDescent="0.35">
      <c r="A56" s="2" t="s">
        <v>66</v>
      </c>
      <c r="B56" s="2">
        <v>331</v>
      </c>
      <c r="C56" s="2">
        <v>653</v>
      </c>
      <c r="D56" s="2">
        <v>0.3363821138211382</v>
      </c>
      <c r="E56" s="2">
        <v>1</v>
      </c>
      <c r="F56" s="2">
        <v>2.670228053538328E-25</v>
      </c>
      <c r="G56" s="2">
        <v>5.340456107076657E-25</v>
      </c>
      <c r="H56" s="2">
        <v>1</v>
      </c>
      <c r="I56" s="2">
        <v>5.0668319244272754E-25</v>
      </c>
      <c r="J56" s="2">
        <v>0</v>
      </c>
      <c r="K56" s="2" t="s">
        <v>2</v>
      </c>
    </row>
    <row r="57" spans="1:11" x14ac:dyDescent="0.35">
      <c r="A57" s="2" t="s">
        <v>67</v>
      </c>
      <c r="B57" s="2">
        <v>493</v>
      </c>
      <c r="C57" s="2">
        <v>491</v>
      </c>
      <c r="D57" s="2">
        <v>0.50101626016260159</v>
      </c>
      <c r="E57" s="2">
        <v>0.51271458465071473</v>
      </c>
      <c r="F57" s="2">
        <v>0.51271458465071473</v>
      </c>
      <c r="G57" s="2">
        <v>1</v>
      </c>
      <c r="H57" s="2">
        <v>0.47458159152542212</v>
      </c>
      <c r="I57" s="2">
        <v>0.52541840847457788</v>
      </c>
      <c r="J57" s="2">
        <v>0.94916318305084424</v>
      </c>
      <c r="K57" s="2" t="s">
        <v>12</v>
      </c>
    </row>
    <row r="58" spans="1:11" x14ac:dyDescent="0.35">
      <c r="A58" s="2" t="s">
        <v>68</v>
      </c>
      <c r="B58" s="2">
        <v>539</v>
      </c>
      <c r="C58" s="2">
        <v>445</v>
      </c>
      <c r="D58" s="2">
        <v>0.54776422764227639</v>
      </c>
      <c r="E58" s="2">
        <v>1.5051032699417129E-3</v>
      </c>
      <c r="F58" s="2">
        <v>0.99877962679942434</v>
      </c>
      <c r="G58" s="2">
        <v>3.0102065398834271E-3</v>
      </c>
      <c r="H58" s="2">
        <v>1.3649961565889159E-3</v>
      </c>
      <c r="I58" s="2">
        <v>0.99863500384341108</v>
      </c>
      <c r="J58" s="2">
        <v>2.729992313177831E-3</v>
      </c>
      <c r="K58" s="2" t="s">
        <v>1</v>
      </c>
    </row>
    <row r="59" spans="1:11" x14ac:dyDescent="0.35">
      <c r="A59" s="2" t="s">
        <v>69</v>
      </c>
      <c r="B59" s="2">
        <v>250</v>
      </c>
      <c r="C59" s="2">
        <v>734</v>
      </c>
      <c r="D59" s="2">
        <v>0.25406504065040653</v>
      </c>
      <c r="E59" s="2">
        <v>1</v>
      </c>
      <c r="F59" s="2">
        <v>4.2965263759612453E-56</v>
      </c>
      <c r="G59" s="2">
        <v>8.5930527519224906E-56</v>
      </c>
      <c r="H59" s="2">
        <v>1</v>
      </c>
      <c r="I59" s="2">
        <v>5.1950533597932512E-54</v>
      </c>
      <c r="J59" s="2">
        <v>0</v>
      </c>
      <c r="K59" s="2" t="s">
        <v>2</v>
      </c>
    </row>
    <row r="60" spans="1:11" x14ac:dyDescent="0.35">
      <c r="A60" s="2" t="s">
        <v>70</v>
      </c>
      <c r="B60" s="2">
        <v>739</v>
      </c>
      <c r="C60" s="2">
        <v>245</v>
      </c>
      <c r="D60" s="2">
        <v>0.75101626016260159</v>
      </c>
      <c r="E60" s="2">
        <v>1.8286385994450381E-58</v>
      </c>
      <c r="F60" s="2">
        <v>1</v>
      </c>
      <c r="G60" s="2">
        <v>3.6572771988900762E-58</v>
      </c>
      <c r="H60" s="2">
        <v>0</v>
      </c>
      <c r="I60" s="2">
        <v>1</v>
      </c>
      <c r="J60" s="2">
        <v>0</v>
      </c>
      <c r="K60" s="2" t="s">
        <v>1</v>
      </c>
    </row>
    <row r="61" spans="1:11" x14ac:dyDescent="0.35">
      <c r="A61" s="2" t="s">
        <v>71</v>
      </c>
      <c r="B61" s="2">
        <v>687</v>
      </c>
      <c r="C61" s="2">
        <v>297</v>
      </c>
      <c r="D61" s="2">
        <v>0.69817073170731703</v>
      </c>
      <c r="E61" s="2">
        <v>1.5217922657198371E-36</v>
      </c>
      <c r="F61" s="2">
        <v>1</v>
      </c>
      <c r="G61" s="2">
        <v>3.0435845314396742E-36</v>
      </c>
      <c r="H61" s="2">
        <v>0</v>
      </c>
      <c r="I61" s="2">
        <v>1</v>
      </c>
      <c r="J61" s="2">
        <v>0</v>
      </c>
      <c r="K61" s="2" t="s">
        <v>1</v>
      </c>
    </row>
    <row r="62" spans="1:11" x14ac:dyDescent="0.35">
      <c r="A62" s="2" t="s">
        <v>72</v>
      </c>
      <c r="B62" s="2">
        <v>19</v>
      </c>
      <c r="C62" s="2">
        <v>965</v>
      </c>
      <c r="D62" s="2">
        <v>1.9308943089430899E-2</v>
      </c>
      <c r="E62" s="2">
        <v>1</v>
      </c>
      <c r="F62" s="2">
        <v>3.169311550167285E-257</v>
      </c>
      <c r="G62" s="2">
        <v>6.3386231003345699E-257</v>
      </c>
      <c r="H62" s="2">
        <v>1</v>
      </c>
      <c r="I62" s="2">
        <v>4.2922628698790149E-200</v>
      </c>
      <c r="J62" s="2">
        <v>0</v>
      </c>
      <c r="K62" s="2" t="s">
        <v>2</v>
      </c>
    </row>
    <row r="63" spans="1:11" x14ac:dyDescent="0.35">
      <c r="A63" s="2" t="s">
        <v>73</v>
      </c>
      <c r="B63" s="2">
        <v>175</v>
      </c>
      <c r="C63" s="2">
        <v>809</v>
      </c>
      <c r="D63" s="2">
        <v>0.17784552845528459</v>
      </c>
      <c r="E63" s="2">
        <v>1</v>
      </c>
      <c r="F63" s="2">
        <v>2.876284721396155E-98</v>
      </c>
      <c r="G63" s="2">
        <v>5.7525694427923113E-98</v>
      </c>
      <c r="H63" s="2">
        <v>1</v>
      </c>
      <c r="I63" s="2">
        <v>3.9028253483067048E-91</v>
      </c>
      <c r="J63" s="2">
        <v>0</v>
      </c>
      <c r="K63" s="2" t="s">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63"/>
  <sheetViews>
    <sheetView workbookViewId="0"/>
  </sheetViews>
  <sheetFormatPr defaultRowHeight="14.5" x14ac:dyDescent="0.35"/>
  <cols>
    <col min="1" max="1" width="25" customWidth="1"/>
    <col min="2" max="3" width="22" customWidth="1"/>
    <col min="4" max="4" width="36" customWidth="1"/>
    <col min="5" max="6" width="29" customWidth="1"/>
    <col min="7" max="7" width="30" customWidth="1"/>
    <col min="8" max="9" width="27" customWidth="1"/>
    <col min="10" max="10" width="28" customWidth="1"/>
    <col min="11" max="11" width="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v>809</v>
      </c>
      <c r="C2" s="2">
        <v>824</v>
      </c>
      <c r="D2" s="2">
        <v>0.49540722596448261</v>
      </c>
      <c r="E2" s="2">
        <v>0.6539182261478429</v>
      </c>
      <c r="F2" s="2">
        <v>0.36450981315316999</v>
      </c>
      <c r="G2" s="2">
        <v>0.7290196263063401</v>
      </c>
      <c r="H2" s="2">
        <v>0.64475259402999296</v>
      </c>
      <c r="I2" s="2">
        <v>0.35524740597000709</v>
      </c>
      <c r="J2" s="2">
        <v>0.71049481194001407</v>
      </c>
      <c r="K2" s="2" t="s">
        <v>12</v>
      </c>
    </row>
    <row r="3" spans="1:11" x14ac:dyDescent="0.35">
      <c r="A3" s="2" t="s">
        <v>13</v>
      </c>
      <c r="B3" s="2">
        <v>778</v>
      </c>
      <c r="C3" s="2">
        <v>855</v>
      </c>
      <c r="D3" s="2">
        <v>0.47642375995101038</v>
      </c>
      <c r="E3" s="2">
        <v>0.97322538089809185</v>
      </c>
      <c r="F3" s="2">
        <v>2.998950691762162E-2</v>
      </c>
      <c r="G3" s="2">
        <v>5.997901383524324E-2</v>
      </c>
      <c r="H3" s="2">
        <v>0.97163922104287637</v>
      </c>
      <c r="I3" s="2">
        <v>2.8360778957123661E-2</v>
      </c>
      <c r="J3" s="2">
        <v>5.6721557914247267E-2</v>
      </c>
      <c r="K3" s="2" t="s">
        <v>2</v>
      </c>
    </row>
    <row r="4" spans="1:11" x14ac:dyDescent="0.35">
      <c r="A4" s="2" t="s">
        <v>14</v>
      </c>
      <c r="B4" s="2">
        <v>691</v>
      </c>
      <c r="C4" s="2">
        <v>942</v>
      </c>
      <c r="D4" s="2">
        <v>0.42314758113900802</v>
      </c>
      <c r="E4" s="2">
        <v>0.99999999979237009</v>
      </c>
      <c r="F4" s="2">
        <v>2.8520920080195801E-10</v>
      </c>
      <c r="G4" s="2">
        <v>5.7041840160391591E-10</v>
      </c>
      <c r="H4" s="2">
        <v>0.99999999973721487</v>
      </c>
      <c r="I4" s="2">
        <v>2.627850973028444E-10</v>
      </c>
      <c r="J4" s="2">
        <v>5.2557025398414225E-10</v>
      </c>
      <c r="K4" s="2" t="s">
        <v>2</v>
      </c>
    </row>
    <row r="5" spans="1:11" x14ac:dyDescent="0.35">
      <c r="A5" s="2" t="s">
        <v>15</v>
      </c>
      <c r="B5" s="2">
        <v>510</v>
      </c>
      <c r="C5" s="2">
        <v>1123</v>
      </c>
      <c r="D5" s="2">
        <v>0.31230863441518669</v>
      </c>
      <c r="E5" s="2">
        <v>1</v>
      </c>
      <c r="F5" s="2">
        <v>1.079163552591287E-53</v>
      </c>
      <c r="G5" s="2">
        <v>2.158327105182574E-53</v>
      </c>
      <c r="H5" s="2">
        <v>1</v>
      </c>
      <c r="I5" s="2">
        <v>2.821029210377705E-52</v>
      </c>
      <c r="J5" s="2">
        <v>0</v>
      </c>
      <c r="K5" s="2" t="s">
        <v>2</v>
      </c>
    </row>
    <row r="6" spans="1:11" x14ac:dyDescent="0.35">
      <c r="A6" s="2" t="s">
        <v>16</v>
      </c>
      <c r="B6" s="2">
        <v>480</v>
      </c>
      <c r="C6" s="2">
        <v>1153</v>
      </c>
      <c r="D6" s="2">
        <v>0.29393753827311703</v>
      </c>
      <c r="E6" s="2">
        <v>1</v>
      </c>
      <c r="F6" s="2">
        <v>3.2222359180201993E-64</v>
      </c>
      <c r="G6" s="2">
        <v>6.4444718360403973E-64</v>
      </c>
      <c r="H6" s="2">
        <v>1</v>
      </c>
      <c r="I6" s="2">
        <v>1.412086954303498E-62</v>
      </c>
      <c r="J6" s="2">
        <v>0</v>
      </c>
      <c r="K6" s="2" t="s">
        <v>2</v>
      </c>
    </row>
    <row r="7" spans="1:11" x14ac:dyDescent="0.35">
      <c r="A7" s="2" t="s">
        <v>17</v>
      </c>
      <c r="B7" s="2">
        <v>585</v>
      </c>
      <c r="C7" s="2">
        <v>1048</v>
      </c>
      <c r="D7" s="2">
        <v>0.3582363747703613</v>
      </c>
      <c r="E7" s="2">
        <v>1</v>
      </c>
      <c r="F7" s="2">
        <v>5.8301162638677667E-31</v>
      </c>
      <c r="G7" s="2">
        <v>1.166023252773553E-30</v>
      </c>
      <c r="H7" s="2">
        <v>1</v>
      </c>
      <c r="I7" s="2">
        <v>1.0788956387877641E-30</v>
      </c>
      <c r="J7" s="2">
        <v>0</v>
      </c>
      <c r="K7" s="2" t="s">
        <v>2</v>
      </c>
    </row>
    <row r="8" spans="1:11" x14ac:dyDescent="0.35">
      <c r="A8" s="2" t="s">
        <v>18</v>
      </c>
      <c r="B8" s="2">
        <v>981</v>
      </c>
      <c r="C8" s="2">
        <v>652</v>
      </c>
      <c r="D8" s="2">
        <v>0.60073484384568276</v>
      </c>
      <c r="E8" s="2">
        <v>1.9122089432156339E-16</v>
      </c>
      <c r="F8" s="2">
        <v>0.99999999999999989</v>
      </c>
      <c r="G8" s="2">
        <v>3.8244178864312688E-16</v>
      </c>
      <c r="H8" s="2">
        <v>2.2204460492503131E-16</v>
      </c>
      <c r="I8" s="2">
        <v>0.99999999999999978</v>
      </c>
      <c r="J8" s="2">
        <v>4.4408920985006262E-16</v>
      </c>
      <c r="K8" s="2" t="s">
        <v>1</v>
      </c>
    </row>
    <row r="9" spans="1:11" x14ac:dyDescent="0.35">
      <c r="A9" s="2" t="s">
        <v>19</v>
      </c>
      <c r="B9" s="2">
        <v>814</v>
      </c>
      <c r="C9" s="2">
        <v>819</v>
      </c>
      <c r="D9" s="2">
        <v>0.4984690753214942</v>
      </c>
      <c r="E9" s="2">
        <v>0.55901376723676344</v>
      </c>
      <c r="F9" s="2">
        <v>0.46057730251719892</v>
      </c>
      <c r="G9" s="2">
        <v>0.92115460503439783</v>
      </c>
      <c r="H9" s="2">
        <v>0.54923568539407674</v>
      </c>
      <c r="I9" s="2">
        <v>0.45076431460592331</v>
      </c>
      <c r="J9" s="2">
        <v>0.90152862921184651</v>
      </c>
      <c r="K9" s="2" t="s">
        <v>12</v>
      </c>
    </row>
    <row r="10" spans="1:11" x14ac:dyDescent="0.35">
      <c r="A10" s="2" t="s">
        <v>20</v>
      </c>
      <c r="B10" s="2">
        <v>841</v>
      </c>
      <c r="C10" s="2">
        <v>792</v>
      </c>
      <c r="D10" s="2">
        <v>0.51500306184935696</v>
      </c>
      <c r="E10" s="2">
        <v>0.12748966132940071</v>
      </c>
      <c r="F10" s="2">
        <v>0.88255139218429346</v>
      </c>
      <c r="G10" s="2">
        <v>0.25497932265880152</v>
      </c>
      <c r="H10" s="2">
        <v>0.1126491783846143</v>
      </c>
      <c r="I10" s="2">
        <v>0.8873508216153857</v>
      </c>
      <c r="J10" s="2">
        <v>0.2252983567692286</v>
      </c>
      <c r="K10" s="2" t="s">
        <v>12</v>
      </c>
    </row>
    <row r="11" spans="1:11" x14ac:dyDescent="0.35">
      <c r="A11" s="2" t="s">
        <v>21</v>
      </c>
      <c r="B11" s="2">
        <v>800</v>
      </c>
      <c r="C11" s="2">
        <v>833</v>
      </c>
      <c r="D11" s="2">
        <v>0.4898958971218616</v>
      </c>
      <c r="E11" s="2">
        <v>0.79992548450673084</v>
      </c>
      <c r="F11" s="2">
        <v>0.21422105220181359</v>
      </c>
      <c r="G11" s="2">
        <v>0.42844210440362729</v>
      </c>
      <c r="H11" s="2">
        <v>0.79292763800061294</v>
      </c>
      <c r="I11" s="2">
        <v>0.207072361999387</v>
      </c>
      <c r="J11" s="2">
        <v>0.41414472399877411</v>
      </c>
      <c r="K11" s="2" t="s">
        <v>12</v>
      </c>
    </row>
    <row r="12" spans="1:11" x14ac:dyDescent="0.35">
      <c r="A12" s="2" t="s">
        <v>22</v>
      </c>
      <c r="B12" s="2">
        <v>768</v>
      </c>
      <c r="C12" s="2">
        <v>865</v>
      </c>
      <c r="D12" s="2">
        <v>0.47030006123698709</v>
      </c>
      <c r="E12" s="2">
        <v>0.99236104546294235</v>
      </c>
      <c r="F12" s="2">
        <v>8.746227021178405E-3</v>
      </c>
      <c r="G12" s="2">
        <v>1.749245404235681E-2</v>
      </c>
      <c r="H12" s="2">
        <v>0.9918108022226978</v>
      </c>
      <c r="I12" s="2">
        <v>8.1891977773022578E-3</v>
      </c>
      <c r="J12" s="2">
        <v>1.6378395554604411E-2</v>
      </c>
      <c r="K12" s="2" t="s">
        <v>2</v>
      </c>
    </row>
    <row r="13" spans="1:11" x14ac:dyDescent="0.35">
      <c r="A13" s="2" t="s">
        <v>23</v>
      </c>
      <c r="B13" s="2">
        <v>510</v>
      </c>
      <c r="C13" s="2">
        <v>1123</v>
      </c>
      <c r="D13" s="2">
        <v>0.31230863441518669</v>
      </c>
      <c r="E13" s="2">
        <v>1</v>
      </c>
      <c r="F13" s="2">
        <v>1.079163552591287E-53</v>
      </c>
      <c r="G13" s="2">
        <v>2.158327105182574E-53</v>
      </c>
      <c r="H13" s="2">
        <v>1</v>
      </c>
      <c r="I13" s="2">
        <v>2.821029210377705E-52</v>
      </c>
      <c r="J13" s="2">
        <v>0</v>
      </c>
      <c r="K13" s="2" t="s">
        <v>2</v>
      </c>
    </row>
    <row r="14" spans="1:11" x14ac:dyDescent="0.35">
      <c r="A14" s="2" t="s">
        <v>24</v>
      </c>
      <c r="B14" s="2">
        <v>1235</v>
      </c>
      <c r="C14" s="2">
        <v>398</v>
      </c>
      <c r="D14" s="2">
        <v>0.75627679118187385</v>
      </c>
      <c r="E14" s="2">
        <v>6.1984441124480788E-100</v>
      </c>
      <c r="F14" s="2">
        <v>1</v>
      </c>
      <c r="G14" s="2">
        <v>1.239688822489616E-99</v>
      </c>
      <c r="H14" s="2">
        <v>0</v>
      </c>
      <c r="I14" s="2">
        <v>1</v>
      </c>
      <c r="J14" s="2">
        <v>0</v>
      </c>
      <c r="K14" s="2" t="s">
        <v>1</v>
      </c>
    </row>
    <row r="15" spans="1:11" x14ac:dyDescent="0.35">
      <c r="A15" s="2" t="s">
        <v>25</v>
      </c>
      <c r="B15" s="2">
        <v>644</v>
      </c>
      <c r="C15" s="2">
        <v>989</v>
      </c>
      <c r="D15" s="2">
        <v>0.39436619718309862</v>
      </c>
      <c r="E15" s="2">
        <v>1</v>
      </c>
      <c r="F15" s="2">
        <v>6.4707186971981602E-18</v>
      </c>
      <c r="G15" s="2">
        <v>1.294143739439632E-17</v>
      </c>
      <c r="H15" s="2">
        <v>1</v>
      </c>
      <c r="I15" s="2">
        <v>6.8633489336586532E-18</v>
      </c>
      <c r="J15" s="2">
        <v>0</v>
      </c>
      <c r="K15" s="2" t="s">
        <v>2</v>
      </c>
    </row>
    <row r="16" spans="1:11" x14ac:dyDescent="0.35">
      <c r="A16" s="2" t="s">
        <v>26</v>
      </c>
      <c r="B16" s="2">
        <v>790</v>
      </c>
      <c r="C16" s="2">
        <v>843</v>
      </c>
      <c r="D16" s="2">
        <v>0.48377219840783842</v>
      </c>
      <c r="E16" s="2">
        <v>0.90928146986663116</v>
      </c>
      <c r="F16" s="2">
        <v>9.9074915735792454E-2</v>
      </c>
      <c r="G16" s="2">
        <v>0.19814983147158491</v>
      </c>
      <c r="H16" s="2">
        <v>0.90516293602260378</v>
      </c>
      <c r="I16" s="2">
        <v>9.4837063977396219E-2</v>
      </c>
      <c r="J16" s="2">
        <v>0.18967412795479241</v>
      </c>
      <c r="K16" s="2" t="s">
        <v>12</v>
      </c>
    </row>
    <row r="17" spans="1:11" x14ac:dyDescent="0.35">
      <c r="A17" s="2" t="s">
        <v>27</v>
      </c>
      <c r="B17" s="2">
        <v>898</v>
      </c>
      <c r="C17" s="2">
        <v>735</v>
      </c>
      <c r="D17" s="2">
        <v>0.5499081445192896</v>
      </c>
      <c r="E17" s="2">
        <v>3.7107342338206288E-5</v>
      </c>
      <c r="F17" s="2">
        <v>0.99996989211973886</v>
      </c>
      <c r="G17" s="2">
        <v>7.4214684676412589E-5</v>
      </c>
      <c r="H17" s="2">
        <v>2.7462566099645261E-5</v>
      </c>
      <c r="I17" s="2">
        <v>0.99997253743390035</v>
      </c>
      <c r="J17" s="2">
        <v>5.4925132199290523E-5</v>
      </c>
      <c r="K17" s="2" t="s">
        <v>1</v>
      </c>
    </row>
    <row r="18" spans="1:11" x14ac:dyDescent="0.35">
      <c r="A18" s="2" t="s">
        <v>28</v>
      </c>
      <c r="B18" s="2">
        <v>685</v>
      </c>
      <c r="C18" s="2">
        <v>948</v>
      </c>
      <c r="D18" s="2">
        <v>0.41947336191059398</v>
      </c>
      <c r="E18" s="2">
        <v>0.99999999997064792</v>
      </c>
      <c r="F18" s="2">
        <v>4.0918414440758531E-11</v>
      </c>
      <c r="G18" s="2">
        <v>8.183682888151705E-11</v>
      </c>
      <c r="H18" s="2">
        <v>0.99999999996197841</v>
      </c>
      <c r="I18" s="2">
        <v>3.8021612174152023E-11</v>
      </c>
      <c r="J18" s="2">
        <v>7.6043171759465622E-11</v>
      </c>
      <c r="K18" s="2" t="s">
        <v>2</v>
      </c>
    </row>
    <row r="19" spans="1:11" x14ac:dyDescent="0.35">
      <c r="A19" s="2" t="s">
        <v>29</v>
      </c>
      <c r="B19" s="2">
        <v>938</v>
      </c>
      <c r="C19" s="2">
        <v>695</v>
      </c>
      <c r="D19" s="2">
        <v>0.57440293937538278</v>
      </c>
      <c r="E19" s="2">
        <v>9.908638426627136E-10</v>
      </c>
      <c r="F19" s="2">
        <v>0.99999999927155558</v>
      </c>
      <c r="G19" s="2">
        <v>1.9817276853254272E-9</v>
      </c>
      <c r="H19" s="2">
        <v>9.0889673565186513E-10</v>
      </c>
      <c r="I19" s="2">
        <v>0.99999999909110326</v>
      </c>
      <c r="J19" s="2">
        <v>1.8177934713037301E-9</v>
      </c>
      <c r="K19" s="2" t="s">
        <v>1</v>
      </c>
    </row>
    <row r="20" spans="1:11" x14ac:dyDescent="0.35">
      <c r="A20" s="2" t="s">
        <v>30</v>
      </c>
      <c r="B20" s="2">
        <v>809</v>
      </c>
      <c r="C20" s="2">
        <v>824</v>
      </c>
      <c r="D20" s="2">
        <v>0.49540722596448261</v>
      </c>
      <c r="E20" s="2">
        <v>0.6539182261478429</v>
      </c>
      <c r="F20" s="2">
        <v>0.36450981315316999</v>
      </c>
      <c r="G20" s="2">
        <v>0.7290196263063401</v>
      </c>
      <c r="H20" s="2">
        <v>0.64475259402999296</v>
      </c>
      <c r="I20" s="2">
        <v>0.35524740597000709</v>
      </c>
      <c r="J20" s="2">
        <v>0.71049481194001407</v>
      </c>
      <c r="K20" s="2" t="s">
        <v>12</v>
      </c>
    </row>
    <row r="21" spans="1:11" x14ac:dyDescent="0.35">
      <c r="A21" s="2" t="s">
        <v>31</v>
      </c>
      <c r="B21" s="2">
        <v>867</v>
      </c>
      <c r="C21" s="2">
        <v>766</v>
      </c>
      <c r="D21" s="2">
        <v>0.53092467850581748</v>
      </c>
      <c r="E21" s="2">
        <v>6.6569854056430112E-3</v>
      </c>
      <c r="F21" s="2">
        <v>0.99421172315698081</v>
      </c>
      <c r="G21" s="2">
        <v>1.3313970811286021E-2</v>
      </c>
      <c r="H21" s="2">
        <v>6.2209463336887483E-3</v>
      </c>
      <c r="I21" s="2">
        <v>0.99377905366631125</v>
      </c>
      <c r="J21" s="2">
        <v>1.24418926673775E-2</v>
      </c>
      <c r="K21" s="2" t="s">
        <v>1</v>
      </c>
    </row>
    <row r="22" spans="1:11" x14ac:dyDescent="0.35">
      <c r="A22" s="2" t="s">
        <v>32</v>
      </c>
      <c r="B22" s="2">
        <v>884</v>
      </c>
      <c r="C22" s="2">
        <v>749</v>
      </c>
      <c r="D22" s="2">
        <v>0.54133496631965705</v>
      </c>
      <c r="E22" s="2">
        <v>4.5385173808198991E-4</v>
      </c>
      <c r="F22" s="2">
        <v>0.99962038895999206</v>
      </c>
      <c r="G22" s="2">
        <v>9.0770347616397982E-4</v>
      </c>
      <c r="H22" s="2">
        <v>4.1780030818916458E-4</v>
      </c>
      <c r="I22" s="2">
        <v>0.99958219969181084</v>
      </c>
      <c r="J22" s="2">
        <v>8.3560061637832916E-4</v>
      </c>
      <c r="K22" s="2" t="s">
        <v>1</v>
      </c>
    </row>
    <row r="23" spans="1:11" x14ac:dyDescent="0.35">
      <c r="A23" s="2" t="s">
        <v>33</v>
      </c>
      <c r="B23" s="2">
        <v>828</v>
      </c>
      <c r="C23" s="2">
        <v>805</v>
      </c>
      <c r="D23" s="2">
        <v>0.50704225352112675</v>
      </c>
      <c r="E23" s="2">
        <v>0.29308490894709688</v>
      </c>
      <c r="F23" s="2">
        <v>0.72370613686326046</v>
      </c>
      <c r="G23" s="2">
        <v>0.58616981789419387</v>
      </c>
      <c r="H23" s="2">
        <v>0.28462361581175383</v>
      </c>
      <c r="I23" s="2">
        <v>0.71537638418824623</v>
      </c>
      <c r="J23" s="2">
        <v>0.56924723162350754</v>
      </c>
      <c r="K23" s="2" t="s">
        <v>12</v>
      </c>
    </row>
    <row r="24" spans="1:11" x14ac:dyDescent="0.35">
      <c r="A24" s="2" t="s">
        <v>34</v>
      </c>
      <c r="B24" s="2">
        <v>930</v>
      </c>
      <c r="C24" s="2">
        <v>703</v>
      </c>
      <c r="D24" s="2">
        <v>0.56950398040416417</v>
      </c>
      <c r="E24" s="2">
        <v>1.0636167672362871E-8</v>
      </c>
      <c r="F24" s="2">
        <v>0.99999999202662226</v>
      </c>
      <c r="G24" s="2">
        <v>2.1272335344725731E-8</v>
      </c>
      <c r="H24" s="2">
        <v>9.6944900995765693E-9</v>
      </c>
      <c r="I24" s="2">
        <v>0.9999999903055099</v>
      </c>
      <c r="J24" s="2">
        <v>1.9388980199153139E-8</v>
      </c>
      <c r="K24" s="2" t="s">
        <v>1</v>
      </c>
    </row>
    <row r="25" spans="1:11" x14ac:dyDescent="0.35">
      <c r="A25" s="2" t="s">
        <v>35</v>
      </c>
      <c r="B25" s="2">
        <v>819</v>
      </c>
      <c r="C25" s="2">
        <v>814</v>
      </c>
      <c r="D25" s="2">
        <v>0.5015309246785058</v>
      </c>
      <c r="E25" s="2">
        <v>0.46057730251719892</v>
      </c>
      <c r="F25" s="2">
        <v>0.55901376723676344</v>
      </c>
      <c r="G25" s="2">
        <v>0.92115460503439783</v>
      </c>
      <c r="H25" s="2">
        <v>0.45076431460592331</v>
      </c>
      <c r="I25" s="2">
        <v>0.54923568539407674</v>
      </c>
      <c r="J25" s="2">
        <v>0.90152862921184651</v>
      </c>
      <c r="K25" s="2" t="s">
        <v>12</v>
      </c>
    </row>
    <row r="26" spans="1:11" x14ac:dyDescent="0.35">
      <c r="A26" s="2" t="s">
        <v>36</v>
      </c>
      <c r="B26" s="2">
        <v>769</v>
      </c>
      <c r="C26" s="2">
        <v>864</v>
      </c>
      <c r="D26" s="2">
        <v>0.47091243110838948</v>
      </c>
      <c r="E26" s="2">
        <v>0.99125377297882156</v>
      </c>
      <c r="F26" s="2">
        <v>9.9917285800402017E-3</v>
      </c>
      <c r="G26" s="2">
        <v>1.99834571600804E-2</v>
      </c>
      <c r="H26" s="2">
        <v>0.99063547060362467</v>
      </c>
      <c r="I26" s="2">
        <v>9.3645293963752849E-3</v>
      </c>
      <c r="J26" s="2">
        <v>1.872905879275066E-2</v>
      </c>
      <c r="K26" s="2" t="s">
        <v>2</v>
      </c>
    </row>
    <row r="27" spans="1:11" x14ac:dyDescent="0.35">
      <c r="A27" s="2" t="s">
        <v>37</v>
      </c>
      <c r="B27" s="2">
        <v>760</v>
      </c>
      <c r="C27" s="2">
        <v>873</v>
      </c>
      <c r="D27" s="2">
        <v>0.46540110226576847</v>
      </c>
      <c r="E27" s="2">
        <v>0.99761418592448126</v>
      </c>
      <c r="F27" s="2">
        <v>2.7812846673214439E-3</v>
      </c>
      <c r="G27" s="2">
        <v>5.5625693346428879E-3</v>
      </c>
      <c r="H27" s="2">
        <v>0.99741551212917279</v>
      </c>
      <c r="I27" s="2">
        <v>2.5844878708271971E-3</v>
      </c>
      <c r="J27" s="2">
        <v>5.1689757416544246E-3</v>
      </c>
      <c r="K27" s="2" t="s">
        <v>2</v>
      </c>
    </row>
    <row r="28" spans="1:11" x14ac:dyDescent="0.35">
      <c r="A28" s="2" t="s">
        <v>38</v>
      </c>
      <c r="B28" s="2">
        <v>746</v>
      </c>
      <c r="C28" s="2">
        <v>887</v>
      </c>
      <c r="D28" s="2">
        <v>0.45682792406613593</v>
      </c>
      <c r="E28" s="2">
        <v>0.99978093944285029</v>
      </c>
      <c r="F28" s="2">
        <v>2.6373359144955978E-4</v>
      </c>
      <c r="G28" s="2">
        <v>5.2746718289911967E-4</v>
      </c>
      <c r="H28" s="2">
        <v>0.99975776687787021</v>
      </c>
      <c r="I28" s="2">
        <v>2.4223312212975459E-4</v>
      </c>
      <c r="J28" s="2">
        <v>4.8446624425957369E-4</v>
      </c>
      <c r="K28" s="2" t="s">
        <v>2</v>
      </c>
    </row>
    <row r="29" spans="1:11" x14ac:dyDescent="0.35">
      <c r="A29" s="2" t="s">
        <v>39</v>
      </c>
      <c r="B29" s="2">
        <v>958</v>
      </c>
      <c r="C29" s="2">
        <v>675</v>
      </c>
      <c r="D29" s="2">
        <v>0.58665033680342926</v>
      </c>
      <c r="E29" s="2">
        <v>1.3208770367791271E-12</v>
      </c>
      <c r="F29" s="2">
        <v>0.99999999999907563</v>
      </c>
      <c r="G29" s="2">
        <v>2.6417540735582549E-12</v>
      </c>
      <c r="H29" s="2">
        <v>1.2513323710550139E-12</v>
      </c>
      <c r="I29" s="2">
        <v>0.99999999999874867</v>
      </c>
      <c r="J29" s="2">
        <v>2.5026647421100279E-12</v>
      </c>
      <c r="K29" s="2" t="s">
        <v>1</v>
      </c>
    </row>
    <row r="30" spans="1:11" x14ac:dyDescent="0.35">
      <c r="A30" s="2" t="s">
        <v>40</v>
      </c>
      <c r="B30" s="2">
        <v>1012</v>
      </c>
      <c r="C30" s="2">
        <v>621</v>
      </c>
      <c r="D30" s="2">
        <v>0.61971830985915488</v>
      </c>
      <c r="E30" s="2">
        <v>2.5281739544321941E-22</v>
      </c>
      <c r="F30" s="2">
        <v>1</v>
      </c>
      <c r="G30" s="2">
        <v>5.0563479088643882E-22</v>
      </c>
      <c r="H30" s="2">
        <v>0</v>
      </c>
      <c r="I30" s="2">
        <v>1</v>
      </c>
      <c r="J30" s="2">
        <v>0</v>
      </c>
      <c r="K30" s="2" t="s">
        <v>1</v>
      </c>
    </row>
    <row r="31" spans="1:11" x14ac:dyDescent="0.35">
      <c r="A31" s="2" t="s">
        <v>41</v>
      </c>
      <c r="B31" s="2">
        <v>689</v>
      </c>
      <c r="C31" s="2">
        <v>944</v>
      </c>
      <c r="D31" s="2">
        <v>0.42192284139620329</v>
      </c>
      <c r="E31" s="2">
        <v>0.99999999989076938</v>
      </c>
      <c r="F31" s="2">
        <v>1.5078235775279999E-10</v>
      </c>
      <c r="G31" s="2">
        <v>3.0156471550559999E-10</v>
      </c>
      <c r="H31" s="2">
        <v>0.99999999986071431</v>
      </c>
      <c r="I31" s="2">
        <v>1.3928570910021509E-10</v>
      </c>
      <c r="J31" s="2">
        <v>2.7857138817921618E-10</v>
      </c>
      <c r="K31" s="2" t="s">
        <v>2</v>
      </c>
    </row>
    <row r="32" spans="1:11" x14ac:dyDescent="0.35">
      <c r="A32" s="2" t="s">
        <v>42</v>
      </c>
      <c r="B32" s="2">
        <v>749</v>
      </c>
      <c r="C32" s="2">
        <v>884</v>
      </c>
      <c r="D32" s="2">
        <v>0.45866503368034289</v>
      </c>
      <c r="E32" s="2">
        <v>0.99962038895999206</v>
      </c>
      <c r="F32" s="2">
        <v>4.5385173808198991E-4</v>
      </c>
      <c r="G32" s="2">
        <v>9.0770347616397982E-4</v>
      </c>
      <c r="H32" s="2">
        <v>0.99958219969181084</v>
      </c>
      <c r="I32" s="2">
        <v>4.1780030818919283E-4</v>
      </c>
      <c r="J32" s="2">
        <v>8.3560061637832916E-4</v>
      </c>
      <c r="K32" s="2" t="s">
        <v>2</v>
      </c>
    </row>
    <row r="33" spans="1:11" x14ac:dyDescent="0.35">
      <c r="A33" s="2" t="s">
        <v>43</v>
      </c>
      <c r="B33" s="2">
        <v>748</v>
      </c>
      <c r="C33" s="2">
        <v>885</v>
      </c>
      <c r="D33" s="2">
        <v>0.45805266380894061</v>
      </c>
      <c r="E33" s="2">
        <v>0.99968322091802309</v>
      </c>
      <c r="F33" s="2">
        <v>3.7961104000793839E-4</v>
      </c>
      <c r="G33" s="2">
        <v>7.5922208001587689E-4</v>
      </c>
      <c r="H33" s="2">
        <v>0.99965081318159466</v>
      </c>
      <c r="I33" s="2">
        <v>3.4918681840532308E-4</v>
      </c>
      <c r="J33" s="2">
        <v>6.9837363681068965E-4</v>
      </c>
      <c r="K33" s="2" t="s">
        <v>2</v>
      </c>
    </row>
    <row r="34" spans="1:11" x14ac:dyDescent="0.35">
      <c r="A34" s="2" t="s">
        <v>44</v>
      </c>
      <c r="B34" s="2">
        <v>985</v>
      </c>
      <c r="C34" s="2">
        <v>648</v>
      </c>
      <c r="D34" s="2">
        <v>0.60318432333129213</v>
      </c>
      <c r="E34" s="2">
        <v>3.5893598147530843E-17</v>
      </c>
      <c r="F34" s="2">
        <v>1</v>
      </c>
      <c r="G34" s="2">
        <v>7.1787196295061673E-17</v>
      </c>
      <c r="H34" s="2">
        <v>0</v>
      </c>
      <c r="I34" s="2">
        <v>1</v>
      </c>
      <c r="J34" s="2">
        <v>0</v>
      </c>
      <c r="K34" s="2" t="s">
        <v>1</v>
      </c>
    </row>
    <row r="35" spans="1:11" x14ac:dyDescent="0.35">
      <c r="A35" s="2" t="s">
        <v>45</v>
      </c>
      <c r="B35" s="2">
        <v>1026</v>
      </c>
      <c r="C35" s="2">
        <v>607</v>
      </c>
      <c r="D35" s="2">
        <v>0.62829148805878754</v>
      </c>
      <c r="E35" s="2">
        <v>1.22431171462495E-25</v>
      </c>
      <c r="F35" s="2">
        <v>1</v>
      </c>
      <c r="G35" s="2">
        <v>2.4486234292498991E-25</v>
      </c>
      <c r="H35" s="2">
        <v>0</v>
      </c>
      <c r="I35" s="2">
        <v>1</v>
      </c>
      <c r="J35" s="2">
        <v>0</v>
      </c>
      <c r="K35" s="2" t="s">
        <v>1</v>
      </c>
    </row>
    <row r="36" spans="1:11" x14ac:dyDescent="0.35">
      <c r="A36" s="2" t="s">
        <v>46</v>
      </c>
      <c r="B36" s="2">
        <v>953</v>
      </c>
      <c r="C36" s="2">
        <v>680</v>
      </c>
      <c r="D36" s="2">
        <v>0.58358848744641767</v>
      </c>
      <c r="E36" s="2">
        <v>7.5824048762299441E-12</v>
      </c>
      <c r="F36" s="2">
        <v>0.99999999999462763</v>
      </c>
      <c r="G36" s="2">
        <v>1.5164809752459891E-11</v>
      </c>
      <c r="H36" s="2">
        <v>7.1079808705576397E-12</v>
      </c>
      <c r="I36" s="2">
        <v>0.99999999999289202</v>
      </c>
      <c r="J36" s="2">
        <v>1.4215961741115279E-11</v>
      </c>
      <c r="K36" s="2" t="s">
        <v>1</v>
      </c>
    </row>
    <row r="37" spans="1:11" x14ac:dyDescent="0.35">
      <c r="A37" s="2" t="s">
        <v>47</v>
      </c>
      <c r="B37" s="2">
        <v>826</v>
      </c>
      <c r="C37" s="2">
        <v>807</v>
      </c>
      <c r="D37" s="2">
        <v>0.50581751377832207</v>
      </c>
      <c r="E37" s="2">
        <v>0.34608177385215699</v>
      </c>
      <c r="F37" s="2">
        <v>0.67198887317150136</v>
      </c>
      <c r="G37" s="2">
        <v>0.6921635477043141</v>
      </c>
      <c r="H37" s="2">
        <v>0.31911461974557059</v>
      </c>
      <c r="I37" s="2">
        <v>0.68088538025442935</v>
      </c>
      <c r="J37" s="2">
        <v>0.6382292394911413</v>
      </c>
      <c r="K37" s="2" t="s">
        <v>12</v>
      </c>
    </row>
    <row r="38" spans="1:11" x14ac:dyDescent="0.35">
      <c r="A38" s="2" t="s">
        <v>48</v>
      </c>
      <c r="B38" s="2">
        <v>534</v>
      </c>
      <c r="C38" s="2">
        <v>1099</v>
      </c>
      <c r="D38" s="2">
        <v>0.32700551132884259</v>
      </c>
      <c r="E38" s="2">
        <v>1</v>
      </c>
      <c r="F38" s="2">
        <v>1.8686687816596521E-45</v>
      </c>
      <c r="G38" s="2">
        <v>3.737337563319303E-45</v>
      </c>
      <c r="H38" s="2">
        <v>1</v>
      </c>
      <c r="I38" s="2">
        <v>1.010180561328642E-44</v>
      </c>
      <c r="J38" s="2">
        <v>0</v>
      </c>
      <c r="K38" s="2" t="s">
        <v>2</v>
      </c>
    </row>
    <row r="39" spans="1:11" x14ac:dyDescent="0.35">
      <c r="A39" s="2" t="s">
        <v>49</v>
      </c>
      <c r="B39" s="2">
        <v>512</v>
      </c>
      <c r="C39" s="2">
        <v>1121</v>
      </c>
      <c r="D39" s="2">
        <v>0.31353337415799137</v>
      </c>
      <c r="E39" s="2">
        <v>1</v>
      </c>
      <c r="F39" s="2">
        <v>1.1535401277905779E-52</v>
      </c>
      <c r="G39" s="2">
        <v>2.3070802555811559E-52</v>
      </c>
      <c r="H39" s="2">
        <v>1</v>
      </c>
      <c r="I39" s="2">
        <v>1.2682516097341661E-51</v>
      </c>
      <c r="J39" s="2">
        <v>0</v>
      </c>
      <c r="K39" s="2" t="s">
        <v>2</v>
      </c>
    </row>
    <row r="40" spans="1:11" x14ac:dyDescent="0.35">
      <c r="A40" s="2" t="s">
        <v>50</v>
      </c>
      <c r="B40" s="2">
        <v>610</v>
      </c>
      <c r="C40" s="2">
        <v>1023</v>
      </c>
      <c r="D40" s="2">
        <v>0.37354562155541948</v>
      </c>
      <c r="E40" s="2">
        <v>1</v>
      </c>
      <c r="F40" s="2">
        <v>5.9034508792565296E-25</v>
      </c>
      <c r="G40" s="2">
        <v>1.1806901758513059E-24</v>
      </c>
      <c r="H40" s="2">
        <v>1</v>
      </c>
      <c r="I40" s="2">
        <v>8.0551780013763992E-25</v>
      </c>
      <c r="J40" s="2">
        <v>0</v>
      </c>
      <c r="K40" s="2" t="s">
        <v>2</v>
      </c>
    </row>
    <row r="41" spans="1:11" x14ac:dyDescent="0.35">
      <c r="A41" s="2" t="s">
        <v>51</v>
      </c>
      <c r="B41" s="2">
        <v>587</v>
      </c>
      <c r="C41" s="2">
        <v>1046</v>
      </c>
      <c r="D41" s="2">
        <v>0.35946111451316592</v>
      </c>
      <c r="E41" s="2">
        <v>1</v>
      </c>
      <c r="F41" s="2">
        <v>1.872147956441929E-30</v>
      </c>
      <c r="G41" s="2">
        <v>3.7442959128838572E-30</v>
      </c>
      <c r="H41" s="2">
        <v>1</v>
      </c>
      <c r="I41" s="2">
        <v>3.3659032464868931E-30</v>
      </c>
      <c r="J41" s="2">
        <v>0</v>
      </c>
      <c r="K41" s="2" t="s">
        <v>2</v>
      </c>
    </row>
    <row r="42" spans="1:11" x14ac:dyDescent="0.35">
      <c r="A42" s="2" t="s">
        <v>52</v>
      </c>
      <c r="B42" s="2">
        <v>797</v>
      </c>
      <c r="C42" s="2">
        <v>836</v>
      </c>
      <c r="D42" s="2">
        <v>0.48805878750765458</v>
      </c>
      <c r="E42" s="2">
        <v>0.83887463348315316</v>
      </c>
      <c r="F42" s="2">
        <v>0.17351992282908349</v>
      </c>
      <c r="G42" s="2">
        <v>0.34703984565816698</v>
      </c>
      <c r="H42" s="2">
        <v>0.83275219080784302</v>
      </c>
      <c r="I42" s="2">
        <v>0.16724780919215701</v>
      </c>
      <c r="J42" s="2">
        <v>0.33449561838431402</v>
      </c>
      <c r="K42" s="2" t="s">
        <v>12</v>
      </c>
    </row>
    <row r="43" spans="1:11" x14ac:dyDescent="0.35">
      <c r="A43" s="2" t="s">
        <v>53</v>
      </c>
      <c r="B43" s="2">
        <v>743</v>
      </c>
      <c r="C43" s="2">
        <v>890</v>
      </c>
      <c r="D43" s="2">
        <v>0.45499081445192902</v>
      </c>
      <c r="E43" s="2">
        <v>0.99987621029087792</v>
      </c>
      <c r="F43" s="2">
        <v>1.500808089482436E-4</v>
      </c>
      <c r="G43" s="2">
        <v>3.0016161789648719E-4</v>
      </c>
      <c r="H43" s="2">
        <v>0.99986244642008693</v>
      </c>
      <c r="I43" s="2">
        <v>1.3755357991308931E-4</v>
      </c>
      <c r="J43" s="2">
        <v>2.7510715982614903E-4</v>
      </c>
      <c r="K43" s="2" t="s">
        <v>2</v>
      </c>
    </row>
    <row r="44" spans="1:11" x14ac:dyDescent="0.35">
      <c r="A44" s="2" t="s">
        <v>54</v>
      </c>
      <c r="B44" s="2">
        <v>693</v>
      </c>
      <c r="C44" s="2">
        <v>940</v>
      </c>
      <c r="D44" s="2">
        <v>0.42437232088181259</v>
      </c>
      <c r="E44" s="2">
        <v>0.9999999996091844</v>
      </c>
      <c r="F44" s="2">
        <v>5.3421488781587088E-10</v>
      </c>
      <c r="G44" s="2">
        <v>1.068429775631742E-9</v>
      </c>
      <c r="H44" s="2">
        <v>0.99999999950893859</v>
      </c>
      <c r="I44" s="2">
        <v>4.9106142368441607E-10</v>
      </c>
      <c r="J44" s="2">
        <v>9.8212282750864688E-10</v>
      </c>
      <c r="K44" s="2" t="s">
        <v>2</v>
      </c>
    </row>
    <row r="45" spans="1:11" x14ac:dyDescent="0.35">
      <c r="A45" s="2" t="s">
        <v>55</v>
      </c>
      <c r="B45" s="2">
        <v>631</v>
      </c>
      <c r="C45" s="2">
        <v>1002</v>
      </c>
      <c r="D45" s="2">
        <v>0.38640538885486841</v>
      </c>
      <c r="E45" s="2">
        <v>1</v>
      </c>
      <c r="F45" s="2">
        <v>1.8663200391247981E-20</v>
      </c>
      <c r="G45" s="2">
        <v>3.7326400782495951E-20</v>
      </c>
      <c r="H45" s="2">
        <v>1</v>
      </c>
      <c r="I45" s="2">
        <v>2.1393804087673269E-20</v>
      </c>
      <c r="J45" s="2">
        <v>0</v>
      </c>
      <c r="K45" s="2" t="s">
        <v>2</v>
      </c>
    </row>
    <row r="46" spans="1:11" x14ac:dyDescent="0.35">
      <c r="A46" s="2" t="s">
        <v>56</v>
      </c>
      <c r="B46" s="2">
        <v>729</v>
      </c>
      <c r="C46" s="2">
        <v>904</v>
      </c>
      <c r="D46" s="2">
        <v>0.44641763625229641</v>
      </c>
      <c r="E46" s="2">
        <v>0.99999347680462847</v>
      </c>
      <c r="F46" s="2">
        <v>8.1740739180695412E-6</v>
      </c>
      <c r="G46" s="2">
        <v>1.6348147836139079E-5</v>
      </c>
      <c r="H46" s="2">
        <v>0.9999925637712187</v>
      </c>
      <c r="I46" s="2">
        <v>7.4362287813518399E-6</v>
      </c>
      <c r="J46" s="2">
        <v>1.4872457562598029E-5</v>
      </c>
      <c r="K46" s="2" t="s">
        <v>2</v>
      </c>
    </row>
    <row r="47" spans="1:11" x14ac:dyDescent="0.35">
      <c r="A47" s="2" t="s">
        <v>57</v>
      </c>
      <c r="B47" s="2">
        <v>562</v>
      </c>
      <c r="C47" s="2">
        <v>1071</v>
      </c>
      <c r="D47" s="2">
        <v>0.3441518677281078</v>
      </c>
      <c r="E47" s="2">
        <v>1</v>
      </c>
      <c r="F47" s="2">
        <v>4.0448883537246782E-37</v>
      </c>
      <c r="G47" s="2">
        <v>8.0897767074493564E-37</v>
      </c>
      <c r="H47" s="2">
        <v>1</v>
      </c>
      <c r="I47" s="2">
        <v>1.113889377366257E-36</v>
      </c>
      <c r="J47" s="2">
        <v>0</v>
      </c>
      <c r="K47" s="2" t="s">
        <v>2</v>
      </c>
    </row>
    <row r="48" spans="1:11" x14ac:dyDescent="0.35">
      <c r="A48" s="2" t="s">
        <v>58</v>
      </c>
      <c r="B48" s="2">
        <v>756</v>
      </c>
      <c r="C48" s="2">
        <v>877</v>
      </c>
      <c r="D48" s="2">
        <v>0.46295162278015922</v>
      </c>
      <c r="E48" s="2">
        <v>0.9987372854509583</v>
      </c>
      <c r="F48" s="2">
        <v>1.485512638275696E-3</v>
      </c>
      <c r="G48" s="2">
        <v>2.971025276551392E-3</v>
      </c>
      <c r="H48" s="2">
        <v>0.99862452909263699</v>
      </c>
      <c r="I48" s="2">
        <v>1.375470907363034E-3</v>
      </c>
      <c r="J48" s="2">
        <v>2.7509418147260161E-3</v>
      </c>
      <c r="K48" s="2" t="s">
        <v>2</v>
      </c>
    </row>
    <row r="49" spans="1:11" x14ac:dyDescent="0.35">
      <c r="A49" s="2" t="s">
        <v>59</v>
      </c>
      <c r="B49" s="2">
        <v>838</v>
      </c>
      <c r="C49" s="2">
        <v>795</v>
      </c>
      <c r="D49" s="2">
        <v>0.51316595223515005</v>
      </c>
      <c r="E49" s="2">
        <v>0.14932314264485841</v>
      </c>
      <c r="F49" s="2">
        <v>0.86188756165359359</v>
      </c>
      <c r="G49" s="2">
        <v>0.29864628528971682</v>
      </c>
      <c r="H49" s="2">
        <v>0.1436456292654669</v>
      </c>
      <c r="I49" s="2">
        <v>0.85635437073453313</v>
      </c>
      <c r="J49" s="2">
        <v>0.28729125853093368</v>
      </c>
      <c r="K49" s="2" t="s">
        <v>12</v>
      </c>
    </row>
    <row r="50" spans="1:11" x14ac:dyDescent="0.35">
      <c r="A50" s="2" t="s">
        <v>60</v>
      </c>
      <c r="B50" s="2">
        <v>649</v>
      </c>
      <c r="C50" s="2">
        <v>984</v>
      </c>
      <c r="D50" s="2">
        <v>0.39742804654011021</v>
      </c>
      <c r="E50" s="2">
        <v>1</v>
      </c>
      <c r="F50" s="2">
        <v>5.4738095358341312E-17</v>
      </c>
      <c r="G50" s="2">
        <v>1.094761907166826E-16</v>
      </c>
      <c r="H50" s="2">
        <v>0.99999999999999989</v>
      </c>
      <c r="I50" s="2">
        <v>5.6649828381912867E-17</v>
      </c>
      <c r="J50" s="2">
        <v>2.2204460492503131E-16</v>
      </c>
      <c r="K50" s="2" t="s">
        <v>2</v>
      </c>
    </row>
    <row r="51" spans="1:11" x14ac:dyDescent="0.35">
      <c r="A51" s="2" t="s">
        <v>61</v>
      </c>
      <c r="B51" s="2">
        <v>407</v>
      </c>
      <c r="C51" s="2">
        <v>1226</v>
      </c>
      <c r="D51" s="2">
        <v>0.2492345376607471</v>
      </c>
      <c r="E51" s="2">
        <v>1</v>
      </c>
      <c r="F51" s="2">
        <v>1.456006177647091E-95</v>
      </c>
      <c r="G51" s="2">
        <v>2.9120123552941811E-95</v>
      </c>
      <c r="H51" s="2">
        <v>1</v>
      </c>
      <c r="I51" s="2">
        <v>1.256053082694641E-91</v>
      </c>
      <c r="J51" s="2">
        <v>0</v>
      </c>
      <c r="K51" s="2" t="s">
        <v>2</v>
      </c>
    </row>
    <row r="52" spans="1:11" x14ac:dyDescent="0.35">
      <c r="A52" s="2" t="s">
        <v>62</v>
      </c>
      <c r="B52" s="2">
        <v>1237</v>
      </c>
      <c r="C52" s="2">
        <v>396</v>
      </c>
      <c r="D52" s="2">
        <v>0.75750153092467853</v>
      </c>
      <c r="E52" s="2">
        <v>6.3856831919058721E-101</v>
      </c>
      <c r="F52" s="2">
        <v>1</v>
      </c>
      <c r="G52" s="2">
        <v>1.2771366383811739E-100</v>
      </c>
      <c r="H52" s="2">
        <v>0</v>
      </c>
      <c r="I52" s="2">
        <v>1</v>
      </c>
      <c r="J52" s="2">
        <v>0</v>
      </c>
      <c r="K52" s="2" t="s">
        <v>1</v>
      </c>
    </row>
    <row r="53" spans="1:11" x14ac:dyDescent="0.35">
      <c r="A53" s="2" t="s">
        <v>63</v>
      </c>
      <c r="B53" s="2">
        <v>974</v>
      </c>
      <c r="C53" s="2">
        <v>659</v>
      </c>
      <c r="D53" s="2">
        <v>0.59644825474586649</v>
      </c>
      <c r="E53" s="2">
        <v>3.2423801973958432E-15</v>
      </c>
      <c r="F53" s="2">
        <v>0.99999999999999778</v>
      </c>
      <c r="G53" s="2">
        <v>6.4847603947916863E-15</v>
      </c>
      <c r="H53" s="2">
        <v>3.219646771412954E-15</v>
      </c>
      <c r="I53" s="2">
        <v>0.99999999999999678</v>
      </c>
      <c r="J53" s="2">
        <v>6.4392935428259079E-15</v>
      </c>
      <c r="K53" s="2" t="s">
        <v>1</v>
      </c>
    </row>
    <row r="54" spans="1:11" x14ac:dyDescent="0.35">
      <c r="A54" s="2" t="s">
        <v>64</v>
      </c>
      <c r="B54" s="2">
        <v>680</v>
      </c>
      <c r="C54" s="2">
        <v>953</v>
      </c>
      <c r="D54" s="2">
        <v>0.41641151255358239</v>
      </c>
      <c r="E54" s="2">
        <v>0.99999999999462763</v>
      </c>
      <c r="F54" s="2">
        <v>7.5824048762299441E-12</v>
      </c>
      <c r="G54" s="2">
        <v>1.5164809752459891E-11</v>
      </c>
      <c r="H54" s="2">
        <v>0.99999999999289202</v>
      </c>
      <c r="I54" s="2">
        <v>7.107974522321198E-12</v>
      </c>
      <c r="J54" s="2">
        <v>1.4215961741115279E-11</v>
      </c>
      <c r="K54" s="2" t="s">
        <v>2</v>
      </c>
    </row>
    <row r="55" spans="1:11" x14ac:dyDescent="0.35">
      <c r="A55" s="2" t="s">
        <v>65</v>
      </c>
      <c r="B55" s="2">
        <v>655</v>
      </c>
      <c r="C55" s="2">
        <v>978</v>
      </c>
      <c r="D55" s="2">
        <v>0.4011022657685242</v>
      </c>
      <c r="E55" s="2">
        <v>0.99999999999999956</v>
      </c>
      <c r="F55" s="2">
        <v>6.5303714115702355E-16</v>
      </c>
      <c r="G55" s="2">
        <v>1.3060742823140469E-15</v>
      </c>
      <c r="H55" s="2">
        <v>0.99999999999999933</v>
      </c>
      <c r="I55" s="2">
        <v>6.5850831045583286E-16</v>
      </c>
      <c r="J55" s="2">
        <v>1.332267629550188E-15</v>
      </c>
      <c r="K55" s="2" t="s">
        <v>2</v>
      </c>
    </row>
    <row r="56" spans="1:11" x14ac:dyDescent="0.35">
      <c r="A56" s="2" t="s">
        <v>66</v>
      </c>
      <c r="B56" s="2">
        <v>912</v>
      </c>
      <c r="C56" s="2">
        <v>721</v>
      </c>
      <c r="D56" s="2">
        <v>0.55848132271892226</v>
      </c>
      <c r="E56" s="2">
        <v>1.2578713111848019E-6</v>
      </c>
      <c r="F56" s="2">
        <v>0.99999901515765666</v>
      </c>
      <c r="G56" s="2">
        <v>2.5157426223696051E-6</v>
      </c>
      <c r="H56" s="2">
        <v>1.142076476390308E-6</v>
      </c>
      <c r="I56" s="2">
        <v>0.99999885792352361</v>
      </c>
      <c r="J56" s="2">
        <v>2.2841529527806159E-6</v>
      </c>
      <c r="K56" s="2" t="s">
        <v>1</v>
      </c>
    </row>
    <row r="57" spans="1:11" x14ac:dyDescent="0.35">
      <c r="A57" s="2" t="s">
        <v>67</v>
      </c>
      <c r="B57" s="2">
        <v>1090</v>
      </c>
      <c r="C57" s="2">
        <v>543</v>
      </c>
      <c r="D57" s="2">
        <v>0.66748315982853645</v>
      </c>
      <c r="E57" s="2">
        <v>1.1281427841989241E-42</v>
      </c>
      <c r="F57" s="2">
        <v>1</v>
      </c>
      <c r="G57" s="2">
        <v>2.2562855683978481E-42</v>
      </c>
      <c r="H57" s="2">
        <v>0</v>
      </c>
      <c r="I57" s="2">
        <v>1</v>
      </c>
      <c r="J57" s="2">
        <v>0</v>
      </c>
      <c r="K57" s="2" t="s">
        <v>1</v>
      </c>
    </row>
    <row r="58" spans="1:11" x14ac:dyDescent="0.35">
      <c r="A58" s="2" t="s">
        <v>68</v>
      </c>
      <c r="B58" s="2">
        <v>543</v>
      </c>
      <c r="C58" s="2">
        <v>1090</v>
      </c>
      <c r="D58" s="2">
        <v>0.33251684017146349</v>
      </c>
      <c r="E58" s="2">
        <v>1</v>
      </c>
      <c r="F58" s="2">
        <v>1.1281427841989241E-42</v>
      </c>
      <c r="G58" s="2">
        <v>2.2562855683978481E-42</v>
      </c>
      <c r="H58" s="2">
        <v>1</v>
      </c>
      <c r="I58" s="2">
        <v>4.7855454177246101E-42</v>
      </c>
      <c r="J58" s="2">
        <v>0</v>
      </c>
      <c r="K58" s="2" t="s">
        <v>2</v>
      </c>
    </row>
    <row r="59" spans="1:11" x14ac:dyDescent="0.35">
      <c r="A59" s="2" t="s">
        <v>69</v>
      </c>
      <c r="B59" s="2">
        <v>298</v>
      </c>
      <c r="C59" s="2">
        <v>1335</v>
      </c>
      <c r="D59" s="2">
        <v>0.18248622167789341</v>
      </c>
      <c r="E59" s="2">
        <v>1</v>
      </c>
      <c r="F59" s="2">
        <v>8.0799967021120247E-157</v>
      </c>
      <c r="G59" s="2">
        <v>1.6159993404224049E-156</v>
      </c>
      <c r="H59" s="2">
        <v>1</v>
      </c>
      <c r="I59" s="2">
        <v>1.564550939021654E-145</v>
      </c>
      <c r="J59" s="2">
        <v>0</v>
      </c>
      <c r="K59" s="2" t="s">
        <v>2</v>
      </c>
    </row>
    <row r="60" spans="1:11" x14ac:dyDescent="0.35">
      <c r="A60" s="2" t="s">
        <v>70</v>
      </c>
      <c r="B60" s="2">
        <v>675</v>
      </c>
      <c r="C60" s="2">
        <v>958</v>
      </c>
      <c r="D60" s="2">
        <v>0.41334966319657068</v>
      </c>
      <c r="E60" s="2">
        <v>0.99999999999907563</v>
      </c>
      <c r="F60" s="2">
        <v>1.3208770367791271E-12</v>
      </c>
      <c r="G60" s="2">
        <v>2.6417540735582549E-12</v>
      </c>
      <c r="H60" s="2">
        <v>0.99999999999874867</v>
      </c>
      <c r="I60" s="2">
        <v>1.2513654473605399E-12</v>
      </c>
      <c r="J60" s="2">
        <v>2.5026647421100279E-12</v>
      </c>
      <c r="K60" s="2" t="s">
        <v>2</v>
      </c>
    </row>
    <row r="61" spans="1:11" x14ac:dyDescent="0.35">
      <c r="A61" s="2" t="s">
        <v>71</v>
      </c>
      <c r="B61" s="2">
        <v>554</v>
      </c>
      <c r="C61" s="2">
        <v>1079</v>
      </c>
      <c r="D61" s="2">
        <v>0.33925290875688918</v>
      </c>
      <c r="E61" s="2">
        <v>1</v>
      </c>
      <c r="F61" s="2">
        <v>2.089835919530123E-39</v>
      </c>
      <c r="G61" s="2">
        <v>4.1796718390602453E-39</v>
      </c>
      <c r="H61" s="2">
        <v>1</v>
      </c>
      <c r="I61" s="2">
        <v>6.817593512011257E-39</v>
      </c>
      <c r="J61" s="2">
        <v>0</v>
      </c>
      <c r="K61" s="2" t="s">
        <v>2</v>
      </c>
    </row>
    <row r="62" spans="1:11" x14ac:dyDescent="0.35">
      <c r="A62" s="2" t="s">
        <v>72</v>
      </c>
      <c r="B62" s="2">
        <v>1437</v>
      </c>
      <c r="C62" s="2">
        <v>196</v>
      </c>
      <c r="D62" s="2">
        <v>0.87997550520514389</v>
      </c>
      <c r="E62" s="2">
        <v>1.670416643036798E-233</v>
      </c>
      <c r="F62" s="2">
        <v>1</v>
      </c>
      <c r="G62" s="2">
        <v>3.340833286073597E-233</v>
      </c>
      <c r="H62" s="2">
        <v>0</v>
      </c>
      <c r="I62" s="2">
        <v>1</v>
      </c>
      <c r="J62" s="2">
        <v>0</v>
      </c>
      <c r="K62" s="2" t="s">
        <v>1</v>
      </c>
    </row>
    <row r="63" spans="1:11" x14ac:dyDescent="0.35">
      <c r="A63" s="2" t="s">
        <v>73</v>
      </c>
      <c r="B63" s="2">
        <v>1580</v>
      </c>
      <c r="C63" s="2">
        <v>53</v>
      </c>
      <c r="D63" s="2">
        <v>0.96754439681567672</v>
      </c>
      <c r="E63" s="2">
        <v>0</v>
      </c>
      <c r="F63" s="2">
        <v>1</v>
      </c>
      <c r="G63" s="2">
        <v>0</v>
      </c>
      <c r="H63" s="2">
        <v>0</v>
      </c>
      <c r="I63" s="2">
        <v>1</v>
      </c>
      <c r="J63" s="2">
        <v>0</v>
      </c>
      <c r="K63" s="2" t="s">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192"/>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5" customWidth="1"/>
    <col min="2" max="4" width="36" customWidth="1"/>
    <col min="5" max="7" width="35" customWidth="1"/>
    <col min="8" max="16" width="37" customWidth="1"/>
    <col min="18" max="18" width="17" bestFit="1" customWidth="1"/>
    <col min="20" max="20" width="30.90625" bestFit="1" customWidth="1"/>
    <col min="21" max="21" width="18.81640625" bestFit="1" customWidth="1"/>
    <col min="22" max="22" width="17" bestFit="1" customWidth="1"/>
  </cols>
  <sheetData>
    <row r="1" spans="1:22" x14ac:dyDescent="0.35">
      <c r="A1" s="1" t="s">
        <v>0</v>
      </c>
      <c r="B1" s="4" t="s">
        <v>74</v>
      </c>
      <c r="C1" s="1" t="s">
        <v>75</v>
      </c>
      <c r="D1" s="5" t="s">
        <v>76</v>
      </c>
      <c r="E1" s="4" t="s">
        <v>77</v>
      </c>
      <c r="F1" s="1" t="s">
        <v>78</v>
      </c>
      <c r="G1" s="1" t="s">
        <v>79</v>
      </c>
      <c r="H1" s="1" t="s">
        <v>80</v>
      </c>
      <c r="I1" s="1" t="s">
        <v>81</v>
      </c>
      <c r="J1" s="5" t="s">
        <v>82</v>
      </c>
      <c r="K1" s="4" t="s">
        <v>83</v>
      </c>
      <c r="L1" s="1" t="s">
        <v>84</v>
      </c>
      <c r="M1" s="1" t="s">
        <v>85</v>
      </c>
      <c r="N1" s="4" t="s">
        <v>86</v>
      </c>
      <c r="O1" s="1" t="s">
        <v>87</v>
      </c>
      <c r="P1" s="1" t="s">
        <v>88</v>
      </c>
    </row>
    <row r="2" spans="1:22" x14ac:dyDescent="0.35">
      <c r="A2" s="6" t="s">
        <v>11</v>
      </c>
      <c r="B2" s="6" t="s">
        <v>12</v>
      </c>
      <c r="C2" s="6" t="s">
        <v>2</v>
      </c>
      <c r="D2" s="6" t="s">
        <v>12</v>
      </c>
      <c r="E2" s="6" t="s">
        <v>2</v>
      </c>
      <c r="F2" s="6" t="s">
        <v>12</v>
      </c>
      <c r="G2" s="6" t="s">
        <v>12</v>
      </c>
      <c r="H2" s="6" t="s">
        <v>2</v>
      </c>
      <c r="I2" s="6" t="s">
        <v>2</v>
      </c>
      <c r="J2" s="6" t="s">
        <v>12</v>
      </c>
      <c r="K2" s="6" t="s">
        <v>2</v>
      </c>
      <c r="L2" s="6" t="s">
        <v>12</v>
      </c>
      <c r="M2" s="6" t="s">
        <v>12</v>
      </c>
      <c r="N2" s="6" t="s">
        <v>12</v>
      </c>
      <c r="O2" s="6" t="s">
        <v>12</v>
      </c>
      <c r="P2" s="6" t="s">
        <v>12</v>
      </c>
      <c r="Q2" s="7"/>
      <c r="R2" s="7" t="str">
        <f>VLOOKUP(A2,$T$2:$V$192,3,FALSE)</f>
        <v>Stem</v>
      </c>
      <c r="T2" t="s">
        <v>11</v>
      </c>
      <c r="U2" t="s">
        <v>154</v>
      </c>
      <c r="V2" t="s">
        <v>153</v>
      </c>
    </row>
    <row r="3" spans="1:22" x14ac:dyDescent="0.35">
      <c r="A3" s="8" t="s">
        <v>13</v>
      </c>
      <c r="B3" s="8" t="s">
        <v>12</v>
      </c>
      <c r="C3" s="8" t="s">
        <v>12</v>
      </c>
      <c r="D3" s="8" t="s">
        <v>12</v>
      </c>
      <c r="E3" s="8" t="s">
        <v>2</v>
      </c>
      <c r="F3" s="8" t="s">
        <v>12</v>
      </c>
      <c r="G3" s="8" t="s">
        <v>1</v>
      </c>
      <c r="H3" s="8" t="s">
        <v>12</v>
      </c>
      <c r="I3" s="8" t="s">
        <v>12</v>
      </c>
      <c r="J3" s="8" t="s">
        <v>1</v>
      </c>
      <c r="K3" s="8" t="s">
        <v>2</v>
      </c>
      <c r="L3" s="8" t="s">
        <v>2</v>
      </c>
      <c r="M3" s="8" t="s">
        <v>1</v>
      </c>
      <c r="N3" s="8" t="s">
        <v>12</v>
      </c>
      <c r="O3" s="8" t="s">
        <v>2</v>
      </c>
      <c r="P3" s="8" t="s">
        <v>2</v>
      </c>
      <c r="Q3" s="9"/>
      <c r="R3" s="9" t="str">
        <f t="shared" ref="R3:R63" si="0">VLOOKUP(A3,$T$2:$V$192,3,FALSE)</f>
        <v>Inverted Residue1</v>
      </c>
      <c r="T3" t="s">
        <v>155</v>
      </c>
      <c r="U3" t="s">
        <v>156</v>
      </c>
      <c r="V3" t="s">
        <v>153</v>
      </c>
    </row>
    <row r="4" spans="1:22" x14ac:dyDescent="0.35">
      <c r="A4" s="8" t="s">
        <v>14</v>
      </c>
      <c r="B4" s="8" t="s">
        <v>2</v>
      </c>
      <c r="C4" s="8" t="s">
        <v>1</v>
      </c>
      <c r="D4" s="8" t="s">
        <v>2</v>
      </c>
      <c r="E4" s="8" t="s">
        <v>2</v>
      </c>
      <c r="F4" s="8" t="s">
        <v>1</v>
      </c>
      <c r="G4" s="8" t="s">
        <v>2</v>
      </c>
      <c r="H4" s="8" t="s">
        <v>2</v>
      </c>
      <c r="I4" s="8" t="s">
        <v>1</v>
      </c>
      <c r="J4" s="8" t="s">
        <v>2</v>
      </c>
      <c r="K4" s="8" t="s">
        <v>2</v>
      </c>
      <c r="L4" s="8" t="s">
        <v>1</v>
      </c>
      <c r="M4" s="8" t="s">
        <v>2</v>
      </c>
      <c r="N4" s="8" t="s">
        <v>2</v>
      </c>
      <c r="O4" s="8" t="s">
        <v>1</v>
      </c>
      <c r="P4" s="8" t="s">
        <v>2</v>
      </c>
      <c r="Q4" s="9"/>
      <c r="R4" s="9" t="str">
        <f t="shared" si="0"/>
        <v>Inverted Residue1</v>
      </c>
      <c r="T4" t="s">
        <v>157</v>
      </c>
      <c r="U4" t="s">
        <v>158</v>
      </c>
      <c r="V4" t="s">
        <v>153</v>
      </c>
    </row>
    <row r="5" spans="1:22" x14ac:dyDescent="0.35">
      <c r="A5" s="10" t="s">
        <v>15</v>
      </c>
      <c r="B5" s="10" t="s">
        <v>1</v>
      </c>
      <c r="C5" s="10" t="s">
        <v>1</v>
      </c>
      <c r="D5" s="10" t="s">
        <v>2</v>
      </c>
      <c r="E5" s="10" t="s">
        <v>12</v>
      </c>
      <c r="F5" s="10" t="s">
        <v>1</v>
      </c>
      <c r="G5" s="10" t="s">
        <v>2</v>
      </c>
      <c r="H5" s="10" t="s">
        <v>12</v>
      </c>
      <c r="I5" s="10" t="s">
        <v>12</v>
      </c>
      <c r="J5" s="10" t="s">
        <v>12</v>
      </c>
      <c r="K5" s="10" t="s">
        <v>12</v>
      </c>
      <c r="L5" s="10" t="s">
        <v>1</v>
      </c>
      <c r="M5" s="10" t="s">
        <v>2</v>
      </c>
      <c r="N5" s="10" t="s">
        <v>1</v>
      </c>
      <c r="O5" s="10" t="s">
        <v>1</v>
      </c>
      <c r="P5" s="10" t="s">
        <v>2</v>
      </c>
      <c r="Q5" s="11"/>
      <c r="R5" s="11" t="str">
        <f t="shared" si="0"/>
        <v>Inverted Residue2</v>
      </c>
      <c r="T5" t="s">
        <v>13</v>
      </c>
      <c r="U5" t="s">
        <v>154</v>
      </c>
      <c r="V5" t="s">
        <v>159</v>
      </c>
    </row>
    <row r="6" spans="1:22" x14ac:dyDescent="0.35">
      <c r="A6" s="10" t="s">
        <v>16</v>
      </c>
      <c r="B6" s="10" t="s">
        <v>1</v>
      </c>
      <c r="C6" s="10" t="s">
        <v>1</v>
      </c>
      <c r="D6" s="10" t="s">
        <v>2</v>
      </c>
      <c r="E6" s="10" t="s">
        <v>12</v>
      </c>
      <c r="F6" s="10" t="s">
        <v>1</v>
      </c>
      <c r="G6" s="10" t="s">
        <v>2</v>
      </c>
      <c r="H6" s="10" t="s">
        <v>12</v>
      </c>
      <c r="I6" s="10" t="s">
        <v>1</v>
      </c>
      <c r="J6" s="10" t="s">
        <v>12</v>
      </c>
      <c r="K6" s="10" t="s">
        <v>1</v>
      </c>
      <c r="L6" s="10" t="s">
        <v>1</v>
      </c>
      <c r="M6" s="10" t="s">
        <v>2</v>
      </c>
      <c r="N6" s="10" t="s">
        <v>1</v>
      </c>
      <c r="O6" s="10" t="s">
        <v>1</v>
      </c>
      <c r="P6" s="10" t="s">
        <v>2</v>
      </c>
      <c r="Q6" s="11"/>
      <c r="R6" s="11" t="str">
        <f t="shared" si="0"/>
        <v>Inverted Residue2</v>
      </c>
      <c r="T6" t="s">
        <v>160</v>
      </c>
      <c r="U6" t="s">
        <v>156</v>
      </c>
      <c r="V6" t="s">
        <v>159</v>
      </c>
    </row>
    <row r="7" spans="1:22" x14ac:dyDescent="0.35">
      <c r="A7" s="10" t="s">
        <v>17</v>
      </c>
      <c r="B7" s="10" t="s">
        <v>1</v>
      </c>
      <c r="C7" s="10" t="s">
        <v>1</v>
      </c>
      <c r="D7" s="10" t="s">
        <v>2</v>
      </c>
      <c r="E7" s="10" t="s">
        <v>1</v>
      </c>
      <c r="F7" s="10" t="s">
        <v>12</v>
      </c>
      <c r="G7" s="10" t="s">
        <v>2</v>
      </c>
      <c r="H7" s="10" t="s">
        <v>1</v>
      </c>
      <c r="I7" s="10" t="s">
        <v>1</v>
      </c>
      <c r="J7" s="10" t="s">
        <v>1</v>
      </c>
      <c r="K7" s="10" t="s">
        <v>12</v>
      </c>
      <c r="L7" s="10" t="s">
        <v>1</v>
      </c>
      <c r="M7" s="10" t="s">
        <v>2</v>
      </c>
      <c r="N7" s="10" t="s">
        <v>1</v>
      </c>
      <c r="O7" s="10" t="s">
        <v>1</v>
      </c>
      <c r="P7" s="10" t="s">
        <v>2</v>
      </c>
      <c r="Q7" s="11"/>
      <c r="R7" s="11" t="str">
        <f t="shared" si="0"/>
        <v>Inverted Residue2</v>
      </c>
      <c r="T7" t="s">
        <v>161</v>
      </c>
      <c r="U7" t="s">
        <v>162</v>
      </c>
      <c r="V7" t="s">
        <v>159</v>
      </c>
    </row>
    <row r="8" spans="1:22" x14ac:dyDescent="0.35">
      <c r="A8" s="12" t="s">
        <v>18</v>
      </c>
      <c r="B8" s="12" t="s">
        <v>12</v>
      </c>
      <c r="C8" s="12" t="s">
        <v>1</v>
      </c>
      <c r="D8" s="12" t="s">
        <v>1</v>
      </c>
      <c r="E8" s="12" t="s">
        <v>12</v>
      </c>
      <c r="F8" s="12" t="s">
        <v>12</v>
      </c>
      <c r="G8" s="12" t="s">
        <v>1</v>
      </c>
      <c r="H8" s="12" t="s">
        <v>12</v>
      </c>
      <c r="I8" s="12" t="s">
        <v>1</v>
      </c>
      <c r="J8" s="12" t="s">
        <v>1</v>
      </c>
      <c r="K8" s="12" t="s">
        <v>2</v>
      </c>
      <c r="L8" s="12" t="s">
        <v>12</v>
      </c>
      <c r="M8" s="12" t="s">
        <v>1</v>
      </c>
      <c r="N8" s="12" t="s">
        <v>12</v>
      </c>
      <c r="O8" s="12" t="s">
        <v>12</v>
      </c>
      <c r="P8" s="12" t="s">
        <v>1</v>
      </c>
      <c r="Q8" s="13"/>
      <c r="R8" s="13" t="str">
        <f t="shared" si="0"/>
        <v>Inverted Residue3</v>
      </c>
      <c r="T8" t="s">
        <v>14</v>
      </c>
      <c r="U8" t="s">
        <v>154</v>
      </c>
      <c r="V8" t="s">
        <v>159</v>
      </c>
    </row>
    <row r="9" spans="1:22" x14ac:dyDescent="0.35">
      <c r="A9" s="12" t="s">
        <v>19</v>
      </c>
      <c r="B9" s="12" t="s">
        <v>1</v>
      </c>
      <c r="C9" s="12" t="s">
        <v>12</v>
      </c>
      <c r="D9" s="12" t="s">
        <v>1</v>
      </c>
      <c r="E9" s="12" t="s">
        <v>1</v>
      </c>
      <c r="F9" s="12" t="s">
        <v>1</v>
      </c>
      <c r="G9" s="12" t="s">
        <v>1</v>
      </c>
      <c r="H9" s="12" t="s">
        <v>12</v>
      </c>
      <c r="I9" s="12" t="s">
        <v>12</v>
      </c>
      <c r="J9" s="12" t="s">
        <v>1</v>
      </c>
      <c r="K9" s="12" t="s">
        <v>12</v>
      </c>
      <c r="L9" s="12" t="s">
        <v>12</v>
      </c>
      <c r="M9" s="12" t="s">
        <v>2</v>
      </c>
      <c r="N9" s="12" t="s">
        <v>1</v>
      </c>
      <c r="O9" s="12" t="s">
        <v>12</v>
      </c>
      <c r="P9" s="12" t="s">
        <v>12</v>
      </c>
      <c r="Q9" s="13"/>
      <c r="R9" s="13" t="str">
        <f t="shared" si="0"/>
        <v>Inverted Residue3</v>
      </c>
      <c r="T9" t="s">
        <v>163</v>
      </c>
      <c r="U9" t="s">
        <v>156</v>
      </c>
      <c r="V9" t="s">
        <v>159</v>
      </c>
    </row>
    <row r="10" spans="1:22" x14ac:dyDescent="0.35">
      <c r="A10" s="12" t="s">
        <v>20</v>
      </c>
      <c r="B10" s="12" t="s">
        <v>12</v>
      </c>
      <c r="C10" s="12" t="s">
        <v>2</v>
      </c>
      <c r="D10" s="12" t="s">
        <v>12</v>
      </c>
      <c r="E10" s="12" t="s">
        <v>1</v>
      </c>
      <c r="F10" s="12" t="s">
        <v>2</v>
      </c>
      <c r="G10" s="12" t="s">
        <v>1</v>
      </c>
      <c r="H10" s="12" t="s">
        <v>12</v>
      </c>
      <c r="I10" s="12" t="s">
        <v>2</v>
      </c>
      <c r="J10" s="12" t="s">
        <v>1</v>
      </c>
      <c r="K10" s="12" t="s">
        <v>12</v>
      </c>
      <c r="L10" s="12" t="s">
        <v>2</v>
      </c>
      <c r="M10" s="12" t="s">
        <v>2</v>
      </c>
      <c r="N10" s="12" t="s">
        <v>1</v>
      </c>
      <c r="O10" s="12" t="s">
        <v>2</v>
      </c>
      <c r="P10" s="12" t="s">
        <v>12</v>
      </c>
      <c r="Q10" s="13"/>
      <c r="R10" s="13" t="str">
        <f t="shared" si="0"/>
        <v>Inverted Residue3</v>
      </c>
      <c r="T10" t="s">
        <v>164</v>
      </c>
      <c r="U10" t="s">
        <v>165</v>
      </c>
      <c r="V10" t="s">
        <v>159</v>
      </c>
    </row>
    <row r="11" spans="1:22" x14ac:dyDescent="0.35">
      <c r="A11" s="14" t="s">
        <v>21</v>
      </c>
      <c r="B11" s="14" t="s">
        <v>12</v>
      </c>
      <c r="C11" s="14" t="s">
        <v>2</v>
      </c>
      <c r="D11" s="14" t="s">
        <v>2</v>
      </c>
      <c r="E11" s="14" t="s">
        <v>1</v>
      </c>
      <c r="F11" s="14" t="s">
        <v>2</v>
      </c>
      <c r="G11" s="14" t="s">
        <v>2</v>
      </c>
      <c r="H11" s="14" t="s">
        <v>12</v>
      </c>
      <c r="I11" s="14" t="s">
        <v>2</v>
      </c>
      <c r="J11" s="14" t="s">
        <v>1</v>
      </c>
      <c r="K11" s="14" t="s">
        <v>1</v>
      </c>
      <c r="L11" s="14" t="s">
        <v>2</v>
      </c>
      <c r="M11" s="14" t="s">
        <v>2</v>
      </c>
      <c r="N11" s="14" t="s">
        <v>1</v>
      </c>
      <c r="O11" s="14" t="s">
        <v>2</v>
      </c>
      <c r="P11" s="14" t="s">
        <v>12</v>
      </c>
      <c r="Q11" s="15"/>
      <c r="R11" s="15" t="str">
        <f t="shared" si="0"/>
        <v>Inverted Residue4</v>
      </c>
      <c r="T11" t="s">
        <v>15</v>
      </c>
      <c r="U11" t="s">
        <v>154</v>
      </c>
      <c r="V11" t="s">
        <v>166</v>
      </c>
    </row>
    <row r="12" spans="1:22" x14ac:dyDescent="0.35">
      <c r="A12" s="14" t="s">
        <v>22</v>
      </c>
      <c r="B12" s="14" t="s">
        <v>1</v>
      </c>
      <c r="C12" s="14" t="s">
        <v>12</v>
      </c>
      <c r="D12" s="14" t="s">
        <v>12</v>
      </c>
      <c r="E12" s="14" t="s">
        <v>1</v>
      </c>
      <c r="F12" s="14" t="s">
        <v>1</v>
      </c>
      <c r="G12" s="14" t="s">
        <v>2</v>
      </c>
      <c r="H12" s="14" t="s">
        <v>12</v>
      </c>
      <c r="I12" s="14" t="s">
        <v>2</v>
      </c>
      <c r="J12" s="14" t="s">
        <v>1</v>
      </c>
      <c r="K12" s="14" t="s">
        <v>1</v>
      </c>
      <c r="L12" s="14" t="s">
        <v>12</v>
      </c>
      <c r="M12" s="14" t="s">
        <v>2</v>
      </c>
      <c r="N12" s="14" t="s">
        <v>1</v>
      </c>
      <c r="O12" s="14" t="s">
        <v>1</v>
      </c>
      <c r="P12" s="14" t="s">
        <v>2</v>
      </c>
      <c r="Q12" s="15"/>
      <c r="R12" s="15" t="str">
        <f t="shared" si="0"/>
        <v>Inverted Residue4</v>
      </c>
      <c r="T12" t="s">
        <v>167</v>
      </c>
      <c r="U12" t="s">
        <v>156</v>
      </c>
      <c r="V12" t="s">
        <v>166</v>
      </c>
    </row>
    <row r="13" spans="1:22" x14ac:dyDescent="0.35">
      <c r="A13" s="14" t="s">
        <v>23</v>
      </c>
      <c r="B13" s="14" t="s">
        <v>1</v>
      </c>
      <c r="C13" s="14" t="s">
        <v>12</v>
      </c>
      <c r="D13" s="14" t="s">
        <v>1</v>
      </c>
      <c r="E13" s="14" t="s">
        <v>2</v>
      </c>
      <c r="F13" s="14" t="s">
        <v>12</v>
      </c>
      <c r="G13" s="14" t="s">
        <v>2</v>
      </c>
      <c r="H13" s="14" t="s">
        <v>2</v>
      </c>
      <c r="I13" s="14" t="s">
        <v>12</v>
      </c>
      <c r="J13" s="14" t="s">
        <v>2</v>
      </c>
      <c r="K13" s="14" t="s">
        <v>1</v>
      </c>
      <c r="L13" s="14" t="s">
        <v>12</v>
      </c>
      <c r="M13" s="14" t="s">
        <v>1</v>
      </c>
      <c r="N13" s="14" t="s">
        <v>1</v>
      </c>
      <c r="O13" s="14" t="s">
        <v>12</v>
      </c>
      <c r="P13" s="14" t="s">
        <v>2</v>
      </c>
      <c r="Q13" s="15"/>
      <c r="R13" s="15" t="str">
        <f t="shared" si="0"/>
        <v>Inverted Residue4</v>
      </c>
      <c r="T13" t="s">
        <v>168</v>
      </c>
      <c r="U13" t="s">
        <v>162</v>
      </c>
      <c r="V13" t="s">
        <v>166</v>
      </c>
    </row>
    <row r="14" spans="1:22" x14ac:dyDescent="0.35">
      <c r="A14" s="14" t="s">
        <v>24</v>
      </c>
      <c r="B14" s="14" t="s">
        <v>2</v>
      </c>
      <c r="C14" s="14" t="s">
        <v>12</v>
      </c>
      <c r="D14" s="14" t="s">
        <v>1</v>
      </c>
      <c r="E14" s="14" t="s">
        <v>2</v>
      </c>
      <c r="F14" s="14" t="s">
        <v>12</v>
      </c>
      <c r="G14" s="14" t="s">
        <v>2</v>
      </c>
      <c r="H14" s="14" t="s">
        <v>2</v>
      </c>
      <c r="I14" s="14" t="s">
        <v>12</v>
      </c>
      <c r="J14" s="14" t="s">
        <v>1</v>
      </c>
      <c r="K14" s="14" t="s">
        <v>2</v>
      </c>
      <c r="L14" s="14" t="s">
        <v>12</v>
      </c>
      <c r="M14" s="14" t="s">
        <v>1</v>
      </c>
      <c r="N14" s="14" t="s">
        <v>2</v>
      </c>
      <c r="O14" s="14" t="s">
        <v>12</v>
      </c>
      <c r="P14" s="14" t="s">
        <v>1</v>
      </c>
      <c r="Q14" s="15"/>
      <c r="R14" s="15" t="str">
        <f t="shared" si="0"/>
        <v>Inverted Residue4</v>
      </c>
      <c r="T14" t="s">
        <v>16</v>
      </c>
      <c r="U14" t="s">
        <v>154</v>
      </c>
      <c r="V14" t="s">
        <v>166</v>
      </c>
    </row>
    <row r="15" spans="1:22" x14ac:dyDescent="0.35">
      <c r="A15" s="14" t="s">
        <v>25</v>
      </c>
      <c r="B15" s="14" t="s">
        <v>1</v>
      </c>
      <c r="C15" s="14" t="s">
        <v>2</v>
      </c>
      <c r="D15" s="14" t="s">
        <v>12</v>
      </c>
      <c r="E15" s="14" t="s">
        <v>1</v>
      </c>
      <c r="F15" s="14" t="s">
        <v>2</v>
      </c>
      <c r="G15" s="14" t="s">
        <v>2</v>
      </c>
      <c r="H15" s="14" t="s">
        <v>1</v>
      </c>
      <c r="I15" s="14" t="s">
        <v>2</v>
      </c>
      <c r="J15" s="14" t="s">
        <v>1</v>
      </c>
      <c r="K15" s="14" t="s">
        <v>1</v>
      </c>
      <c r="L15" s="14" t="s">
        <v>2</v>
      </c>
      <c r="M15" s="14" t="s">
        <v>2</v>
      </c>
      <c r="N15" s="14" t="s">
        <v>1</v>
      </c>
      <c r="O15" s="14" t="s">
        <v>2</v>
      </c>
      <c r="P15" s="14" t="s">
        <v>2</v>
      </c>
      <c r="Q15" s="15"/>
      <c r="R15" s="15" t="str">
        <f t="shared" si="0"/>
        <v>Inverted Residue4</v>
      </c>
      <c r="T15" t="s">
        <v>169</v>
      </c>
      <c r="U15" t="s">
        <v>156</v>
      </c>
      <c r="V15" t="s">
        <v>166</v>
      </c>
    </row>
    <row r="16" spans="1:22" x14ac:dyDescent="0.35">
      <c r="A16" s="16" t="s">
        <v>26</v>
      </c>
      <c r="B16" s="16" t="s">
        <v>12</v>
      </c>
      <c r="C16" s="16" t="s">
        <v>1</v>
      </c>
      <c r="D16" s="16" t="s">
        <v>12</v>
      </c>
      <c r="E16" s="16" t="s">
        <v>12</v>
      </c>
      <c r="F16" s="16" t="s">
        <v>1</v>
      </c>
      <c r="G16" s="16" t="s">
        <v>1</v>
      </c>
      <c r="H16" s="16" t="s">
        <v>12</v>
      </c>
      <c r="I16" s="16" t="s">
        <v>12</v>
      </c>
      <c r="J16" s="16" t="s">
        <v>12</v>
      </c>
      <c r="K16" s="16" t="s">
        <v>12</v>
      </c>
      <c r="L16" s="16" t="s">
        <v>1</v>
      </c>
      <c r="M16" s="16" t="s">
        <v>12</v>
      </c>
      <c r="N16" s="16" t="s">
        <v>2</v>
      </c>
      <c r="O16" s="16" t="s">
        <v>1</v>
      </c>
      <c r="P16" s="16" t="s">
        <v>12</v>
      </c>
      <c r="Q16" s="17"/>
      <c r="R16" s="17" t="str">
        <f t="shared" si="0"/>
        <v>Inverted Residue5</v>
      </c>
      <c r="T16" t="s">
        <v>170</v>
      </c>
      <c r="U16" t="s">
        <v>162</v>
      </c>
      <c r="V16" t="s">
        <v>166</v>
      </c>
    </row>
    <row r="17" spans="1:22" x14ac:dyDescent="0.35">
      <c r="A17" s="16" t="s">
        <v>27</v>
      </c>
      <c r="B17" s="16" t="s">
        <v>2</v>
      </c>
      <c r="C17" s="16" t="s">
        <v>1</v>
      </c>
      <c r="D17" s="16" t="s">
        <v>1</v>
      </c>
      <c r="E17" s="16" t="s">
        <v>1</v>
      </c>
      <c r="F17" s="16" t="s">
        <v>1</v>
      </c>
      <c r="G17" s="16" t="s">
        <v>1</v>
      </c>
      <c r="H17" s="16" t="s">
        <v>12</v>
      </c>
      <c r="I17" s="16" t="s">
        <v>1</v>
      </c>
      <c r="J17" s="16" t="s">
        <v>1</v>
      </c>
      <c r="K17" s="16" t="s">
        <v>12</v>
      </c>
      <c r="L17" s="16" t="s">
        <v>1</v>
      </c>
      <c r="M17" s="16" t="s">
        <v>1</v>
      </c>
      <c r="N17" s="16" t="s">
        <v>2</v>
      </c>
      <c r="O17" s="16" t="s">
        <v>1</v>
      </c>
      <c r="P17" s="16" t="s">
        <v>1</v>
      </c>
      <c r="Q17" s="17"/>
      <c r="R17" s="17" t="str">
        <f t="shared" si="0"/>
        <v>Inverted Residue5</v>
      </c>
      <c r="T17" t="s">
        <v>17</v>
      </c>
      <c r="U17" t="s">
        <v>154</v>
      </c>
      <c r="V17" t="s">
        <v>166</v>
      </c>
    </row>
    <row r="18" spans="1:22" x14ac:dyDescent="0.35">
      <c r="A18" s="16" t="s">
        <v>28</v>
      </c>
      <c r="B18" s="16" t="s">
        <v>2</v>
      </c>
      <c r="C18" s="16" t="s">
        <v>12</v>
      </c>
      <c r="D18" s="16" t="s">
        <v>12</v>
      </c>
      <c r="E18" s="16" t="s">
        <v>1</v>
      </c>
      <c r="F18" s="16" t="s">
        <v>2</v>
      </c>
      <c r="G18" s="16" t="s">
        <v>2</v>
      </c>
      <c r="H18" s="16" t="s">
        <v>1</v>
      </c>
      <c r="I18" s="16" t="s">
        <v>12</v>
      </c>
      <c r="J18" s="16" t="s">
        <v>12</v>
      </c>
      <c r="K18" s="16" t="s">
        <v>2</v>
      </c>
      <c r="L18" s="16" t="s">
        <v>2</v>
      </c>
      <c r="M18" s="16" t="s">
        <v>1</v>
      </c>
      <c r="N18" s="16" t="s">
        <v>12</v>
      </c>
      <c r="O18" s="16" t="s">
        <v>2</v>
      </c>
      <c r="P18" s="16" t="s">
        <v>2</v>
      </c>
      <c r="Q18" s="17"/>
      <c r="R18" s="17" t="str">
        <f t="shared" si="0"/>
        <v>Inverted Residue5</v>
      </c>
      <c r="T18" t="s">
        <v>171</v>
      </c>
      <c r="U18" t="s">
        <v>156</v>
      </c>
      <c r="V18" t="s">
        <v>166</v>
      </c>
    </row>
    <row r="19" spans="1:22" x14ac:dyDescent="0.35">
      <c r="A19" s="16" t="s">
        <v>29</v>
      </c>
      <c r="B19" s="16" t="s">
        <v>2</v>
      </c>
      <c r="C19" s="16" t="s">
        <v>2</v>
      </c>
      <c r="D19" s="16" t="s">
        <v>1</v>
      </c>
      <c r="E19" s="16" t="s">
        <v>1</v>
      </c>
      <c r="F19" s="16" t="s">
        <v>1</v>
      </c>
      <c r="G19" s="16" t="s">
        <v>2</v>
      </c>
      <c r="H19" s="16" t="s">
        <v>2</v>
      </c>
      <c r="I19" s="16" t="s">
        <v>12</v>
      </c>
      <c r="J19" s="16" t="s">
        <v>12</v>
      </c>
      <c r="K19" s="16" t="s">
        <v>2</v>
      </c>
      <c r="L19" s="16" t="s">
        <v>2</v>
      </c>
      <c r="M19" s="16" t="s">
        <v>1</v>
      </c>
      <c r="N19" s="16" t="s">
        <v>2</v>
      </c>
      <c r="O19" s="16" t="s">
        <v>2</v>
      </c>
      <c r="P19" s="16" t="s">
        <v>1</v>
      </c>
      <c r="Q19" s="17"/>
      <c r="R19" s="17" t="str">
        <f t="shared" si="0"/>
        <v>Inverted Residue5</v>
      </c>
      <c r="T19" t="s">
        <v>172</v>
      </c>
      <c r="U19" t="s">
        <v>165</v>
      </c>
      <c r="V19" t="s">
        <v>166</v>
      </c>
    </row>
    <row r="20" spans="1:22" x14ac:dyDescent="0.35">
      <c r="A20" s="16" t="s">
        <v>30</v>
      </c>
      <c r="B20" s="16" t="s">
        <v>2</v>
      </c>
      <c r="C20" s="16" t="s">
        <v>1</v>
      </c>
      <c r="D20" s="16" t="s">
        <v>12</v>
      </c>
      <c r="E20" s="16" t="s">
        <v>2</v>
      </c>
      <c r="F20" s="16" t="s">
        <v>1</v>
      </c>
      <c r="G20" s="16" t="s">
        <v>1</v>
      </c>
      <c r="H20" s="16" t="s">
        <v>2</v>
      </c>
      <c r="I20" s="16" t="s">
        <v>1</v>
      </c>
      <c r="J20" s="16" t="s">
        <v>12</v>
      </c>
      <c r="K20" s="16" t="s">
        <v>12</v>
      </c>
      <c r="L20" s="16" t="s">
        <v>1</v>
      </c>
      <c r="M20" s="16" t="s">
        <v>1</v>
      </c>
      <c r="N20" s="16" t="s">
        <v>2</v>
      </c>
      <c r="O20" s="16" t="s">
        <v>1</v>
      </c>
      <c r="P20" s="16" t="s">
        <v>12</v>
      </c>
      <c r="Q20" s="17"/>
      <c r="R20" s="17" t="str">
        <f t="shared" si="0"/>
        <v>Inverted Residue5</v>
      </c>
      <c r="T20" t="s">
        <v>18</v>
      </c>
      <c r="U20" t="s">
        <v>154</v>
      </c>
      <c r="V20" t="s">
        <v>173</v>
      </c>
    </row>
    <row r="21" spans="1:22" x14ac:dyDescent="0.35">
      <c r="A21" s="18" t="s">
        <v>31</v>
      </c>
      <c r="B21" s="18" t="s">
        <v>2</v>
      </c>
      <c r="C21" s="18" t="s">
        <v>12</v>
      </c>
      <c r="D21" s="18" t="s">
        <v>2</v>
      </c>
      <c r="E21" s="18" t="s">
        <v>2</v>
      </c>
      <c r="F21" s="18" t="s">
        <v>12</v>
      </c>
      <c r="G21" s="18" t="s">
        <v>12</v>
      </c>
      <c r="H21" s="18" t="s">
        <v>2</v>
      </c>
      <c r="I21" s="18" t="s">
        <v>1</v>
      </c>
      <c r="J21" s="18" t="s">
        <v>2</v>
      </c>
      <c r="K21" s="18" t="s">
        <v>2</v>
      </c>
      <c r="L21" s="18" t="s">
        <v>2</v>
      </c>
      <c r="M21" s="18" t="s">
        <v>2</v>
      </c>
      <c r="N21" s="18" t="s">
        <v>2</v>
      </c>
      <c r="O21" s="18" t="s">
        <v>12</v>
      </c>
      <c r="P21" s="18" t="s">
        <v>1</v>
      </c>
      <c r="Q21" s="19"/>
      <c r="R21" s="19" t="str">
        <f t="shared" si="0"/>
        <v>Inverted Residue6</v>
      </c>
      <c r="T21" t="s">
        <v>174</v>
      </c>
      <c r="U21" t="s">
        <v>156</v>
      </c>
      <c r="V21" t="s">
        <v>173</v>
      </c>
    </row>
    <row r="22" spans="1:22" x14ac:dyDescent="0.35">
      <c r="A22" s="18" t="s">
        <v>32</v>
      </c>
      <c r="B22" s="18" t="s">
        <v>2</v>
      </c>
      <c r="C22" s="18" t="s">
        <v>12</v>
      </c>
      <c r="D22" s="18" t="s">
        <v>2</v>
      </c>
      <c r="E22" s="18" t="s">
        <v>2</v>
      </c>
      <c r="F22" s="18" t="s">
        <v>1</v>
      </c>
      <c r="G22" s="18" t="s">
        <v>1</v>
      </c>
      <c r="H22" s="18" t="s">
        <v>2</v>
      </c>
      <c r="I22" s="18" t="s">
        <v>1</v>
      </c>
      <c r="J22" s="18" t="s">
        <v>2</v>
      </c>
      <c r="K22" s="18" t="s">
        <v>2</v>
      </c>
      <c r="L22" s="18" t="s">
        <v>12</v>
      </c>
      <c r="M22" s="18" t="s">
        <v>2</v>
      </c>
      <c r="N22" s="18" t="s">
        <v>2</v>
      </c>
      <c r="O22" s="18" t="s">
        <v>12</v>
      </c>
      <c r="P22" s="18" t="s">
        <v>1</v>
      </c>
      <c r="Q22" s="19"/>
      <c r="R22" s="19" t="str">
        <f t="shared" si="0"/>
        <v>Inverted Residue6</v>
      </c>
      <c r="T22" t="s">
        <v>175</v>
      </c>
      <c r="U22" t="s">
        <v>162</v>
      </c>
      <c r="V22" t="s">
        <v>173</v>
      </c>
    </row>
    <row r="23" spans="1:22" x14ac:dyDescent="0.35">
      <c r="A23" s="18" t="s">
        <v>33</v>
      </c>
      <c r="B23" s="18" t="s">
        <v>2</v>
      </c>
      <c r="C23" s="18" t="s">
        <v>1</v>
      </c>
      <c r="D23" s="18" t="s">
        <v>1</v>
      </c>
      <c r="E23" s="18" t="s">
        <v>2</v>
      </c>
      <c r="F23" s="18" t="s">
        <v>12</v>
      </c>
      <c r="G23" s="18" t="s">
        <v>1</v>
      </c>
      <c r="H23" s="18" t="s">
        <v>2</v>
      </c>
      <c r="I23" s="18" t="s">
        <v>1</v>
      </c>
      <c r="J23" s="18" t="s">
        <v>1</v>
      </c>
      <c r="K23" s="18" t="s">
        <v>2</v>
      </c>
      <c r="L23" s="18" t="s">
        <v>12</v>
      </c>
      <c r="M23" s="18" t="s">
        <v>1</v>
      </c>
      <c r="N23" s="18" t="s">
        <v>2</v>
      </c>
      <c r="O23" s="18" t="s">
        <v>1</v>
      </c>
      <c r="P23" s="18" t="s">
        <v>12</v>
      </c>
      <c r="Q23" s="19"/>
      <c r="R23" s="19" t="str">
        <f t="shared" si="0"/>
        <v>Inverted Residue6</v>
      </c>
      <c r="T23" t="s">
        <v>19</v>
      </c>
      <c r="U23" t="s">
        <v>154</v>
      </c>
      <c r="V23" t="s">
        <v>173</v>
      </c>
    </row>
    <row r="24" spans="1:22" x14ac:dyDescent="0.35">
      <c r="A24" s="18" t="s">
        <v>34</v>
      </c>
      <c r="B24" s="18" t="s">
        <v>2</v>
      </c>
      <c r="C24" s="18" t="s">
        <v>12</v>
      </c>
      <c r="D24" s="18" t="s">
        <v>1</v>
      </c>
      <c r="E24" s="18" t="s">
        <v>2</v>
      </c>
      <c r="F24" s="18" t="s">
        <v>12</v>
      </c>
      <c r="G24" s="18" t="s">
        <v>1</v>
      </c>
      <c r="H24" s="18" t="s">
        <v>2</v>
      </c>
      <c r="I24" s="18" t="s">
        <v>1</v>
      </c>
      <c r="J24" s="18" t="s">
        <v>1</v>
      </c>
      <c r="K24" s="18" t="s">
        <v>2</v>
      </c>
      <c r="L24" s="18" t="s">
        <v>2</v>
      </c>
      <c r="M24" s="18" t="s">
        <v>1</v>
      </c>
      <c r="N24" s="18" t="s">
        <v>2</v>
      </c>
      <c r="O24" s="18" t="s">
        <v>1</v>
      </c>
      <c r="P24" s="18" t="s">
        <v>1</v>
      </c>
      <c r="Q24" s="19"/>
      <c r="R24" s="19" t="str">
        <f t="shared" si="0"/>
        <v>Inverted Residue6</v>
      </c>
      <c r="T24" t="s">
        <v>176</v>
      </c>
      <c r="U24" t="s">
        <v>156</v>
      </c>
      <c r="V24" t="s">
        <v>173</v>
      </c>
    </row>
    <row r="25" spans="1:22" x14ac:dyDescent="0.35">
      <c r="A25" s="18" t="s">
        <v>35</v>
      </c>
      <c r="B25" s="18" t="s">
        <v>2</v>
      </c>
      <c r="C25" s="18" t="s">
        <v>1</v>
      </c>
      <c r="D25" s="18" t="s">
        <v>2</v>
      </c>
      <c r="E25" s="18" t="s">
        <v>2</v>
      </c>
      <c r="F25" s="18" t="s">
        <v>1</v>
      </c>
      <c r="G25" s="18" t="s">
        <v>1</v>
      </c>
      <c r="H25" s="18" t="s">
        <v>2</v>
      </c>
      <c r="I25" s="18" t="s">
        <v>12</v>
      </c>
      <c r="J25" s="18" t="s">
        <v>2</v>
      </c>
      <c r="K25" s="18" t="s">
        <v>12</v>
      </c>
      <c r="L25" s="18" t="s">
        <v>12</v>
      </c>
      <c r="M25" s="18" t="s">
        <v>2</v>
      </c>
      <c r="N25" s="18" t="s">
        <v>2</v>
      </c>
      <c r="O25" s="18" t="s">
        <v>1</v>
      </c>
      <c r="P25" s="18" t="s">
        <v>12</v>
      </c>
      <c r="Q25" s="19"/>
      <c r="R25" s="19" t="str">
        <f t="shared" si="0"/>
        <v>Inverted Residue6</v>
      </c>
      <c r="T25" t="s">
        <v>177</v>
      </c>
      <c r="U25" t="s">
        <v>162</v>
      </c>
      <c r="V25" t="s">
        <v>173</v>
      </c>
    </row>
    <row r="26" spans="1:22" x14ac:dyDescent="0.35">
      <c r="A26" s="20" t="s">
        <v>36</v>
      </c>
      <c r="B26" s="20" t="s">
        <v>1</v>
      </c>
      <c r="C26" s="20" t="s">
        <v>2</v>
      </c>
      <c r="D26" s="20" t="s">
        <v>12</v>
      </c>
      <c r="E26" s="20" t="s">
        <v>1</v>
      </c>
      <c r="F26" s="20" t="s">
        <v>2</v>
      </c>
      <c r="G26" s="20" t="s">
        <v>2</v>
      </c>
      <c r="H26" s="20" t="s">
        <v>1</v>
      </c>
      <c r="I26" s="20" t="s">
        <v>2</v>
      </c>
      <c r="J26" s="20" t="s">
        <v>1</v>
      </c>
      <c r="K26" s="20" t="s">
        <v>1</v>
      </c>
      <c r="L26" s="20" t="s">
        <v>2</v>
      </c>
      <c r="M26" s="20" t="s">
        <v>2</v>
      </c>
      <c r="N26" s="20" t="s">
        <v>1</v>
      </c>
      <c r="O26" s="20" t="s">
        <v>2</v>
      </c>
      <c r="P26" s="20" t="s">
        <v>2</v>
      </c>
      <c r="Q26" s="21"/>
      <c r="R26" s="21" t="str">
        <f t="shared" si="0"/>
        <v>Inverted Residue7</v>
      </c>
      <c r="T26" t="s">
        <v>20</v>
      </c>
      <c r="U26" t="s">
        <v>154</v>
      </c>
      <c r="V26" t="s">
        <v>173</v>
      </c>
    </row>
    <row r="27" spans="1:22" x14ac:dyDescent="0.35">
      <c r="A27" s="20" t="s">
        <v>37</v>
      </c>
      <c r="B27" s="20" t="s">
        <v>1</v>
      </c>
      <c r="C27" s="20" t="s">
        <v>2</v>
      </c>
      <c r="D27" s="20" t="s">
        <v>12</v>
      </c>
      <c r="E27" s="20" t="s">
        <v>1</v>
      </c>
      <c r="F27" s="20" t="s">
        <v>2</v>
      </c>
      <c r="G27" s="20" t="s">
        <v>12</v>
      </c>
      <c r="H27" s="20" t="s">
        <v>1</v>
      </c>
      <c r="I27" s="20" t="s">
        <v>2</v>
      </c>
      <c r="J27" s="20" t="s">
        <v>1</v>
      </c>
      <c r="K27" s="20" t="s">
        <v>1</v>
      </c>
      <c r="L27" s="20" t="s">
        <v>2</v>
      </c>
      <c r="M27" s="20" t="s">
        <v>2</v>
      </c>
      <c r="N27" s="20" t="s">
        <v>1</v>
      </c>
      <c r="O27" s="20" t="s">
        <v>2</v>
      </c>
      <c r="P27" s="20" t="s">
        <v>2</v>
      </c>
      <c r="Q27" s="21"/>
      <c r="R27" s="21" t="str">
        <f t="shared" si="0"/>
        <v>Inverted Residue7</v>
      </c>
      <c r="T27" t="s">
        <v>178</v>
      </c>
      <c r="U27" t="s">
        <v>156</v>
      </c>
      <c r="V27" t="s">
        <v>173</v>
      </c>
    </row>
    <row r="28" spans="1:22" x14ac:dyDescent="0.35">
      <c r="A28" s="20" t="s">
        <v>38</v>
      </c>
      <c r="B28" s="20" t="s">
        <v>1</v>
      </c>
      <c r="C28" s="20" t="s">
        <v>2</v>
      </c>
      <c r="D28" s="20" t="s">
        <v>1</v>
      </c>
      <c r="E28" s="20" t="s">
        <v>1</v>
      </c>
      <c r="F28" s="20" t="s">
        <v>2</v>
      </c>
      <c r="G28" s="20" t="s">
        <v>12</v>
      </c>
      <c r="H28" s="20" t="s">
        <v>1</v>
      </c>
      <c r="I28" s="20" t="s">
        <v>2</v>
      </c>
      <c r="J28" s="20" t="s">
        <v>1</v>
      </c>
      <c r="K28" s="20" t="s">
        <v>1</v>
      </c>
      <c r="L28" s="20" t="s">
        <v>2</v>
      </c>
      <c r="M28" s="20" t="s">
        <v>12</v>
      </c>
      <c r="N28" s="20" t="s">
        <v>1</v>
      </c>
      <c r="O28" s="20" t="s">
        <v>2</v>
      </c>
      <c r="P28" s="20" t="s">
        <v>2</v>
      </c>
      <c r="Q28" s="21"/>
      <c r="R28" s="21" t="str">
        <f t="shared" si="0"/>
        <v>Inverted Residue7</v>
      </c>
      <c r="T28" t="s">
        <v>179</v>
      </c>
      <c r="U28" t="s">
        <v>165</v>
      </c>
      <c r="V28" t="s">
        <v>173</v>
      </c>
    </row>
    <row r="29" spans="1:22" x14ac:dyDescent="0.35">
      <c r="A29" s="16" t="s">
        <v>39</v>
      </c>
      <c r="B29" s="16" t="s">
        <v>1</v>
      </c>
      <c r="C29" s="16" t="s">
        <v>12</v>
      </c>
      <c r="D29" s="16" t="s">
        <v>1</v>
      </c>
      <c r="E29" s="16" t="s">
        <v>2</v>
      </c>
      <c r="F29" s="16" t="s">
        <v>12</v>
      </c>
      <c r="G29" s="16" t="s">
        <v>1</v>
      </c>
      <c r="H29" s="16" t="s">
        <v>1</v>
      </c>
      <c r="I29" s="16" t="s">
        <v>2</v>
      </c>
      <c r="J29" s="16" t="s">
        <v>12</v>
      </c>
      <c r="K29" s="16" t="s">
        <v>1</v>
      </c>
      <c r="L29" s="16" t="s">
        <v>12</v>
      </c>
      <c r="M29" s="16" t="s">
        <v>12</v>
      </c>
      <c r="N29" s="16" t="s">
        <v>12</v>
      </c>
      <c r="O29" s="16" t="s">
        <v>2</v>
      </c>
      <c r="P29" s="16" t="s">
        <v>1</v>
      </c>
      <c r="Q29" s="17"/>
      <c r="R29" s="17" t="str">
        <f t="shared" si="0"/>
        <v>Inverted Residue8</v>
      </c>
      <c r="T29" t="s">
        <v>21</v>
      </c>
      <c r="U29" t="s">
        <v>154</v>
      </c>
      <c r="V29" t="s">
        <v>180</v>
      </c>
    </row>
    <row r="30" spans="1:22" x14ac:dyDescent="0.35">
      <c r="A30" s="16" t="s">
        <v>40</v>
      </c>
      <c r="B30" s="16" t="s">
        <v>2</v>
      </c>
      <c r="C30" s="16" t="s">
        <v>2</v>
      </c>
      <c r="D30" s="16" t="s">
        <v>1</v>
      </c>
      <c r="E30" s="16" t="s">
        <v>2</v>
      </c>
      <c r="F30" s="16" t="s">
        <v>2</v>
      </c>
      <c r="G30" s="16" t="s">
        <v>1</v>
      </c>
      <c r="H30" s="16" t="s">
        <v>2</v>
      </c>
      <c r="I30" s="16" t="s">
        <v>12</v>
      </c>
      <c r="J30" s="16" t="s">
        <v>1</v>
      </c>
      <c r="K30" s="16" t="s">
        <v>2</v>
      </c>
      <c r="L30" s="16" t="s">
        <v>2</v>
      </c>
      <c r="M30" s="16" t="s">
        <v>1</v>
      </c>
      <c r="N30" s="16" t="s">
        <v>2</v>
      </c>
      <c r="O30" s="16" t="s">
        <v>2</v>
      </c>
      <c r="P30" s="16" t="s">
        <v>1</v>
      </c>
      <c r="Q30" s="17"/>
      <c r="R30" s="17" t="str">
        <f t="shared" si="0"/>
        <v>Inverted Residue8</v>
      </c>
      <c r="T30" t="s">
        <v>181</v>
      </c>
      <c r="U30" t="s">
        <v>156</v>
      </c>
      <c r="V30" t="s">
        <v>180</v>
      </c>
    </row>
    <row r="31" spans="1:22" x14ac:dyDescent="0.35">
      <c r="A31" s="16" t="s">
        <v>41</v>
      </c>
      <c r="B31" s="16" t="s">
        <v>1</v>
      </c>
      <c r="C31" s="16" t="s">
        <v>2</v>
      </c>
      <c r="D31" s="16" t="s">
        <v>2</v>
      </c>
      <c r="E31" s="16" t="s">
        <v>2</v>
      </c>
      <c r="F31" s="16" t="s">
        <v>2</v>
      </c>
      <c r="G31" s="16" t="s">
        <v>2</v>
      </c>
      <c r="H31" s="16" t="s">
        <v>12</v>
      </c>
      <c r="I31" s="16" t="s">
        <v>2</v>
      </c>
      <c r="J31" s="16" t="s">
        <v>12</v>
      </c>
      <c r="K31" s="16" t="s">
        <v>1</v>
      </c>
      <c r="L31" s="16" t="s">
        <v>2</v>
      </c>
      <c r="M31" s="16" t="s">
        <v>1</v>
      </c>
      <c r="N31" s="16" t="s">
        <v>1</v>
      </c>
      <c r="O31" s="16" t="s">
        <v>2</v>
      </c>
      <c r="P31" s="16" t="s">
        <v>2</v>
      </c>
      <c r="Q31" s="17"/>
      <c r="R31" s="17" t="str">
        <f t="shared" si="0"/>
        <v>Inverted Residue8</v>
      </c>
      <c r="T31" t="s">
        <v>182</v>
      </c>
      <c r="U31" t="s">
        <v>162</v>
      </c>
      <c r="V31" t="s">
        <v>180</v>
      </c>
    </row>
    <row r="32" spans="1:22" x14ac:dyDescent="0.35">
      <c r="A32" s="22" t="s">
        <v>42</v>
      </c>
      <c r="B32" s="22" t="s">
        <v>1</v>
      </c>
      <c r="C32" s="22" t="s">
        <v>2</v>
      </c>
      <c r="D32" s="22" t="s">
        <v>2</v>
      </c>
      <c r="E32" s="22" t="s">
        <v>2</v>
      </c>
      <c r="F32" s="22" t="s">
        <v>2</v>
      </c>
      <c r="G32" s="22" t="s">
        <v>12</v>
      </c>
      <c r="H32" s="22" t="s">
        <v>2</v>
      </c>
      <c r="I32" s="22" t="s">
        <v>2</v>
      </c>
      <c r="J32" s="22" t="s">
        <v>2</v>
      </c>
      <c r="K32" s="22" t="s">
        <v>12</v>
      </c>
      <c r="L32" s="22" t="s">
        <v>2</v>
      </c>
      <c r="M32" s="22" t="s">
        <v>2</v>
      </c>
      <c r="N32" s="22" t="s">
        <v>1</v>
      </c>
      <c r="O32" s="22" t="s">
        <v>12</v>
      </c>
      <c r="P32" s="22" t="s">
        <v>2</v>
      </c>
      <c r="Q32" s="23"/>
      <c r="R32" s="23" t="str">
        <f t="shared" si="0"/>
        <v>Inverted Residue9</v>
      </c>
      <c r="T32" t="s">
        <v>22</v>
      </c>
      <c r="U32" t="s">
        <v>154</v>
      </c>
      <c r="V32" t="s">
        <v>180</v>
      </c>
    </row>
    <row r="33" spans="1:22" x14ac:dyDescent="0.35">
      <c r="A33" s="22" t="s">
        <v>43</v>
      </c>
      <c r="B33" s="22" t="s">
        <v>1</v>
      </c>
      <c r="C33" s="22" t="s">
        <v>2</v>
      </c>
      <c r="D33" s="22" t="s">
        <v>2</v>
      </c>
      <c r="E33" s="22" t="s">
        <v>12</v>
      </c>
      <c r="F33" s="22" t="s">
        <v>2</v>
      </c>
      <c r="G33" s="22" t="s">
        <v>12</v>
      </c>
      <c r="H33" s="22" t="s">
        <v>2</v>
      </c>
      <c r="I33" s="22" t="s">
        <v>2</v>
      </c>
      <c r="J33" s="22" t="s">
        <v>2</v>
      </c>
      <c r="K33" s="22" t="s">
        <v>12</v>
      </c>
      <c r="L33" s="22" t="s">
        <v>2</v>
      </c>
      <c r="M33" s="22" t="s">
        <v>2</v>
      </c>
      <c r="N33" s="22" t="s">
        <v>1</v>
      </c>
      <c r="O33" s="22" t="s">
        <v>2</v>
      </c>
      <c r="P33" s="22" t="s">
        <v>2</v>
      </c>
      <c r="Q33" s="23"/>
      <c r="R33" s="23" t="str">
        <f t="shared" si="0"/>
        <v>Inverted Residue9</v>
      </c>
      <c r="T33" t="s">
        <v>183</v>
      </c>
      <c r="U33" t="s">
        <v>156</v>
      </c>
      <c r="V33" t="s">
        <v>180</v>
      </c>
    </row>
    <row r="34" spans="1:22" x14ac:dyDescent="0.35">
      <c r="A34" s="22" t="s">
        <v>44</v>
      </c>
      <c r="B34" s="22" t="s">
        <v>12</v>
      </c>
      <c r="C34" s="22" t="s">
        <v>2</v>
      </c>
      <c r="D34" s="22" t="s">
        <v>12</v>
      </c>
      <c r="E34" s="22" t="s">
        <v>1</v>
      </c>
      <c r="F34" s="22" t="s">
        <v>12</v>
      </c>
      <c r="G34" s="22" t="s">
        <v>2</v>
      </c>
      <c r="H34" s="22" t="s">
        <v>12</v>
      </c>
      <c r="I34" s="22" t="s">
        <v>2</v>
      </c>
      <c r="J34" s="22" t="s">
        <v>2</v>
      </c>
      <c r="K34" s="22" t="s">
        <v>1</v>
      </c>
      <c r="L34" s="22" t="s">
        <v>2</v>
      </c>
      <c r="M34" s="22" t="s">
        <v>12</v>
      </c>
      <c r="N34" s="22" t="s">
        <v>12</v>
      </c>
      <c r="O34" s="22" t="s">
        <v>2</v>
      </c>
      <c r="P34" s="22" t="s">
        <v>1</v>
      </c>
      <c r="Q34" s="23"/>
      <c r="R34" s="23" t="str">
        <f t="shared" si="0"/>
        <v>Inverted Residue9</v>
      </c>
      <c r="T34" t="s">
        <v>184</v>
      </c>
      <c r="U34" t="s">
        <v>162</v>
      </c>
      <c r="V34" t="s">
        <v>180</v>
      </c>
    </row>
    <row r="35" spans="1:22" x14ac:dyDescent="0.35">
      <c r="A35" s="24" t="s">
        <v>45</v>
      </c>
      <c r="B35" s="24" t="s">
        <v>2</v>
      </c>
      <c r="C35" s="24" t="s">
        <v>12</v>
      </c>
      <c r="D35" s="24" t="s">
        <v>1</v>
      </c>
      <c r="E35" s="24" t="s">
        <v>12</v>
      </c>
      <c r="F35" s="24" t="s">
        <v>1</v>
      </c>
      <c r="G35" s="24" t="s">
        <v>12</v>
      </c>
      <c r="H35" s="24" t="s">
        <v>2</v>
      </c>
      <c r="I35" s="24" t="s">
        <v>1</v>
      </c>
      <c r="J35" s="24" t="s">
        <v>12</v>
      </c>
      <c r="K35" s="24" t="s">
        <v>2</v>
      </c>
      <c r="L35" s="24" t="s">
        <v>1</v>
      </c>
      <c r="M35" s="24" t="s">
        <v>1</v>
      </c>
      <c r="N35" s="24" t="s">
        <v>2</v>
      </c>
      <c r="O35" s="24" t="s">
        <v>1</v>
      </c>
      <c r="P35" s="24" t="s">
        <v>1</v>
      </c>
      <c r="Q35" s="25"/>
      <c r="R35" s="25" t="str">
        <f t="shared" si="0"/>
        <v>Inverted Residue10</v>
      </c>
      <c r="T35" t="s">
        <v>185</v>
      </c>
      <c r="U35" t="s">
        <v>186</v>
      </c>
      <c r="V35" t="s">
        <v>180</v>
      </c>
    </row>
    <row r="36" spans="1:22" x14ac:dyDescent="0.35">
      <c r="A36" s="24" t="s">
        <v>46</v>
      </c>
      <c r="B36" s="24" t="s">
        <v>2</v>
      </c>
      <c r="C36" s="24" t="s">
        <v>1</v>
      </c>
      <c r="D36" s="24" t="s">
        <v>1</v>
      </c>
      <c r="E36" s="24" t="s">
        <v>1</v>
      </c>
      <c r="F36" s="24" t="s">
        <v>1</v>
      </c>
      <c r="G36" s="24" t="s">
        <v>2</v>
      </c>
      <c r="H36" s="24" t="s">
        <v>2</v>
      </c>
      <c r="I36" s="24" t="s">
        <v>1</v>
      </c>
      <c r="J36" s="24" t="s">
        <v>2</v>
      </c>
      <c r="K36" s="24" t="s">
        <v>12</v>
      </c>
      <c r="L36" s="24" t="s">
        <v>1</v>
      </c>
      <c r="M36" s="24" t="s">
        <v>1</v>
      </c>
      <c r="N36" s="24" t="s">
        <v>12</v>
      </c>
      <c r="O36" s="24" t="s">
        <v>1</v>
      </c>
      <c r="P36" s="24" t="s">
        <v>1</v>
      </c>
      <c r="Q36" s="25"/>
      <c r="R36" s="25" t="str">
        <f t="shared" si="0"/>
        <v>Inverted Residue10</v>
      </c>
      <c r="T36" t="s">
        <v>23</v>
      </c>
      <c r="U36" t="s">
        <v>154</v>
      </c>
      <c r="V36" t="s">
        <v>180</v>
      </c>
    </row>
    <row r="37" spans="1:22" x14ac:dyDescent="0.35">
      <c r="A37" s="24" t="s">
        <v>47</v>
      </c>
      <c r="B37" s="24" t="s">
        <v>2</v>
      </c>
      <c r="C37" s="24" t="s">
        <v>1</v>
      </c>
      <c r="D37" s="24" t="s">
        <v>1</v>
      </c>
      <c r="E37" s="24" t="s">
        <v>12</v>
      </c>
      <c r="F37" s="24" t="s">
        <v>1</v>
      </c>
      <c r="G37" s="24" t="s">
        <v>2</v>
      </c>
      <c r="H37" s="24" t="s">
        <v>2</v>
      </c>
      <c r="I37" s="24" t="s">
        <v>1</v>
      </c>
      <c r="J37" s="24" t="s">
        <v>12</v>
      </c>
      <c r="K37" s="24" t="s">
        <v>1</v>
      </c>
      <c r="L37" s="24" t="s">
        <v>1</v>
      </c>
      <c r="M37" s="24" t="s">
        <v>1</v>
      </c>
      <c r="N37" s="24" t="s">
        <v>12</v>
      </c>
      <c r="O37" s="24" t="s">
        <v>1</v>
      </c>
      <c r="P37" s="24" t="s">
        <v>12</v>
      </c>
      <c r="Q37" s="25"/>
      <c r="R37" s="25" t="str">
        <f t="shared" si="0"/>
        <v>Inverted Residue10</v>
      </c>
      <c r="T37" t="s">
        <v>187</v>
      </c>
      <c r="U37" t="s">
        <v>162</v>
      </c>
      <c r="V37" t="s">
        <v>180</v>
      </c>
    </row>
    <row r="38" spans="1:22" x14ac:dyDescent="0.35">
      <c r="A38" s="26" t="s">
        <v>48</v>
      </c>
      <c r="B38" s="26" t="s">
        <v>1</v>
      </c>
      <c r="C38" s="26" t="s">
        <v>12</v>
      </c>
      <c r="D38" s="26" t="s">
        <v>1</v>
      </c>
      <c r="E38" s="26" t="s">
        <v>1</v>
      </c>
      <c r="F38" s="26" t="s">
        <v>2</v>
      </c>
      <c r="G38" s="26" t="s">
        <v>2</v>
      </c>
      <c r="H38" s="26" t="s">
        <v>1</v>
      </c>
      <c r="I38" s="26" t="s">
        <v>12</v>
      </c>
      <c r="J38" s="26" t="s">
        <v>1</v>
      </c>
      <c r="K38" s="26" t="s">
        <v>1</v>
      </c>
      <c r="L38" s="26" t="s">
        <v>2</v>
      </c>
      <c r="M38" s="26" t="s">
        <v>1</v>
      </c>
      <c r="N38" s="26" t="s">
        <v>1</v>
      </c>
      <c r="O38" s="26" t="s">
        <v>12</v>
      </c>
      <c r="P38" s="26" t="s">
        <v>2</v>
      </c>
      <c r="Q38" s="27"/>
      <c r="R38" s="27" t="str">
        <f t="shared" si="0"/>
        <v>Inverted Residue11</v>
      </c>
      <c r="T38" t="s">
        <v>24</v>
      </c>
      <c r="U38" t="s">
        <v>154</v>
      </c>
      <c r="V38" t="s">
        <v>180</v>
      </c>
    </row>
    <row r="39" spans="1:22" x14ac:dyDescent="0.35">
      <c r="A39" s="26" t="s">
        <v>49</v>
      </c>
      <c r="B39" s="26" t="s">
        <v>1</v>
      </c>
      <c r="C39" s="26" t="s">
        <v>12</v>
      </c>
      <c r="D39" s="26" t="s">
        <v>2</v>
      </c>
      <c r="E39" s="26" t="s">
        <v>1</v>
      </c>
      <c r="F39" s="26" t="s">
        <v>2</v>
      </c>
      <c r="G39" s="26" t="s">
        <v>2</v>
      </c>
      <c r="H39" s="26" t="s">
        <v>1</v>
      </c>
      <c r="I39" s="26" t="s">
        <v>2</v>
      </c>
      <c r="J39" s="26" t="s">
        <v>2</v>
      </c>
      <c r="K39" s="26" t="s">
        <v>1</v>
      </c>
      <c r="L39" s="26" t="s">
        <v>2</v>
      </c>
      <c r="M39" s="26" t="s">
        <v>12</v>
      </c>
      <c r="N39" s="26" t="s">
        <v>1</v>
      </c>
      <c r="O39" s="26" t="s">
        <v>2</v>
      </c>
      <c r="P39" s="26" t="s">
        <v>2</v>
      </c>
      <c r="Q39" s="27"/>
      <c r="R39" s="27" t="str">
        <f t="shared" si="0"/>
        <v>Inverted Residue11</v>
      </c>
      <c r="T39" t="s">
        <v>188</v>
      </c>
      <c r="U39" t="s">
        <v>189</v>
      </c>
      <c r="V39" t="s">
        <v>180</v>
      </c>
    </row>
    <row r="40" spans="1:22" x14ac:dyDescent="0.35">
      <c r="A40" s="26" t="s">
        <v>50</v>
      </c>
      <c r="B40" s="26" t="s">
        <v>2</v>
      </c>
      <c r="C40" s="26" t="s">
        <v>1</v>
      </c>
      <c r="D40" s="26" t="s">
        <v>2</v>
      </c>
      <c r="E40" s="26" t="s">
        <v>12</v>
      </c>
      <c r="F40" s="26" t="s">
        <v>12</v>
      </c>
      <c r="G40" s="26" t="s">
        <v>2</v>
      </c>
      <c r="H40" s="26" t="s">
        <v>2</v>
      </c>
      <c r="I40" s="26" t="s">
        <v>1</v>
      </c>
      <c r="J40" s="26" t="s">
        <v>2</v>
      </c>
      <c r="K40" s="26" t="s">
        <v>2</v>
      </c>
      <c r="L40" s="26" t="s">
        <v>1</v>
      </c>
      <c r="M40" s="26" t="s">
        <v>2</v>
      </c>
      <c r="N40" s="26" t="s">
        <v>2</v>
      </c>
      <c r="O40" s="26" t="s">
        <v>12</v>
      </c>
      <c r="P40" s="26" t="s">
        <v>2</v>
      </c>
      <c r="Q40" s="27"/>
      <c r="R40" s="27" t="str">
        <f t="shared" si="0"/>
        <v>Inverted Residue11</v>
      </c>
      <c r="T40" t="s">
        <v>190</v>
      </c>
      <c r="U40" t="s">
        <v>191</v>
      </c>
      <c r="V40" t="s">
        <v>180</v>
      </c>
    </row>
    <row r="41" spans="1:22" x14ac:dyDescent="0.35">
      <c r="A41" s="26" t="s">
        <v>51</v>
      </c>
      <c r="B41" s="26" t="s">
        <v>2</v>
      </c>
      <c r="C41" s="26" t="s">
        <v>2</v>
      </c>
      <c r="D41" s="26" t="s">
        <v>2</v>
      </c>
      <c r="E41" s="26" t="s">
        <v>1</v>
      </c>
      <c r="F41" s="26" t="s">
        <v>1</v>
      </c>
      <c r="G41" s="26" t="s">
        <v>12</v>
      </c>
      <c r="H41" s="26" t="s">
        <v>2</v>
      </c>
      <c r="I41" s="26" t="s">
        <v>1</v>
      </c>
      <c r="J41" s="26" t="s">
        <v>2</v>
      </c>
      <c r="K41" s="26" t="s">
        <v>2</v>
      </c>
      <c r="L41" s="26" t="s">
        <v>2</v>
      </c>
      <c r="M41" s="26" t="s">
        <v>2</v>
      </c>
      <c r="N41" s="26" t="s">
        <v>2</v>
      </c>
      <c r="O41" s="26" t="s">
        <v>2</v>
      </c>
      <c r="P41" s="26" t="s">
        <v>2</v>
      </c>
      <c r="Q41" s="27"/>
      <c r="R41" s="27" t="str">
        <f t="shared" si="0"/>
        <v>Inverted Residue11</v>
      </c>
      <c r="T41" t="s">
        <v>25</v>
      </c>
      <c r="U41" t="s">
        <v>154</v>
      </c>
      <c r="V41" t="s">
        <v>180</v>
      </c>
    </row>
    <row r="42" spans="1:22" x14ac:dyDescent="0.35">
      <c r="A42" s="26" t="s">
        <v>52</v>
      </c>
      <c r="B42" s="26" t="s">
        <v>1</v>
      </c>
      <c r="C42" s="26" t="s">
        <v>2</v>
      </c>
      <c r="D42" s="26" t="s">
        <v>1</v>
      </c>
      <c r="E42" s="26" t="s">
        <v>1</v>
      </c>
      <c r="F42" s="26" t="s">
        <v>2</v>
      </c>
      <c r="G42" s="26" t="s">
        <v>12</v>
      </c>
      <c r="H42" s="26" t="s">
        <v>1</v>
      </c>
      <c r="I42" s="26" t="s">
        <v>2</v>
      </c>
      <c r="J42" s="26" t="s">
        <v>12</v>
      </c>
      <c r="K42" s="26" t="s">
        <v>1</v>
      </c>
      <c r="L42" s="26" t="s">
        <v>2</v>
      </c>
      <c r="M42" s="26" t="s">
        <v>1</v>
      </c>
      <c r="N42" s="26" t="s">
        <v>1</v>
      </c>
      <c r="O42" s="26" t="s">
        <v>2</v>
      </c>
      <c r="P42" s="26" t="s">
        <v>12</v>
      </c>
      <c r="Q42" s="27"/>
      <c r="R42" s="27" t="str">
        <f t="shared" si="0"/>
        <v>Inverted Residue11</v>
      </c>
      <c r="T42" t="s">
        <v>192</v>
      </c>
      <c r="U42" t="s">
        <v>156</v>
      </c>
      <c r="V42" t="s">
        <v>180</v>
      </c>
    </row>
    <row r="43" spans="1:22" x14ac:dyDescent="0.35">
      <c r="A43" s="28" t="s">
        <v>53</v>
      </c>
      <c r="B43" s="28" t="s">
        <v>1</v>
      </c>
      <c r="C43" s="28" t="s">
        <v>12</v>
      </c>
      <c r="D43" s="28" t="s">
        <v>2</v>
      </c>
      <c r="E43" s="28" t="s">
        <v>1</v>
      </c>
      <c r="F43" s="28" t="s">
        <v>2</v>
      </c>
      <c r="G43" s="28" t="s">
        <v>12</v>
      </c>
      <c r="H43" s="28" t="s">
        <v>1</v>
      </c>
      <c r="I43" s="28" t="s">
        <v>2</v>
      </c>
      <c r="J43" s="28" t="s">
        <v>12</v>
      </c>
      <c r="K43" s="28" t="s">
        <v>12</v>
      </c>
      <c r="L43" s="28" t="s">
        <v>2</v>
      </c>
      <c r="M43" s="28" t="s">
        <v>2</v>
      </c>
      <c r="N43" s="28" t="s">
        <v>12</v>
      </c>
      <c r="O43" s="28" t="s">
        <v>12</v>
      </c>
      <c r="P43" s="28" t="s">
        <v>2</v>
      </c>
      <c r="Q43" s="29"/>
      <c r="R43" s="29" t="str">
        <f t="shared" si="0"/>
        <v>Inverted Residue12</v>
      </c>
      <c r="T43" t="s">
        <v>193</v>
      </c>
      <c r="U43" t="s">
        <v>165</v>
      </c>
      <c r="V43" t="s">
        <v>180</v>
      </c>
    </row>
    <row r="44" spans="1:22" x14ac:dyDescent="0.35">
      <c r="A44" s="28" t="s">
        <v>54</v>
      </c>
      <c r="B44" s="28" t="s">
        <v>1</v>
      </c>
      <c r="C44" s="28" t="s">
        <v>2</v>
      </c>
      <c r="D44" s="28" t="s">
        <v>2</v>
      </c>
      <c r="E44" s="28" t="s">
        <v>1</v>
      </c>
      <c r="F44" s="28" t="s">
        <v>2</v>
      </c>
      <c r="G44" s="28" t="s">
        <v>1</v>
      </c>
      <c r="H44" s="28" t="s">
        <v>1</v>
      </c>
      <c r="I44" s="28" t="s">
        <v>2</v>
      </c>
      <c r="J44" s="28" t="s">
        <v>12</v>
      </c>
      <c r="K44" s="28" t="s">
        <v>1</v>
      </c>
      <c r="L44" s="28" t="s">
        <v>2</v>
      </c>
      <c r="M44" s="28" t="s">
        <v>2</v>
      </c>
      <c r="N44" s="28" t="s">
        <v>1</v>
      </c>
      <c r="O44" s="28" t="s">
        <v>12</v>
      </c>
      <c r="P44" s="28" t="s">
        <v>2</v>
      </c>
      <c r="Q44" s="29"/>
      <c r="R44" s="29" t="str">
        <f t="shared" si="0"/>
        <v>Inverted Residue12</v>
      </c>
      <c r="T44" t="s">
        <v>26</v>
      </c>
      <c r="U44" t="s">
        <v>154</v>
      </c>
      <c r="V44" t="s">
        <v>194</v>
      </c>
    </row>
    <row r="45" spans="1:22" x14ac:dyDescent="0.35">
      <c r="A45" s="28" t="s">
        <v>55</v>
      </c>
      <c r="B45" s="28" t="s">
        <v>12</v>
      </c>
      <c r="C45" s="28" t="s">
        <v>1</v>
      </c>
      <c r="D45" s="28" t="s">
        <v>12</v>
      </c>
      <c r="E45" s="28" t="s">
        <v>12</v>
      </c>
      <c r="F45" s="28" t="s">
        <v>12</v>
      </c>
      <c r="G45" s="28" t="s">
        <v>2</v>
      </c>
      <c r="H45" s="28" t="s">
        <v>12</v>
      </c>
      <c r="I45" s="28" t="s">
        <v>1</v>
      </c>
      <c r="J45" s="28" t="s">
        <v>1</v>
      </c>
      <c r="K45" s="28" t="s">
        <v>1</v>
      </c>
      <c r="L45" s="28" t="s">
        <v>1</v>
      </c>
      <c r="M45" s="28" t="s">
        <v>2</v>
      </c>
      <c r="N45" s="28" t="s">
        <v>12</v>
      </c>
      <c r="O45" s="28" t="s">
        <v>12</v>
      </c>
      <c r="P45" s="28" t="s">
        <v>2</v>
      </c>
      <c r="Q45" s="29"/>
      <c r="R45" s="29" t="str">
        <f t="shared" si="0"/>
        <v>Inverted Residue12</v>
      </c>
      <c r="T45" t="s">
        <v>195</v>
      </c>
      <c r="U45" t="s">
        <v>156</v>
      </c>
      <c r="V45" t="s">
        <v>194</v>
      </c>
    </row>
    <row r="46" spans="1:22" x14ac:dyDescent="0.35">
      <c r="A46" s="28" t="s">
        <v>56</v>
      </c>
      <c r="B46" s="28" t="s">
        <v>2</v>
      </c>
      <c r="C46" s="28" t="s">
        <v>1</v>
      </c>
      <c r="D46" s="28" t="s">
        <v>1</v>
      </c>
      <c r="E46" s="28" t="s">
        <v>2</v>
      </c>
      <c r="F46" s="28" t="s">
        <v>1</v>
      </c>
      <c r="G46" s="28" t="s">
        <v>2</v>
      </c>
      <c r="H46" s="28" t="s">
        <v>2</v>
      </c>
      <c r="I46" s="28" t="s">
        <v>1</v>
      </c>
      <c r="J46" s="28" t="s">
        <v>1</v>
      </c>
      <c r="K46" s="28" t="s">
        <v>2</v>
      </c>
      <c r="L46" s="28" t="s">
        <v>1</v>
      </c>
      <c r="M46" s="28" t="s">
        <v>2</v>
      </c>
      <c r="N46" s="28" t="s">
        <v>2</v>
      </c>
      <c r="O46" s="28" t="s">
        <v>1</v>
      </c>
      <c r="P46" s="28" t="s">
        <v>2</v>
      </c>
      <c r="Q46" s="29"/>
      <c r="R46" s="29" t="str">
        <f t="shared" si="0"/>
        <v>Inverted Residue12</v>
      </c>
      <c r="T46" t="s">
        <v>196</v>
      </c>
      <c r="U46" t="s">
        <v>162</v>
      </c>
      <c r="V46" t="s">
        <v>194</v>
      </c>
    </row>
    <row r="47" spans="1:22" x14ac:dyDescent="0.35">
      <c r="A47" s="28" t="s">
        <v>57</v>
      </c>
      <c r="B47" s="28" t="s">
        <v>1</v>
      </c>
      <c r="C47" s="28" t="s">
        <v>1</v>
      </c>
      <c r="D47" s="28" t="s">
        <v>2</v>
      </c>
      <c r="E47" s="28" t="s">
        <v>1</v>
      </c>
      <c r="F47" s="28" t="s">
        <v>2</v>
      </c>
      <c r="G47" s="28" t="s">
        <v>12</v>
      </c>
      <c r="H47" s="28" t="s">
        <v>1</v>
      </c>
      <c r="I47" s="28" t="s">
        <v>12</v>
      </c>
      <c r="J47" s="28" t="s">
        <v>12</v>
      </c>
      <c r="K47" s="28" t="s">
        <v>1</v>
      </c>
      <c r="L47" s="28" t="s">
        <v>1</v>
      </c>
      <c r="M47" s="28" t="s">
        <v>12</v>
      </c>
      <c r="N47" s="28" t="s">
        <v>1</v>
      </c>
      <c r="O47" s="28" t="s">
        <v>1</v>
      </c>
      <c r="P47" s="28" t="s">
        <v>2</v>
      </c>
      <c r="Q47" s="29"/>
      <c r="R47" s="29" t="str">
        <f t="shared" si="0"/>
        <v>Inverted Residue12</v>
      </c>
      <c r="T47" t="s">
        <v>27</v>
      </c>
      <c r="U47" t="s">
        <v>154</v>
      </c>
      <c r="V47" t="s">
        <v>194</v>
      </c>
    </row>
    <row r="48" spans="1:22" x14ac:dyDescent="0.35">
      <c r="A48" s="30" t="s">
        <v>58</v>
      </c>
      <c r="B48" s="30" t="s">
        <v>1</v>
      </c>
      <c r="C48" s="30" t="s">
        <v>1</v>
      </c>
      <c r="D48" s="30" t="s">
        <v>1</v>
      </c>
      <c r="E48" s="30" t="s">
        <v>1</v>
      </c>
      <c r="F48" s="30" t="s">
        <v>2</v>
      </c>
      <c r="G48" s="30" t="s">
        <v>2</v>
      </c>
      <c r="H48" s="30" t="s">
        <v>1</v>
      </c>
      <c r="I48" s="30" t="s">
        <v>2</v>
      </c>
      <c r="J48" s="30" t="s">
        <v>1</v>
      </c>
      <c r="K48" s="30" t="s">
        <v>1</v>
      </c>
      <c r="L48" s="30" t="s">
        <v>12</v>
      </c>
      <c r="M48" s="30" t="s">
        <v>1</v>
      </c>
      <c r="N48" s="30" t="s">
        <v>1</v>
      </c>
      <c r="O48" s="30" t="s">
        <v>12</v>
      </c>
      <c r="P48" s="30" t="s">
        <v>2</v>
      </c>
      <c r="Q48" s="31"/>
      <c r="R48" s="31" t="str">
        <f t="shared" si="0"/>
        <v>Inverted Residue13</v>
      </c>
      <c r="T48" t="s">
        <v>197</v>
      </c>
      <c r="U48" t="s">
        <v>156</v>
      </c>
      <c r="V48" t="s">
        <v>194</v>
      </c>
    </row>
    <row r="49" spans="1:22" x14ac:dyDescent="0.35">
      <c r="A49" s="30" t="s">
        <v>59</v>
      </c>
      <c r="B49" s="30" t="s">
        <v>1</v>
      </c>
      <c r="C49" s="30" t="s">
        <v>2</v>
      </c>
      <c r="D49" s="30" t="s">
        <v>1</v>
      </c>
      <c r="E49" s="30" t="s">
        <v>1</v>
      </c>
      <c r="F49" s="30" t="s">
        <v>2</v>
      </c>
      <c r="G49" s="30" t="s">
        <v>12</v>
      </c>
      <c r="H49" s="30" t="s">
        <v>1</v>
      </c>
      <c r="I49" s="30" t="s">
        <v>2</v>
      </c>
      <c r="J49" s="30" t="s">
        <v>1</v>
      </c>
      <c r="K49" s="30" t="s">
        <v>1</v>
      </c>
      <c r="L49" s="30" t="s">
        <v>2</v>
      </c>
      <c r="M49" s="30" t="s">
        <v>1</v>
      </c>
      <c r="N49" s="30" t="s">
        <v>1</v>
      </c>
      <c r="O49" s="30" t="s">
        <v>2</v>
      </c>
      <c r="P49" s="30" t="s">
        <v>12</v>
      </c>
      <c r="Q49" s="31"/>
      <c r="R49" s="31" t="str">
        <f t="shared" si="0"/>
        <v>Inverted Residue13</v>
      </c>
      <c r="T49" t="s">
        <v>198</v>
      </c>
      <c r="U49" t="s">
        <v>162</v>
      </c>
      <c r="V49" t="s">
        <v>194</v>
      </c>
    </row>
    <row r="50" spans="1:22" x14ac:dyDescent="0.35">
      <c r="A50" s="30" t="s">
        <v>60</v>
      </c>
      <c r="B50" s="30" t="s">
        <v>2</v>
      </c>
      <c r="C50" s="30" t="s">
        <v>1</v>
      </c>
      <c r="D50" s="30" t="s">
        <v>2</v>
      </c>
      <c r="E50" s="30" t="s">
        <v>12</v>
      </c>
      <c r="F50" s="30" t="s">
        <v>1</v>
      </c>
      <c r="G50" s="30" t="s">
        <v>2</v>
      </c>
      <c r="H50" s="30" t="s">
        <v>2</v>
      </c>
      <c r="I50" s="30" t="s">
        <v>1</v>
      </c>
      <c r="J50" s="30" t="s">
        <v>1</v>
      </c>
      <c r="K50" s="30" t="s">
        <v>2</v>
      </c>
      <c r="L50" s="30" t="s">
        <v>1</v>
      </c>
      <c r="M50" s="30" t="s">
        <v>12</v>
      </c>
      <c r="N50" s="30" t="s">
        <v>2</v>
      </c>
      <c r="O50" s="30" t="s">
        <v>1</v>
      </c>
      <c r="P50" s="30" t="s">
        <v>2</v>
      </c>
      <c r="Q50" s="31"/>
      <c r="R50" s="31" t="str">
        <f t="shared" si="0"/>
        <v>Inverted Residue13</v>
      </c>
      <c r="T50" t="s">
        <v>199</v>
      </c>
      <c r="U50" t="s">
        <v>186</v>
      </c>
      <c r="V50" t="s">
        <v>194</v>
      </c>
    </row>
    <row r="51" spans="1:22" x14ac:dyDescent="0.35">
      <c r="A51" s="30" t="s">
        <v>61</v>
      </c>
      <c r="B51" s="30" t="s">
        <v>2</v>
      </c>
      <c r="C51" s="30" t="s">
        <v>2</v>
      </c>
      <c r="D51" s="30" t="s">
        <v>2</v>
      </c>
      <c r="E51" s="30" t="s">
        <v>1</v>
      </c>
      <c r="F51" s="30" t="s">
        <v>2</v>
      </c>
      <c r="G51" s="30" t="s">
        <v>2</v>
      </c>
      <c r="H51" s="30" t="s">
        <v>1</v>
      </c>
      <c r="I51" s="30" t="s">
        <v>2</v>
      </c>
      <c r="J51" s="30" t="s">
        <v>12</v>
      </c>
      <c r="K51" s="30" t="s">
        <v>2</v>
      </c>
      <c r="L51" s="30" t="s">
        <v>2</v>
      </c>
      <c r="M51" s="30" t="s">
        <v>2</v>
      </c>
      <c r="N51" s="30" t="s">
        <v>2</v>
      </c>
      <c r="O51" s="30" t="s">
        <v>2</v>
      </c>
      <c r="P51" s="30" t="s">
        <v>2</v>
      </c>
      <c r="Q51" s="31"/>
      <c r="R51" s="31" t="str">
        <f t="shared" si="0"/>
        <v>Inverted Residue13</v>
      </c>
      <c r="T51" t="s">
        <v>28</v>
      </c>
      <c r="U51" t="s">
        <v>154</v>
      </c>
      <c r="V51" t="s">
        <v>194</v>
      </c>
    </row>
    <row r="52" spans="1:22" x14ac:dyDescent="0.35">
      <c r="A52" s="30" t="s">
        <v>62</v>
      </c>
      <c r="B52" s="30" t="s">
        <v>1</v>
      </c>
      <c r="C52" s="30" t="s">
        <v>2</v>
      </c>
      <c r="D52" s="30" t="s">
        <v>1</v>
      </c>
      <c r="E52" s="30" t="s">
        <v>1</v>
      </c>
      <c r="F52" s="30" t="s">
        <v>2</v>
      </c>
      <c r="G52" s="30" t="s">
        <v>1</v>
      </c>
      <c r="H52" s="30" t="s">
        <v>1</v>
      </c>
      <c r="I52" s="30" t="s">
        <v>2</v>
      </c>
      <c r="J52" s="30" t="s">
        <v>1</v>
      </c>
      <c r="K52" s="30" t="s">
        <v>1</v>
      </c>
      <c r="L52" s="30" t="s">
        <v>2</v>
      </c>
      <c r="M52" s="30" t="s">
        <v>1</v>
      </c>
      <c r="N52" s="30" t="s">
        <v>1</v>
      </c>
      <c r="O52" s="30" t="s">
        <v>2</v>
      </c>
      <c r="P52" s="30" t="s">
        <v>1</v>
      </c>
      <c r="Q52" s="31"/>
      <c r="R52" s="31" t="str">
        <f t="shared" si="0"/>
        <v>Inverted Residue13</v>
      </c>
      <c r="T52" t="s">
        <v>200</v>
      </c>
      <c r="U52" t="s">
        <v>162</v>
      </c>
      <c r="V52" t="s">
        <v>194</v>
      </c>
    </row>
    <row r="53" spans="1:22" x14ac:dyDescent="0.35">
      <c r="A53" s="14" t="s">
        <v>63</v>
      </c>
      <c r="B53" s="14" t="s">
        <v>1</v>
      </c>
      <c r="C53" s="14" t="s">
        <v>2</v>
      </c>
      <c r="D53" s="14" t="s">
        <v>1</v>
      </c>
      <c r="E53" s="14" t="s">
        <v>1</v>
      </c>
      <c r="F53" s="14" t="s">
        <v>2</v>
      </c>
      <c r="G53" s="14" t="s">
        <v>1</v>
      </c>
      <c r="H53" s="14" t="s">
        <v>1</v>
      </c>
      <c r="I53" s="14" t="s">
        <v>2</v>
      </c>
      <c r="J53" s="14" t="s">
        <v>1</v>
      </c>
      <c r="K53" s="14" t="s">
        <v>1</v>
      </c>
      <c r="L53" s="14" t="s">
        <v>2</v>
      </c>
      <c r="M53" s="14" t="s">
        <v>1</v>
      </c>
      <c r="N53" s="14" t="s">
        <v>1</v>
      </c>
      <c r="O53" s="14" t="s">
        <v>2</v>
      </c>
      <c r="P53" s="14" t="s">
        <v>1</v>
      </c>
      <c r="Q53" s="15"/>
      <c r="R53" s="15" t="str">
        <f t="shared" si="0"/>
        <v>Inverted Residue14</v>
      </c>
      <c r="T53" t="s">
        <v>29</v>
      </c>
      <c r="U53" t="s">
        <v>154</v>
      </c>
      <c r="V53" t="s">
        <v>194</v>
      </c>
    </row>
    <row r="54" spans="1:22" x14ac:dyDescent="0.35">
      <c r="A54" s="14" t="s">
        <v>64</v>
      </c>
      <c r="B54" s="14" t="s">
        <v>12</v>
      </c>
      <c r="C54" s="14" t="s">
        <v>2</v>
      </c>
      <c r="D54" s="14" t="s">
        <v>2</v>
      </c>
      <c r="E54" s="14" t="s">
        <v>1</v>
      </c>
      <c r="F54" s="14" t="s">
        <v>2</v>
      </c>
      <c r="G54" s="14" t="s">
        <v>1</v>
      </c>
      <c r="H54" s="14" t="s">
        <v>1</v>
      </c>
      <c r="I54" s="14" t="s">
        <v>2</v>
      </c>
      <c r="J54" s="14" t="s">
        <v>1</v>
      </c>
      <c r="K54" s="14" t="s">
        <v>2</v>
      </c>
      <c r="L54" s="14" t="s">
        <v>2</v>
      </c>
      <c r="M54" s="14" t="s">
        <v>2</v>
      </c>
      <c r="N54" s="14" t="s">
        <v>1</v>
      </c>
      <c r="O54" s="14" t="s">
        <v>2</v>
      </c>
      <c r="P54" s="14" t="s">
        <v>2</v>
      </c>
      <c r="Q54" s="15"/>
      <c r="R54" s="15" t="str">
        <f t="shared" si="0"/>
        <v>Inverted Residue14</v>
      </c>
      <c r="T54" t="s">
        <v>201</v>
      </c>
      <c r="U54" t="s">
        <v>189</v>
      </c>
      <c r="V54" t="s">
        <v>194</v>
      </c>
    </row>
    <row r="55" spans="1:22" x14ac:dyDescent="0.35">
      <c r="A55" s="14" t="s">
        <v>65</v>
      </c>
      <c r="B55" s="14" t="s">
        <v>1</v>
      </c>
      <c r="C55" s="14" t="s">
        <v>2</v>
      </c>
      <c r="D55" s="14" t="s">
        <v>12</v>
      </c>
      <c r="E55" s="14" t="s">
        <v>1</v>
      </c>
      <c r="F55" s="14" t="s">
        <v>2</v>
      </c>
      <c r="G55" s="14" t="s">
        <v>1</v>
      </c>
      <c r="H55" s="14" t="s">
        <v>1</v>
      </c>
      <c r="I55" s="14" t="s">
        <v>2</v>
      </c>
      <c r="J55" s="14" t="s">
        <v>2</v>
      </c>
      <c r="K55" s="14" t="s">
        <v>1</v>
      </c>
      <c r="L55" s="14" t="s">
        <v>2</v>
      </c>
      <c r="M55" s="14" t="s">
        <v>1</v>
      </c>
      <c r="N55" s="14" t="s">
        <v>1</v>
      </c>
      <c r="O55" s="14" t="s">
        <v>2</v>
      </c>
      <c r="P55" s="14" t="s">
        <v>2</v>
      </c>
      <c r="Q55" s="15"/>
      <c r="R55" s="15" t="str">
        <f t="shared" si="0"/>
        <v>Inverted Residue14</v>
      </c>
      <c r="T55" t="s">
        <v>202</v>
      </c>
      <c r="U55" t="s">
        <v>191</v>
      </c>
      <c r="V55" t="s">
        <v>194</v>
      </c>
    </row>
    <row r="56" spans="1:22" x14ac:dyDescent="0.35">
      <c r="A56" s="14" t="s">
        <v>66</v>
      </c>
      <c r="B56" s="14" t="s">
        <v>1</v>
      </c>
      <c r="C56" s="14" t="s">
        <v>2</v>
      </c>
      <c r="D56" s="14" t="s">
        <v>1</v>
      </c>
      <c r="E56" s="14" t="s">
        <v>1</v>
      </c>
      <c r="F56" s="14" t="s">
        <v>2</v>
      </c>
      <c r="G56" s="14" t="s">
        <v>1</v>
      </c>
      <c r="H56" s="14" t="s">
        <v>1</v>
      </c>
      <c r="I56" s="14" t="s">
        <v>2</v>
      </c>
      <c r="J56" s="14" t="s">
        <v>12</v>
      </c>
      <c r="K56" s="14" t="s">
        <v>1</v>
      </c>
      <c r="L56" s="14" t="s">
        <v>2</v>
      </c>
      <c r="M56" s="14" t="s">
        <v>12</v>
      </c>
      <c r="N56" s="14" t="s">
        <v>1</v>
      </c>
      <c r="O56" s="14" t="s">
        <v>2</v>
      </c>
      <c r="P56" s="14" t="s">
        <v>1</v>
      </c>
      <c r="Q56" s="15"/>
      <c r="R56" s="15" t="str">
        <f t="shared" si="0"/>
        <v>Inverted Residue14</v>
      </c>
      <c r="T56" t="s">
        <v>30</v>
      </c>
      <c r="U56" t="s">
        <v>154</v>
      </c>
      <c r="V56" t="s">
        <v>194</v>
      </c>
    </row>
    <row r="57" spans="1:22" x14ac:dyDescent="0.35">
      <c r="A57" s="14" t="s">
        <v>67</v>
      </c>
      <c r="B57" s="14" t="s">
        <v>1</v>
      </c>
      <c r="C57" s="14" t="s">
        <v>12</v>
      </c>
      <c r="D57" s="14" t="s">
        <v>1</v>
      </c>
      <c r="E57" s="14" t="s">
        <v>1</v>
      </c>
      <c r="F57" s="14" t="s">
        <v>2</v>
      </c>
      <c r="G57" s="14" t="s">
        <v>12</v>
      </c>
      <c r="H57" s="14" t="s">
        <v>1</v>
      </c>
      <c r="I57" s="14" t="s">
        <v>2</v>
      </c>
      <c r="J57" s="14" t="s">
        <v>1</v>
      </c>
      <c r="K57" s="14" t="s">
        <v>1</v>
      </c>
      <c r="L57" s="14" t="s">
        <v>2</v>
      </c>
      <c r="M57" s="14" t="s">
        <v>1</v>
      </c>
      <c r="N57" s="14" t="s">
        <v>1</v>
      </c>
      <c r="O57" s="14" t="s">
        <v>12</v>
      </c>
      <c r="P57" s="14" t="s">
        <v>1</v>
      </c>
      <c r="Q57" s="15"/>
      <c r="R57" s="15" t="str">
        <f t="shared" si="0"/>
        <v>Inverted Residue14</v>
      </c>
      <c r="T57" t="s">
        <v>203</v>
      </c>
      <c r="U57" t="s">
        <v>156</v>
      </c>
      <c r="V57" t="s">
        <v>194</v>
      </c>
    </row>
    <row r="58" spans="1:22" x14ac:dyDescent="0.35">
      <c r="A58" s="32" t="s">
        <v>68</v>
      </c>
      <c r="B58" s="32" t="s">
        <v>1</v>
      </c>
      <c r="C58" s="32" t="s">
        <v>1</v>
      </c>
      <c r="D58" s="32" t="s">
        <v>1</v>
      </c>
      <c r="E58" s="32" t="s">
        <v>1</v>
      </c>
      <c r="F58" s="32" t="s">
        <v>2</v>
      </c>
      <c r="G58" s="32" t="s">
        <v>2</v>
      </c>
      <c r="H58" s="32" t="s">
        <v>2</v>
      </c>
      <c r="I58" s="32" t="s">
        <v>2</v>
      </c>
      <c r="J58" s="32" t="s">
        <v>2</v>
      </c>
      <c r="K58" s="32" t="s">
        <v>1</v>
      </c>
      <c r="L58" s="32" t="s">
        <v>1</v>
      </c>
      <c r="M58" s="32" t="s">
        <v>1</v>
      </c>
      <c r="N58" s="32" t="s">
        <v>1</v>
      </c>
      <c r="O58" s="32" t="s">
        <v>1</v>
      </c>
      <c r="P58" s="32" t="s">
        <v>2</v>
      </c>
      <c r="Q58" s="33"/>
      <c r="R58" s="33" t="str">
        <f t="shared" si="0"/>
        <v>Inverted Residue15</v>
      </c>
      <c r="T58" t="s">
        <v>204</v>
      </c>
      <c r="U58" t="s">
        <v>165</v>
      </c>
      <c r="V58" t="s">
        <v>194</v>
      </c>
    </row>
    <row r="59" spans="1:22" x14ac:dyDescent="0.35">
      <c r="A59" s="32" t="s">
        <v>69</v>
      </c>
      <c r="B59" s="32" t="s">
        <v>1</v>
      </c>
      <c r="C59" s="32" t="s">
        <v>2</v>
      </c>
      <c r="D59" s="32" t="s">
        <v>1</v>
      </c>
      <c r="E59" s="32" t="s">
        <v>2</v>
      </c>
      <c r="F59" s="32" t="s">
        <v>2</v>
      </c>
      <c r="G59" s="32" t="s">
        <v>2</v>
      </c>
      <c r="H59" s="32" t="s">
        <v>12</v>
      </c>
      <c r="I59" s="32" t="s">
        <v>2</v>
      </c>
      <c r="J59" s="32" t="s">
        <v>1</v>
      </c>
      <c r="K59" s="32" t="s">
        <v>1</v>
      </c>
      <c r="L59" s="32" t="s">
        <v>2</v>
      </c>
      <c r="M59" s="32" t="s">
        <v>12</v>
      </c>
      <c r="N59" s="32" t="s">
        <v>1</v>
      </c>
      <c r="O59" s="32" t="s">
        <v>2</v>
      </c>
      <c r="P59" s="32" t="s">
        <v>2</v>
      </c>
      <c r="Q59" s="33"/>
      <c r="R59" s="33" t="str">
        <f t="shared" si="0"/>
        <v>Inverted Residue15</v>
      </c>
      <c r="T59" t="s">
        <v>31</v>
      </c>
      <c r="U59" t="s">
        <v>154</v>
      </c>
      <c r="V59" t="s">
        <v>205</v>
      </c>
    </row>
    <row r="60" spans="1:22" x14ac:dyDescent="0.35">
      <c r="A60" s="32" t="s">
        <v>70</v>
      </c>
      <c r="B60" s="32" t="s">
        <v>2</v>
      </c>
      <c r="C60" s="32" t="s">
        <v>1</v>
      </c>
      <c r="D60" s="32" t="s">
        <v>2</v>
      </c>
      <c r="E60" s="32" t="s">
        <v>2</v>
      </c>
      <c r="F60" s="32" t="s">
        <v>12</v>
      </c>
      <c r="G60" s="32" t="s">
        <v>2</v>
      </c>
      <c r="H60" s="32" t="s">
        <v>2</v>
      </c>
      <c r="I60" s="32" t="s">
        <v>1</v>
      </c>
      <c r="J60" s="32" t="s">
        <v>2</v>
      </c>
      <c r="K60" s="32" t="s">
        <v>12</v>
      </c>
      <c r="L60" s="32" t="s">
        <v>1</v>
      </c>
      <c r="M60" s="32" t="s">
        <v>2</v>
      </c>
      <c r="N60" s="32" t="s">
        <v>1</v>
      </c>
      <c r="O60" s="32" t="s">
        <v>1</v>
      </c>
      <c r="P60" s="32" t="s">
        <v>2</v>
      </c>
      <c r="Q60" s="33"/>
      <c r="R60" s="33" t="str">
        <f t="shared" si="0"/>
        <v>Inverted Residue15</v>
      </c>
      <c r="T60" t="s">
        <v>206</v>
      </c>
      <c r="U60" t="s">
        <v>156</v>
      </c>
      <c r="V60" t="s">
        <v>205</v>
      </c>
    </row>
    <row r="61" spans="1:22" x14ac:dyDescent="0.35">
      <c r="A61" s="32" t="s">
        <v>71</v>
      </c>
      <c r="B61" s="32" t="s">
        <v>2</v>
      </c>
      <c r="C61" s="32" t="s">
        <v>12</v>
      </c>
      <c r="D61" s="32" t="s">
        <v>12</v>
      </c>
      <c r="E61" s="32" t="s">
        <v>2</v>
      </c>
      <c r="F61" s="32" t="s">
        <v>1</v>
      </c>
      <c r="G61" s="32" t="s">
        <v>2</v>
      </c>
      <c r="H61" s="32" t="s">
        <v>2</v>
      </c>
      <c r="I61" s="32" t="s">
        <v>1</v>
      </c>
      <c r="J61" s="32" t="s">
        <v>1</v>
      </c>
      <c r="K61" s="32" t="s">
        <v>2</v>
      </c>
      <c r="L61" s="32" t="s">
        <v>2</v>
      </c>
      <c r="M61" s="32" t="s">
        <v>2</v>
      </c>
      <c r="N61" s="32" t="s">
        <v>2</v>
      </c>
      <c r="O61" s="32" t="s">
        <v>1</v>
      </c>
      <c r="P61" s="32" t="s">
        <v>2</v>
      </c>
      <c r="Q61" s="33"/>
      <c r="R61" s="33" t="str">
        <f t="shared" si="0"/>
        <v>Inverted Residue15</v>
      </c>
      <c r="T61" t="s">
        <v>207</v>
      </c>
      <c r="U61" t="s">
        <v>162</v>
      </c>
      <c r="V61" t="s">
        <v>205</v>
      </c>
    </row>
    <row r="62" spans="1:22" x14ac:dyDescent="0.35">
      <c r="A62" s="32" t="s">
        <v>72</v>
      </c>
      <c r="B62" s="32" t="s">
        <v>1</v>
      </c>
      <c r="C62" s="32" t="s">
        <v>2</v>
      </c>
      <c r="D62" s="32" t="s">
        <v>1</v>
      </c>
      <c r="E62" s="32" t="s">
        <v>1</v>
      </c>
      <c r="F62" s="32" t="s">
        <v>2</v>
      </c>
      <c r="G62" s="32" t="s">
        <v>1</v>
      </c>
      <c r="H62" s="32" t="s">
        <v>1</v>
      </c>
      <c r="I62" s="32" t="s">
        <v>2</v>
      </c>
      <c r="J62" s="32" t="s">
        <v>1</v>
      </c>
      <c r="K62" s="32" t="s">
        <v>1</v>
      </c>
      <c r="L62" s="32" t="s">
        <v>1</v>
      </c>
      <c r="M62" s="32" t="s">
        <v>1</v>
      </c>
      <c r="N62" s="32" t="s">
        <v>1</v>
      </c>
      <c r="O62" s="32" t="s">
        <v>2</v>
      </c>
      <c r="P62" s="32" t="s">
        <v>1</v>
      </c>
      <c r="Q62" s="33"/>
      <c r="R62" s="33" t="str">
        <f t="shared" si="0"/>
        <v>Inverted Residue15</v>
      </c>
      <c r="T62" t="s">
        <v>32</v>
      </c>
      <c r="U62" t="s">
        <v>154</v>
      </c>
      <c r="V62" t="s">
        <v>205</v>
      </c>
    </row>
    <row r="63" spans="1:22" x14ac:dyDescent="0.35">
      <c r="A63" s="10" t="s">
        <v>73</v>
      </c>
      <c r="B63" s="10" t="s">
        <v>1</v>
      </c>
      <c r="C63" s="10" t="s">
        <v>1</v>
      </c>
      <c r="D63" s="10" t="s">
        <v>1</v>
      </c>
      <c r="E63" s="10" t="s">
        <v>1</v>
      </c>
      <c r="F63" s="10" t="s">
        <v>2</v>
      </c>
      <c r="G63" s="10" t="s">
        <v>2</v>
      </c>
      <c r="H63" s="10" t="s">
        <v>1</v>
      </c>
      <c r="I63" s="10" t="s">
        <v>12</v>
      </c>
      <c r="J63" s="10" t="s">
        <v>1</v>
      </c>
      <c r="K63" s="10" t="s">
        <v>1</v>
      </c>
      <c r="L63" s="10" t="s">
        <v>1</v>
      </c>
      <c r="M63" s="10" t="s">
        <v>1</v>
      </c>
      <c r="N63" s="10" t="s">
        <v>1</v>
      </c>
      <c r="O63" s="10" t="s">
        <v>2</v>
      </c>
      <c r="P63" s="10" t="s">
        <v>1</v>
      </c>
      <c r="Q63" s="11"/>
      <c r="R63" s="11" t="str">
        <f t="shared" si="0"/>
        <v>Inverted Residue16</v>
      </c>
      <c r="T63" t="s">
        <v>208</v>
      </c>
      <c r="U63" t="s">
        <v>156</v>
      </c>
      <c r="V63" t="s">
        <v>205</v>
      </c>
    </row>
    <row r="64" spans="1:22" x14ac:dyDescent="0.35">
      <c r="T64" t="s">
        <v>209</v>
      </c>
      <c r="U64" t="s">
        <v>162</v>
      </c>
      <c r="V64" t="s">
        <v>205</v>
      </c>
    </row>
    <row r="65" spans="1:22" x14ac:dyDescent="0.35">
      <c r="A65" s="3" t="s">
        <v>1</v>
      </c>
      <c r="B65" s="3">
        <f>COUNTIF(B$1:B$63,$A65)</f>
        <v>31</v>
      </c>
      <c r="C65" s="3">
        <f>COUNTIF(C$1:C$63,$A65)</f>
        <v>21</v>
      </c>
      <c r="D65" s="3">
        <f t="shared" ref="D65:P65" si="1">COUNTIF(D$1:D$63,$A65)</f>
        <v>27</v>
      </c>
      <c r="E65" s="3">
        <f t="shared" si="1"/>
        <v>33</v>
      </c>
      <c r="F65" s="3">
        <f t="shared" si="1"/>
        <v>18</v>
      </c>
      <c r="G65" s="3">
        <f t="shared" si="1"/>
        <v>20</v>
      </c>
      <c r="H65" s="3">
        <f t="shared" si="1"/>
        <v>24</v>
      </c>
      <c r="I65" s="3">
        <f t="shared" si="1"/>
        <v>20</v>
      </c>
      <c r="J65" s="3">
        <f t="shared" si="1"/>
        <v>30</v>
      </c>
      <c r="K65" s="3">
        <f t="shared" si="1"/>
        <v>29</v>
      </c>
      <c r="L65" s="3">
        <f t="shared" si="1"/>
        <v>19</v>
      </c>
      <c r="M65" s="3">
        <f t="shared" si="1"/>
        <v>26</v>
      </c>
      <c r="N65" s="3">
        <f t="shared" si="1"/>
        <v>33</v>
      </c>
      <c r="O65" s="3">
        <f t="shared" si="1"/>
        <v>20</v>
      </c>
      <c r="P65" s="3">
        <f t="shared" si="1"/>
        <v>18</v>
      </c>
      <c r="T65" t="s">
        <v>210</v>
      </c>
      <c r="U65" t="s">
        <v>186</v>
      </c>
      <c r="V65" t="s">
        <v>205</v>
      </c>
    </row>
    <row r="66" spans="1:22" x14ac:dyDescent="0.35">
      <c r="A66" s="3" t="s">
        <v>2</v>
      </c>
      <c r="B66" s="3">
        <f t="shared" ref="B66:P67" si="2">COUNTIF(B$1:B$63,$A66)</f>
        <v>22</v>
      </c>
      <c r="C66" s="3">
        <f>COUNTIF(C$1:C$63,$A66)</f>
        <v>25</v>
      </c>
      <c r="D66" s="3">
        <f t="shared" si="2"/>
        <v>21</v>
      </c>
      <c r="E66" s="3">
        <f t="shared" si="2"/>
        <v>19</v>
      </c>
      <c r="F66" s="3">
        <f t="shared" si="2"/>
        <v>30</v>
      </c>
      <c r="G66" s="3">
        <f t="shared" si="2"/>
        <v>29</v>
      </c>
      <c r="H66" s="3">
        <f t="shared" si="2"/>
        <v>24</v>
      </c>
      <c r="I66" s="3">
        <f t="shared" si="2"/>
        <v>29</v>
      </c>
      <c r="J66" s="3">
        <f t="shared" si="2"/>
        <v>15</v>
      </c>
      <c r="K66" s="3">
        <f t="shared" si="2"/>
        <v>20</v>
      </c>
      <c r="L66" s="3">
        <f t="shared" si="2"/>
        <v>32</v>
      </c>
      <c r="M66" s="3">
        <f t="shared" si="2"/>
        <v>26</v>
      </c>
      <c r="N66" s="3">
        <f t="shared" si="2"/>
        <v>19</v>
      </c>
      <c r="O66" s="3">
        <f t="shared" si="2"/>
        <v>27</v>
      </c>
      <c r="P66" s="3">
        <f t="shared" si="2"/>
        <v>33</v>
      </c>
      <c r="T66" t="s">
        <v>33</v>
      </c>
      <c r="U66" t="s">
        <v>154</v>
      </c>
      <c r="V66" t="s">
        <v>205</v>
      </c>
    </row>
    <row r="67" spans="1:22" x14ac:dyDescent="0.35">
      <c r="A67" s="3" t="s">
        <v>12</v>
      </c>
      <c r="B67" s="3">
        <f t="shared" si="2"/>
        <v>9</v>
      </c>
      <c r="C67" s="3">
        <f>COUNTIF(C$1:C$63,$A67)</f>
        <v>16</v>
      </c>
      <c r="D67" s="3">
        <f t="shared" si="2"/>
        <v>14</v>
      </c>
      <c r="E67" s="3">
        <f t="shared" si="2"/>
        <v>10</v>
      </c>
      <c r="F67" s="3">
        <f t="shared" si="2"/>
        <v>14</v>
      </c>
      <c r="G67" s="3">
        <f t="shared" si="2"/>
        <v>13</v>
      </c>
      <c r="H67" s="3">
        <f t="shared" si="2"/>
        <v>14</v>
      </c>
      <c r="I67" s="3">
        <f t="shared" si="2"/>
        <v>13</v>
      </c>
      <c r="J67" s="3">
        <f t="shared" si="2"/>
        <v>17</v>
      </c>
      <c r="K67" s="3">
        <f t="shared" si="2"/>
        <v>13</v>
      </c>
      <c r="L67" s="3">
        <f t="shared" si="2"/>
        <v>11</v>
      </c>
      <c r="M67" s="3">
        <f t="shared" si="2"/>
        <v>10</v>
      </c>
      <c r="N67" s="3">
        <f t="shared" si="2"/>
        <v>10</v>
      </c>
      <c r="O67" s="3">
        <f t="shared" si="2"/>
        <v>15</v>
      </c>
      <c r="P67" s="3">
        <f t="shared" si="2"/>
        <v>11</v>
      </c>
      <c r="T67" t="s">
        <v>211</v>
      </c>
      <c r="U67" t="s">
        <v>162</v>
      </c>
      <c r="V67" t="s">
        <v>205</v>
      </c>
    </row>
    <row r="68" spans="1:22" x14ac:dyDescent="0.35">
      <c r="A68" s="3" t="s">
        <v>150</v>
      </c>
      <c r="B68" s="3">
        <f>SUM(B65:B67)</f>
        <v>62</v>
      </c>
      <c r="C68" s="3">
        <f>SUM(C65:C67)</f>
        <v>62</v>
      </c>
      <c r="D68" s="3">
        <f t="shared" ref="D68:P68" si="3">SUM(D65:D67)</f>
        <v>62</v>
      </c>
      <c r="E68" s="3">
        <f t="shared" si="3"/>
        <v>62</v>
      </c>
      <c r="F68" s="3">
        <f t="shared" si="3"/>
        <v>62</v>
      </c>
      <c r="G68" s="3">
        <f t="shared" si="3"/>
        <v>62</v>
      </c>
      <c r="H68" s="3">
        <f t="shared" si="3"/>
        <v>62</v>
      </c>
      <c r="I68" s="3">
        <f t="shared" si="3"/>
        <v>62</v>
      </c>
      <c r="J68" s="3">
        <f t="shared" si="3"/>
        <v>62</v>
      </c>
      <c r="K68" s="3">
        <f t="shared" si="3"/>
        <v>62</v>
      </c>
      <c r="L68" s="3">
        <f t="shared" si="3"/>
        <v>62</v>
      </c>
      <c r="M68" s="3">
        <f t="shared" si="3"/>
        <v>62</v>
      </c>
      <c r="N68" s="3">
        <f t="shared" si="3"/>
        <v>62</v>
      </c>
      <c r="O68" s="3">
        <f t="shared" si="3"/>
        <v>62</v>
      </c>
      <c r="P68" s="3">
        <f t="shared" si="3"/>
        <v>62</v>
      </c>
      <c r="T68" t="s">
        <v>34</v>
      </c>
      <c r="U68" t="s">
        <v>154</v>
      </c>
      <c r="V68" t="s">
        <v>205</v>
      </c>
    </row>
    <row r="69" spans="1:22" x14ac:dyDescent="0.35">
      <c r="A69" s="3" t="s">
        <v>149</v>
      </c>
      <c r="B69" s="3">
        <f>ROWS(B2:B63)</f>
        <v>62</v>
      </c>
      <c r="C69" s="3">
        <f>ROWS(C2:C63)</f>
        <v>62</v>
      </c>
      <c r="D69" s="3">
        <f t="shared" ref="D69:P69" si="4">ROWS(D2:D63)</f>
        <v>62</v>
      </c>
      <c r="E69" s="3">
        <f t="shared" si="4"/>
        <v>62</v>
      </c>
      <c r="F69" s="3">
        <f t="shared" si="4"/>
        <v>62</v>
      </c>
      <c r="G69" s="3">
        <f t="shared" si="4"/>
        <v>62</v>
      </c>
      <c r="H69" s="3">
        <f t="shared" si="4"/>
        <v>62</v>
      </c>
      <c r="I69" s="3">
        <f t="shared" si="4"/>
        <v>62</v>
      </c>
      <c r="J69" s="3">
        <f t="shared" si="4"/>
        <v>62</v>
      </c>
      <c r="K69" s="3">
        <f t="shared" si="4"/>
        <v>62</v>
      </c>
      <c r="L69" s="3">
        <f t="shared" si="4"/>
        <v>62</v>
      </c>
      <c r="M69" s="3">
        <f t="shared" si="4"/>
        <v>62</v>
      </c>
      <c r="N69" s="3">
        <f t="shared" si="4"/>
        <v>62</v>
      </c>
      <c r="O69" s="3">
        <f t="shared" si="4"/>
        <v>62</v>
      </c>
      <c r="P69" s="3">
        <f t="shared" si="4"/>
        <v>62</v>
      </c>
      <c r="T69" t="s">
        <v>212</v>
      </c>
      <c r="U69" t="s">
        <v>189</v>
      </c>
      <c r="V69" t="s">
        <v>205</v>
      </c>
    </row>
    <row r="70" spans="1:22" x14ac:dyDescent="0.35">
      <c r="A70" s="3" t="s">
        <v>151</v>
      </c>
      <c r="B70" s="3">
        <f>B65/SUM(B65:B66)*100</f>
        <v>58.490566037735846</v>
      </c>
      <c r="C70" s="3">
        <f t="shared" ref="C70:P70" si="5">C65/SUM(C65:C66)*100</f>
        <v>45.652173913043477</v>
      </c>
      <c r="D70" s="3">
        <f t="shared" si="5"/>
        <v>56.25</v>
      </c>
      <c r="E70" s="3">
        <f t="shared" si="5"/>
        <v>63.46153846153846</v>
      </c>
      <c r="F70" s="3">
        <f t="shared" si="5"/>
        <v>37.5</v>
      </c>
      <c r="G70" s="3">
        <f t="shared" si="5"/>
        <v>40.816326530612244</v>
      </c>
      <c r="H70" s="3">
        <f t="shared" si="5"/>
        <v>50</v>
      </c>
      <c r="I70" s="3">
        <f t="shared" si="5"/>
        <v>40.816326530612244</v>
      </c>
      <c r="J70" s="3">
        <f t="shared" si="5"/>
        <v>66.666666666666657</v>
      </c>
      <c r="K70" s="3">
        <f t="shared" si="5"/>
        <v>59.183673469387756</v>
      </c>
      <c r="L70" s="3">
        <f t="shared" si="5"/>
        <v>37.254901960784316</v>
      </c>
      <c r="M70" s="3">
        <f t="shared" si="5"/>
        <v>50</v>
      </c>
      <c r="N70" s="3">
        <f t="shared" si="5"/>
        <v>63.46153846153846</v>
      </c>
      <c r="O70" s="3">
        <f t="shared" si="5"/>
        <v>42.553191489361701</v>
      </c>
      <c r="P70" s="3">
        <f t="shared" si="5"/>
        <v>35.294117647058826</v>
      </c>
      <c r="T70" t="s">
        <v>213</v>
      </c>
      <c r="U70" t="s">
        <v>191</v>
      </c>
      <c r="V70" t="s">
        <v>205</v>
      </c>
    </row>
    <row r="71" spans="1:22" x14ac:dyDescent="0.35">
      <c r="A71" s="3" t="s">
        <v>152</v>
      </c>
      <c r="B71" s="3">
        <f>(B65-B66)/B69</f>
        <v>0.14516129032258066</v>
      </c>
      <c r="C71" s="3">
        <f t="shared" ref="C71:P71" si="6">(C65-C66)/C69</f>
        <v>-6.4516129032258063E-2</v>
      </c>
      <c r="D71" s="3">
        <f t="shared" si="6"/>
        <v>9.6774193548387094E-2</v>
      </c>
      <c r="E71" s="3">
        <f t="shared" si="6"/>
        <v>0.22580645161290322</v>
      </c>
      <c r="F71" s="3">
        <f t="shared" si="6"/>
        <v>-0.19354838709677419</v>
      </c>
      <c r="G71" s="3">
        <f t="shared" si="6"/>
        <v>-0.14516129032258066</v>
      </c>
      <c r="H71" s="3">
        <f t="shared" si="6"/>
        <v>0</v>
      </c>
      <c r="I71" s="3">
        <f t="shared" si="6"/>
        <v>-0.14516129032258066</v>
      </c>
      <c r="J71" s="3">
        <f t="shared" si="6"/>
        <v>0.24193548387096775</v>
      </c>
      <c r="K71" s="3">
        <f t="shared" si="6"/>
        <v>0.14516129032258066</v>
      </c>
      <c r="L71" s="3">
        <f t="shared" si="6"/>
        <v>-0.20967741935483872</v>
      </c>
      <c r="M71" s="3">
        <f t="shared" si="6"/>
        <v>0</v>
      </c>
      <c r="N71" s="3">
        <f t="shared" si="6"/>
        <v>0.22580645161290322</v>
      </c>
      <c r="O71" s="3">
        <f t="shared" si="6"/>
        <v>-0.11290322580645161</v>
      </c>
      <c r="P71" s="3">
        <f t="shared" si="6"/>
        <v>-0.24193548387096775</v>
      </c>
      <c r="T71" t="s">
        <v>35</v>
      </c>
      <c r="U71" t="s">
        <v>154</v>
      </c>
      <c r="V71" t="s">
        <v>205</v>
      </c>
    </row>
    <row r="72" spans="1:22" x14ac:dyDescent="0.35">
      <c r="T72" t="s">
        <v>214</v>
      </c>
      <c r="U72" t="s">
        <v>156</v>
      </c>
      <c r="V72" t="s">
        <v>205</v>
      </c>
    </row>
    <row r="73" spans="1:22" x14ac:dyDescent="0.35">
      <c r="T73" t="s">
        <v>215</v>
      </c>
      <c r="U73" t="s">
        <v>165</v>
      </c>
      <c r="V73" t="s">
        <v>205</v>
      </c>
    </row>
    <row r="74" spans="1:22" x14ac:dyDescent="0.35">
      <c r="T74" t="s">
        <v>36</v>
      </c>
      <c r="U74" t="s">
        <v>154</v>
      </c>
      <c r="V74" t="s">
        <v>216</v>
      </c>
    </row>
    <row r="75" spans="1:22" x14ac:dyDescent="0.35">
      <c r="T75" t="s">
        <v>217</v>
      </c>
      <c r="U75" t="s">
        <v>156</v>
      </c>
      <c r="V75" t="s">
        <v>216</v>
      </c>
    </row>
    <row r="76" spans="1:22" x14ac:dyDescent="0.35">
      <c r="T76" t="s">
        <v>218</v>
      </c>
      <c r="U76" t="s">
        <v>158</v>
      </c>
      <c r="V76" t="s">
        <v>216</v>
      </c>
    </row>
    <row r="77" spans="1:22" x14ac:dyDescent="0.35">
      <c r="T77" t="s">
        <v>37</v>
      </c>
      <c r="U77" t="s">
        <v>154</v>
      </c>
      <c r="V77" t="s">
        <v>216</v>
      </c>
    </row>
    <row r="78" spans="1:22" x14ac:dyDescent="0.35">
      <c r="T78" t="s">
        <v>219</v>
      </c>
      <c r="U78" t="s">
        <v>156</v>
      </c>
      <c r="V78" t="s">
        <v>216</v>
      </c>
    </row>
    <row r="79" spans="1:22" x14ac:dyDescent="0.35">
      <c r="T79" t="s">
        <v>220</v>
      </c>
      <c r="U79" t="s">
        <v>158</v>
      </c>
      <c r="V79" t="s">
        <v>216</v>
      </c>
    </row>
    <row r="80" spans="1:22" x14ac:dyDescent="0.35">
      <c r="T80" t="s">
        <v>38</v>
      </c>
      <c r="U80" t="s">
        <v>154</v>
      </c>
      <c r="V80" t="s">
        <v>216</v>
      </c>
    </row>
    <row r="81" spans="20:22" x14ac:dyDescent="0.35">
      <c r="T81" t="s">
        <v>221</v>
      </c>
      <c r="U81" t="s">
        <v>156</v>
      </c>
      <c r="V81" t="s">
        <v>216</v>
      </c>
    </row>
    <row r="82" spans="20:22" x14ac:dyDescent="0.35">
      <c r="T82" t="s">
        <v>222</v>
      </c>
      <c r="U82" t="s">
        <v>165</v>
      </c>
      <c r="V82" t="s">
        <v>216</v>
      </c>
    </row>
    <row r="83" spans="20:22" x14ac:dyDescent="0.35">
      <c r="T83" t="s">
        <v>39</v>
      </c>
      <c r="U83" t="s">
        <v>154</v>
      </c>
      <c r="V83" t="s">
        <v>223</v>
      </c>
    </row>
    <row r="84" spans="20:22" x14ac:dyDescent="0.35">
      <c r="T84" t="s">
        <v>224</v>
      </c>
      <c r="U84" t="s">
        <v>156</v>
      </c>
      <c r="V84" t="s">
        <v>223</v>
      </c>
    </row>
    <row r="85" spans="20:22" x14ac:dyDescent="0.35">
      <c r="T85" t="s">
        <v>225</v>
      </c>
      <c r="U85" t="s">
        <v>158</v>
      </c>
      <c r="V85" t="s">
        <v>223</v>
      </c>
    </row>
    <row r="86" spans="20:22" x14ac:dyDescent="0.35">
      <c r="T86" t="s">
        <v>40</v>
      </c>
      <c r="U86" t="s">
        <v>154</v>
      </c>
      <c r="V86" t="s">
        <v>223</v>
      </c>
    </row>
    <row r="87" spans="20:22" x14ac:dyDescent="0.35">
      <c r="T87" t="s">
        <v>226</v>
      </c>
      <c r="U87" t="s">
        <v>156</v>
      </c>
      <c r="V87" t="s">
        <v>223</v>
      </c>
    </row>
    <row r="88" spans="20:22" x14ac:dyDescent="0.35">
      <c r="T88" t="s">
        <v>227</v>
      </c>
      <c r="U88" t="s">
        <v>158</v>
      </c>
      <c r="V88" t="s">
        <v>223</v>
      </c>
    </row>
    <row r="89" spans="20:22" x14ac:dyDescent="0.35">
      <c r="T89" t="s">
        <v>41</v>
      </c>
      <c r="U89" t="s">
        <v>154</v>
      </c>
      <c r="V89" t="s">
        <v>223</v>
      </c>
    </row>
    <row r="90" spans="20:22" x14ac:dyDescent="0.35">
      <c r="T90" t="s">
        <v>228</v>
      </c>
      <c r="U90" t="s">
        <v>156</v>
      </c>
      <c r="V90" t="s">
        <v>223</v>
      </c>
    </row>
    <row r="91" spans="20:22" x14ac:dyDescent="0.35">
      <c r="T91" t="s">
        <v>229</v>
      </c>
      <c r="U91" t="s">
        <v>165</v>
      </c>
      <c r="V91" t="s">
        <v>223</v>
      </c>
    </row>
    <row r="92" spans="20:22" x14ac:dyDescent="0.35">
      <c r="T92" t="s">
        <v>42</v>
      </c>
      <c r="U92" t="s">
        <v>154</v>
      </c>
      <c r="V92" t="s">
        <v>230</v>
      </c>
    </row>
    <row r="93" spans="20:22" x14ac:dyDescent="0.35">
      <c r="T93" t="s">
        <v>231</v>
      </c>
      <c r="U93" t="s">
        <v>156</v>
      </c>
      <c r="V93" t="s">
        <v>230</v>
      </c>
    </row>
    <row r="94" spans="20:22" x14ac:dyDescent="0.35">
      <c r="T94" t="s">
        <v>232</v>
      </c>
      <c r="U94" t="s">
        <v>158</v>
      </c>
      <c r="V94" t="s">
        <v>230</v>
      </c>
    </row>
    <row r="95" spans="20:22" x14ac:dyDescent="0.35">
      <c r="T95" t="s">
        <v>43</v>
      </c>
      <c r="U95" t="s">
        <v>154</v>
      </c>
      <c r="V95" t="s">
        <v>230</v>
      </c>
    </row>
    <row r="96" spans="20:22" x14ac:dyDescent="0.35">
      <c r="T96" t="s">
        <v>233</v>
      </c>
      <c r="U96" t="s">
        <v>156</v>
      </c>
      <c r="V96" t="s">
        <v>230</v>
      </c>
    </row>
    <row r="97" spans="20:22" x14ac:dyDescent="0.35">
      <c r="T97" t="s">
        <v>234</v>
      </c>
      <c r="U97" t="s">
        <v>158</v>
      </c>
      <c r="V97" t="s">
        <v>230</v>
      </c>
    </row>
    <row r="98" spans="20:22" x14ac:dyDescent="0.35">
      <c r="T98" t="s">
        <v>44</v>
      </c>
      <c r="U98" t="s">
        <v>154</v>
      </c>
      <c r="V98" t="s">
        <v>230</v>
      </c>
    </row>
    <row r="99" spans="20:22" x14ac:dyDescent="0.35">
      <c r="T99" t="s">
        <v>235</v>
      </c>
      <c r="U99" t="s">
        <v>156</v>
      </c>
      <c r="V99" t="s">
        <v>230</v>
      </c>
    </row>
    <row r="100" spans="20:22" x14ac:dyDescent="0.35">
      <c r="T100" t="s">
        <v>236</v>
      </c>
      <c r="U100" t="s">
        <v>165</v>
      </c>
      <c r="V100" t="s">
        <v>230</v>
      </c>
    </row>
    <row r="101" spans="20:22" x14ac:dyDescent="0.35">
      <c r="T101" t="s">
        <v>45</v>
      </c>
      <c r="U101" t="s">
        <v>154</v>
      </c>
      <c r="V101" t="s">
        <v>237</v>
      </c>
    </row>
    <row r="102" spans="20:22" x14ac:dyDescent="0.35">
      <c r="T102" t="s">
        <v>238</v>
      </c>
      <c r="U102" t="s">
        <v>156</v>
      </c>
      <c r="V102" t="s">
        <v>237</v>
      </c>
    </row>
    <row r="103" spans="20:22" x14ac:dyDescent="0.35">
      <c r="T103" t="s">
        <v>239</v>
      </c>
      <c r="U103" t="s">
        <v>158</v>
      </c>
      <c r="V103" t="s">
        <v>237</v>
      </c>
    </row>
    <row r="104" spans="20:22" x14ac:dyDescent="0.35">
      <c r="T104" t="s">
        <v>46</v>
      </c>
      <c r="U104" t="s">
        <v>154</v>
      </c>
      <c r="V104" t="s">
        <v>237</v>
      </c>
    </row>
    <row r="105" spans="20:22" x14ac:dyDescent="0.35">
      <c r="T105" t="s">
        <v>240</v>
      </c>
      <c r="U105" t="s">
        <v>156</v>
      </c>
      <c r="V105" t="s">
        <v>237</v>
      </c>
    </row>
    <row r="106" spans="20:22" x14ac:dyDescent="0.35">
      <c r="T106" t="s">
        <v>241</v>
      </c>
      <c r="U106" t="s">
        <v>158</v>
      </c>
      <c r="V106" t="s">
        <v>237</v>
      </c>
    </row>
    <row r="107" spans="20:22" x14ac:dyDescent="0.35">
      <c r="T107" t="s">
        <v>47</v>
      </c>
      <c r="U107" t="s">
        <v>154</v>
      </c>
      <c r="V107" t="s">
        <v>237</v>
      </c>
    </row>
    <row r="108" spans="20:22" x14ac:dyDescent="0.35">
      <c r="T108" t="s">
        <v>242</v>
      </c>
      <c r="U108" t="s">
        <v>156</v>
      </c>
      <c r="V108" t="s">
        <v>237</v>
      </c>
    </row>
    <row r="109" spans="20:22" x14ac:dyDescent="0.35">
      <c r="T109" t="s">
        <v>243</v>
      </c>
      <c r="U109" t="s">
        <v>165</v>
      </c>
      <c r="V109" t="s">
        <v>237</v>
      </c>
    </row>
    <row r="110" spans="20:22" x14ac:dyDescent="0.35">
      <c r="T110" t="s">
        <v>48</v>
      </c>
      <c r="U110" t="s">
        <v>154</v>
      </c>
      <c r="V110" t="s">
        <v>244</v>
      </c>
    </row>
    <row r="111" spans="20:22" x14ac:dyDescent="0.35">
      <c r="T111" t="s">
        <v>245</v>
      </c>
      <c r="U111" t="s">
        <v>156</v>
      </c>
      <c r="V111" t="s">
        <v>244</v>
      </c>
    </row>
    <row r="112" spans="20:22" x14ac:dyDescent="0.35">
      <c r="T112" t="s">
        <v>246</v>
      </c>
      <c r="U112" t="s">
        <v>158</v>
      </c>
      <c r="V112" t="s">
        <v>244</v>
      </c>
    </row>
    <row r="113" spans="20:22" x14ac:dyDescent="0.35">
      <c r="T113" t="s">
        <v>49</v>
      </c>
      <c r="U113" t="s">
        <v>154</v>
      </c>
      <c r="V113" t="s">
        <v>244</v>
      </c>
    </row>
    <row r="114" spans="20:22" x14ac:dyDescent="0.35">
      <c r="T114" t="s">
        <v>247</v>
      </c>
      <c r="U114" t="s">
        <v>156</v>
      </c>
      <c r="V114" t="s">
        <v>244</v>
      </c>
    </row>
    <row r="115" spans="20:22" x14ac:dyDescent="0.35">
      <c r="T115" t="s">
        <v>248</v>
      </c>
      <c r="U115" t="s">
        <v>158</v>
      </c>
      <c r="V115" t="s">
        <v>244</v>
      </c>
    </row>
    <row r="116" spans="20:22" x14ac:dyDescent="0.35">
      <c r="T116" t="s">
        <v>249</v>
      </c>
      <c r="U116" t="s">
        <v>186</v>
      </c>
      <c r="V116" t="s">
        <v>244</v>
      </c>
    </row>
    <row r="117" spans="20:22" x14ac:dyDescent="0.35">
      <c r="T117" t="s">
        <v>50</v>
      </c>
      <c r="U117" t="s">
        <v>154</v>
      </c>
      <c r="V117" t="s">
        <v>244</v>
      </c>
    </row>
    <row r="118" spans="20:22" x14ac:dyDescent="0.35">
      <c r="T118" t="s">
        <v>250</v>
      </c>
      <c r="U118" t="s">
        <v>162</v>
      </c>
      <c r="V118" t="s">
        <v>244</v>
      </c>
    </row>
    <row r="119" spans="20:22" x14ac:dyDescent="0.35">
      <c r="T119" t="s">
        <v>51</v>
      </c>
      <c r="U119" t="s">
        <v>154</v>
      </c>
      <c r="V119" t="s">
        <v>244</v>
      </c>
    </row>
    <row r="120" spans="20:22" x14ac:dyDescent="0.35">
      <c r="T120" t="s">
        <v>251</v>
      </c>
      <c r="U120" t="s">
        <v>189</v>
      </c>
      <c r="V120" t="s">
        <v>244</v>
      </c>
    </row>
    <row r="121" spans="20:22" x14ac:dyDescent="0.35">
      <c r="T121" t="s">
        <v>252</v>
      </c>
      <c r="U121" t="s">
        <v>191</v>
      </c>
      <c r="V121" t="s">
        <v>244</v>
      </c>
    </row>
    <row r="122" spans="20:22" x14ac:dyDescent="0.35">
      <c r="T122" t="s">
        <v>52</v>
      </c>
      <c r="U122" t="s">
        <v>154</v>
      </c>
      <c r="V122" t="s">
        <v>244</v>
      </c>
    </row>
    <row r="123" spans="20:22" x14ac:dyDescent="0.35">
      <c r="T123" t="s">
        <v>253</v>
      </c>
      <c r="U123" t="s">
        <v>156</v>
      </c>
      <c r="V123" t="s">
        <v>244</v>
      </c>
    </row>
    <row r="124" spans="20:22" x14ac:dyDescent="0.35">
      <c r="T124" t="s">
        <v>254</v>
      </c>
      <c r="U124" t="s">
        <v>165</v>
      </c>
      <c r="V124" t="s">
        <v>244</v>
      </c>
    </row>
    <row r="125" spans="20:22" x14ac:dyDescent="0.35">
      <c r="T125" t="s">
        <v>53</v>
      </c>
      <c r="U125" t="s">
        <v>154</v>
      </c>
      <c r="V125" t="s">
        <v>255</v>
      </c>
    </row>
    <row r="126" spans="20:22" x14ac:dyDescent="0.35">
      <c r="T126" t="s">
        <v>256</v>
      </c>
      <c r="U126" t="s">
        <v>156</v>
      </c>
      <c r="V126" t="s">
        <v>255</v>
      </c>
    </row>
    <row r="127" spans="20:22" x14ac:dyDescent="0.35">
      <c r="T127" t="s">
        <v>257</v>
      </c>
      <c r="U127" t="s">
        <v>158</v>
      </c>
      <c r="V127" t="s">
        <v>255</v>
      </c>
    </row>
    <row r="128" spans="20:22" x14ac:dyDescent="0.35">
      <c r="T128" t="s">
        <v>54</v>
      </c>
      <c r="U128" t="s">
        <v>154</v>
      </c>
      <c r="V128" t="s">
        <v>255</v>
      </c>
    </row>
    <row r="129" spans="20:22" x14ac:dyDescent="0.35">
      <c r="T129" t="s">
        <v>258</v>
      </c>
      <c r="U129" t="s">
        <v>156</v>
      </c>
      <c r="V129" t="s">
        <v>255</v>
      </c>
    </row>
    <row r="130" spans="20:22" x14ac:dyDescent="0.35">
      <c r="T130" t="s">
        <v>259</v>
      </c>
      <c r="U130" t="s">
        <v>158</v>
      </c>
      <c r="V130" t="s">
        <v>255</v>
      </c>
    </row>
    <row r="131" spans="20:22" x14ac:dyDescent="0.35">
      <c r="T131" t="s">
        <v>260</v>
      </c>
      <c r="U131" t="s">
        <v>186</v>
      </c>
      <c r="V131" t="s">
        <v>255</v>
      </c>
    </row>
    <row r="132" spans="20:22" x14ac:dyDescent="0.35">
      <c r="T132" t="s">
        <v>55</v>
      </c>
      <c r="U132" t="s">
        <v>154</v>
      </c>
      <c r="V132" t="s">
        <v>255</v>
      </c>
    </row>
    <row r="133" spans="20:22" x14ac:dyDescent="0.35">
      <c r="T133" t="s">
        <v>261</v>
      </c>
      <c r="U133" t="s">
        <v>162</v>
      </c>
      <c r="V133" t="s">
        <v>255</v>
      </c>
    </row>
    <row r="134" spans="20:22" x14ac:dyDescent="0.35">
      <c r="T134" t="s">
        <v>56</v>
      </c>
      <c r="U134" t="s">
        <v>154</v>
      </c>
      <c r="V134" t="s">
        <v>255</v>
      </c>
    </row>
    <row r="135" spans="20:22" x14ac:dyDescent="0.35">
      <c r="T135" t="s">
        <v>262</v>
      </c>
      <c r="U135" t="s">
        <v>189</v>
      </c>
      <c r="V135" t="s">
        <v>255</v>
      </c>
    </row>
    <row r="136" spans="20:22" x14ac:dyDescent="0.35">
      <c r="T136" t="s">
        <v>263</v>
      </c>
      <c r="U136" t="s">
        <v>191</v>
      </c>
      <c r="V136" t="s">
        <v>255</v>
      </c>
    </row>
    <row r="137" spans="20:22" x14ac:dyDescent="0.35">
      <c r="T137" t="s">
        <v>57</v>
      </c>
      <c r="U137" t="s">
        <v>154</v>
      </c>
      <c r="V137" t="s">
        <v>255</v>
      </c>
    </row>
    <row r="138" spans="20:22" x14ac:dyDescent="0.35">
      <c r="T138" t="s">
        <v>264</v>
      </c>
      <c r="U138" t="s">
        <v>156</v>
      </c>
      <c r="V138" t="s">
        <v>255</v>
      </c>
    </row>
    <row r="139" spans="20:22" x14ac:dyDescent="0.35">
      <c r="T139" t="s">
        <v>265</v>
      </c>
      <c r="U139" t="s">
        <v>165</v>
      </c>
      <c r="V139" t="s">
        <v>255</v>
      </c>
    </row>
    <row r="140" spans="20:22" x14ac:dyDescent="0.35">
      <c r="T140" t="s">
        <v>58</v>
      </c>
      <c r="U140" t="s">
        <v>154</v>
      </c>
      <c r="V140" t="s">
        <v>266</v>
      </c>
    </row>
    <row r="141" spans="20:22" x14ac:dyDescent="0.35">
      <c r="T141" t="s">
        <v>267</v>
      </c>
      <c r="U141" t="s">
        <v>156</v>
      </c>
      <c r="V141" t="s">
        <v>266</v>
      </c>
    </row>
    <row r="142" spans="20:22" x14ac:dyDescent="0.35">
      <c r="T142" t="s">
        <v>268</v>
      </c>
      <c r="U142" t="s">
        <v>158</v>
      </c>
      <c r="V142" t="s">
        <v>266</v>
      </c>
    </row>
    <row r="143" spans="20:22" x14ac:dyDescent="0.35">
      <c r="T143" t="s">
        <v>59</v>
      </c>
      <c r="U143" t="s">
        <v>154</v>
      </c>
      <c r="V143" t="s">
        <v>266</v>
      </c>
    </row>
    <row r="144" spans="20:22" x14ac:dyDescent="0.35">
      <c r="T144" t="s">
        <v>269</v>
      </c>
      <c r="U144" t="s">
        <v>156</v>
      </c>
      <c r="V144" t="s">
        <v>266</v>
      </c>
    </row>
    <row r="145" spans="20:22" x14ac:dyDescent="0.35">
      <c r="T145" t="s">
        <v>270</v>
      </c>
      <c r="U145" t="s">
        <v>158</v>
      </c>
      <c r="V145" t="s">
        <v>266</v>
      </c>
    </row>
    <row r="146" spans="20:22" x14ac:dyDescent="0.35">
      <c r="T146" t="s">
        <v>271</v>
      </c>
      <c r="U146" t="s">
        <v>186</v>
      </c>
      <c r="V146" t="s">
        <v>266</v>
      </c>
    </row>
    <row r="147" spans="20:22" x14ac:dyDescent="0.35">
      <c r="T147" t="s">
        <v>60</v>
      </c>
      <c r="U147" t="s">
        <v>154</v>
      </c>
      <c r="V147" t="s">
        <v>266</v>
      </c>
    </row>
    <row r="148" spans="20:22" x14ac:dyDescent="0.35">
      <c r="T148" t="s">
        <v>272</v>
      </c>
      <c r="U148" t="s">
        <v>162</v>
      </c>
      <c r="V148" t="s">
        <v>266</v>
      </c>
    </row>
    <row r="149" spans="20:22" x14ac:dyDescent="0.35">
      <c r="T149" t="s">
        <v>61</v>
      </c>
      <c r="U149" t="s">
        <v>154</v>
      </c>
      <c r="V149" t="s">
        <v>266</v>
      </c>
    </row>
    <row r="150" spans="20:22" x14ac:dyDescent="0.35">
      <c r="T150" t="s">
        <v>273</v>
      </c>
      <c r="U150" t="s">
        <v>189</v>
      </c>
      <c r="V150" t="s">
        <v>266</v>
      </c>
    </row>
    <row r="151" spans="20:22" x14ac:dyDescent="0.35">
      <c r="T151" t="s">
        <v>274</v>
      </c>
      <c r="U151" t="s">
        <v>191</v>
      </c>
      <c r="V151" t="s">
        <v>266</v>
      </c>
    </row>
    <row r="152" spans="20:22" x14ac:dyDescent="0.35">
      <c r="T152" t="s">
        <v>62</v>
      </c>
      <c r="U152" t="s">
        <v>154</v>
      </c>
      <c r="V152" t="s">
        <v>266</v>
      </c>
    </row>
    <row r="153" spans="20:22" x14ac:dyDescent="0.35">
      <c r="T153" t="s">
        <v>275</v>
      </c>
      <c r="U153" t="s">
        <v>156</v>
      </c>
      <c r="V153" t="s">
        <v>266</v>
      </c>
    </row>
    <row r="154" spans="20:22" x14ac:dyDescent="0.35">
      <c r="T154" t="s">
        <v>276</v>
      </c>
      <c r="U154" t="s">
        <v>165</v>
      </c>
      <c r="V154" t="s">
        <v>266</v>
      </c>
    </row>
    <row r="155" spans="20:22" x14ac:dyDescent="0.35">
      <c r="T155" t="s">
        <v>63</v>
      </c>
      <c r="U155" t="s">
        <v>154</v>
      </c>
      <c r="V155" t="s">
        <v>277</v>
      </c>
    </row>
    <row r="156" spans="20:22" x14ac:dyDescent="0.35">
      <c r="T156" t="s">
        <v>278</v>
      </c>
      <c r="U156" t="s">
        <v>156</v>
      </c>
      <c r="V156" t="s">
        <v>277</v>
      </c>
    </row>
    <row r="157" spans="20:22" x14ac:dyDescent="0.35">
      <c r="T157" t="s">
        <v>279</v>
      </c>
      <c r="U157" t="s">
        <v>158</v>
      </c>
      <c r="V157" t="s">
        <v>277</v>
      </c>
    </row>
    <row r="158" spans="20:22" x14ac:dyDescent="0.35">
      <c r="T158" t="s">
        <v>64</v>
      </c>
      <c r="U158" t="s">
        <v>154</v>
      </c>
      <c r="V158" t="s">
        <v>277</v>
      </c>
    </row>
    <row r="159" spans="20:22" x14ac:dyDescent="0.35">
      <c r="T159" t="s">
        <v>280</v>
      </c>
      <c r="U159" t="s">
        <v>156</v>
      </c>
      <c r="V159" t="s">
        <v>277</v>
      </c>
    </row>
    <row r="160" spans="20:22" x14ac:dyDescent="0.35">
      <c r="T160" t="s">
        <v>281</v>
      </c>
      <c r="U160" t="s">
        <v>158</v>
      </c>
      <c r="V160" t="s">
        <v>277</v>
      </c>
    </row>
    <row r="161" spans="20:22" x14ac:dyDescent="0.35">
      <c r="T161" t="s">
        <v>282</v>
      </c>
      <c r="U161" t="s">
        <v>186</v>
      </c>
      <c r="V161" t="s">
        <v>277</v>
      </c>
    </row>
    <row r="162" spans="20:22" x14ac:dyDescent="0.35">
      <c r="T162" t="s">
        <v>65</v>
      </c>
      <c r="U162" t="s">
        <v>154</v>
      </c>
      <c r="V162" t="s">
        <v>277</v>
      </c>
    </row>
    <row r="163" spans="20:22" x14ac:dyDescent="0.35">
      <c r="T163" t="s">
        <v>283</v>
      </c>
      <c r="U163" t="s">
        <v>162</v>
      </c>
      <c r="V163" t="s">
        <v>277</v>
      </c>
    </row>
    <row r="164" spans="20:22" x14ac:dyDescent="0.35">
      <c r="T164" t="s">
        <v>66</v>
      </c>
      <c r="U164" t="s">
        <v>154</v>
      </c>
      <c r="V164" t="s">
        <v>277</v>
      </c>
    </row>
    <row r="165" spans="20:22" x14ac:dyDescent="0.35">
      <c r="T165" t="s">
        <v>284</v>
      </c>
      <c r="U165" t="s">
        <v>189</v>
      </c>
      <c r="V165" t="s">
        <v>277</v>
      </c>
    </row>
    <row r="166" spans="20:22" x14ac:dyDescent="0.35">
      <c r="T166" t="s">
        <v>285</v>
      </c>
      <c r="U166" t="s">
        <v>191</v>
      </c>
      <c r="V166" t="s">
        <v>277</v>
      </c>
    </row>
    <row r="167" spans="20:22" x14ac:dyDescent="0.35">
      <c r="T167" t="s">
        <v>67</v>
      </c>
      <c r="U167" t="s">
        <v>154</v>
      </c>
      <c r="V167" t="s">
        <v>277</v>
      </c>
    </row>
    <row r="168" spans="20:22" x14ac:dyDescent="0.35">
      <c r="T168" t="s">
        <v>286</v>
      </c>
      <c r="U168" t="s">
        <v>156</v>
      </c>
      <c r="V168" t="s">
        <v>277</v>
      </c>
    </row>
    <row r="169" spans="20:22" x14ac:dyDescent="0.35">
      <c r="T169" t="s">
        <v>287</v>
      </c>
      <c r="U169" t="s">
        <v>165</v>
      </c>
      <c r="V169" t="s">
        <v>277</v>
      </c>
    </row>
    <row r="170" spans="20:22" x14ac:dyDescent="0.35">
      <c r="T170" t="s">
        <v>68</v>
      </c>
      <c r="U170" t="s">
        <v>154</v>
      </c>
      <c r="V170" t="s">
        <v>288</v>
      </c>
    </row>
    <row r="171" spans="20:22" x14ac:dyDescent="0.35">
      <c r="T171" t="s">
        <v>289</v>
      </c>
      <c r="U171" t="s">
        <v>156</v>
      </c>
      <c r="V171" t="s">
        <v>288</v>
      </c>
    </row>
    <row r="172" spans="20:22" x14ac:dyDescent="0.35">
      <c r="T172" t="s">
        <v>290</v>
      </c>
      <c r="U172" t="s">
        <v>158</v>
      </c>
      <c r="V172" t="s">
        <v>288</v>
      </c>
    </row>
    <row r="173" spans="20:22" x14ac:dyDescent="0.35">
      <c r="T173" t="s">
        <v>69</v>
      </c>
      <c r="U173" t="s">
        <v>154</v>
      </c>
      <c r="V173" t="s">
        <v>288</v>
      </c>
    </row>
    <row r="174" spans="20:22" x14ac:dyDescent="0.35">
      <c r="T174" t="s">
        <v>291</v>
      </c>
      <c r="U174" t="s">
        <v>156</v>
      </c>
      <c r="V174" t="s">
        <v>288</v>
      </c>
    </row>
    <row r="175" spans="20:22" x14ac:dyDescent="0.35">
      <c r="T175" t="s">
        <v>292</v>
      </c>
      <c r="U175" t="s">
        <v>158</v>
      </c>
      <c r="V175" t="s">
        <v>288</v>
      </c>
    </row>
    <row r="176" spans="20:22" x14ac:dyDescent="0.35">
      <c r="T176" t="s">
        <v>293</v>
      </c>
      <c r="U176" t="s">
        <v>186</v>
      </c>
      <c r="V176" t="s">
        <v>288</v>
      </c>
    </row>
    <row r="177" spans="20:22" x14ac:dyDescent="0.35">
      <c r="T177" t="s">
        <v>70</v>
      </c>
      <c r="U177" t="s">
        <v>154</v>
      </c>
      <c r="V177" t="s">
        <v>288</v>
      </c>
    </row>
    <row r="178" spans="20:22" x14ac:dyDescent="0.35">
      <c r="T178" t="s">
        <v>294</v>
      </c>
      <c r="U178" t="s">
        <v>162</v>
      </c>
      <c r="V178" t="s">
        <v>288</v>
      </c>
    </row>
    <row r="179" spans="20:22" x14ac:dyDescent="0.35">
      <c r="T179" t="s">
        <v>71</v>
      </c>
      <c r="U179" t="s">
        <v>154</v>
      </c>
      <c r="V179" t="s">
        <v>288</v>
      </c>
    </row>
    <row r="180" spans="20:22" x14ac:dyDescent="0.35">
      <c r="T180" t="s">
        <v>295</v>
      </c>
      <c r="U180" t="s">
        <v>189</v>
      </c>
      <c r="V180" t="s">
        <v>288</v>
      </c>
    </row>
    <row r="181" spans="20:22" x14ac:dyDescent="0.35">
      <c r="T181" t="s">
        <v>296</v>
      </c>
      <c r="U181" t="s">
        <v>191</v>
      </c>
      <c r="V181" t="s">
        <v>288</v>
      </c>
    </row>
    <row r="182" spans="20:22" x14ac:dyDescent="0.35">
      <c r="T182" t="s">
        <v>72</v>
      </c>
      <c r="U182" t="s">
        <v>154</v>
      </c>
      <c r="V182" t="s">
        <v>288</v>
      </c>
    </row>
    <row r="183" spans="20:22" x14ac:dyDescent="0.35">
      <c r="T183" t="s">
        <v>297</v>
      </c>
      <c r="U183" t="s">
        <v>156</v>
      </c>
      <c r="V183" t="s">
        <v>288</v>
      </c>
    </row>
    <row r="184" spans="20:22" x14ac:dyDescent="0.35">
      <c r="T184" t="s">
        <v>298</v>
      </c>
      <c r="U184" t="s">
        <v>165</v>
      </c>
      <c r="V184" t="s">
        <v>288</v>
      </c>
    </row>
    <row r="185" spans="20:22" x14ac:dyDescent="0.35">
      <c r="T185" t="s">
        <v>73</v>
      </c>
      <c r="U185" t="s">
        <v>154</v>
      </c>
      <c r="V185" t="s">
        <v>299</v>
      </c>
    </row>
    <row r="186" spans="20:22" x14ac:dyDescent="0.35">
      <c r="T186" t="s">
        <v>300</v>
      </c>
      <c r="U186" t="s">
        <v>156</v>
      </c>
      <c r="V186" t="s">
        <v>299</v>
      </c>
    </row>
    <row r="187" spans="20:22" x14ac:dyDescent="0.35">
      <c r="T187" t="s">
        <v>301</v>
      </c>
      <c r="U187" t="s">
        <v>158</v>
      </c>
      <c r="V187" t="s">
        <v>299</v>
      </c>
    </row>
    <row r="188" spans="20:22" x14ac:dyDescent="0.35">
      <c r="T188" t="s">
        <v>303</v>
      </c>
      <c r="U188" t="s">
        <v>186</v>
      </c>
      <c r="V188" t="s">
        <v>302</v>
      </c>
    </row>
    <row r="189" spans="20:22" x14ac:dyDescent="0.35">
      <c r="T189" t="s">
        <v>305</v>
      </c>
      <c r="U189" t="s">
        <v>304</v>
      </c>
      <c r="V189" t="s">
        <v>304</v>
      </c>
    </row>
    <row r="190" spans="20:22" x14ac:dyDescent="0.35">
      <c r="T190" t="s">
        <v>306</v>
      </c>
      <c r="U190" t="s">
        <v>158</v>
      </c>
      <c r="V190" t="s">
        <v>158</v>
      </c>
    </row>
    <row r="191" spans="20:22" x14ac:dyDescent="0.35">
      <c r="T191" t="s">
        <v>308</v>
      </c>
      <c r="U191" t="s">
        <v>307</v>
      </c>
      <c r="V191" t="s">
        <v>307</v>
      </c>
    </row>
    <row r="192" spans="20:22" x14ac:dyDescent="0.35">
      <c r="T192" t="s">
        <v>309</v>
      </c>
      <c r="U192" t="s">
        <v>304</v>
      </c>
      <c r="V192" t="s">
        <v>304</v>
      </c>
    </row>
  </sheetData>
  <autoFilter ref="B1:P192" xr:uid="{00000000-0001-0000-0F00-000000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K63"/>
  <sheetViews>
    <sheetView topLeftCell="AH26" workbookViewId="0">
      <selection activeCell="AX63" activeCellId="39" sqref="AT14 AX15 AX9 BF8 AP4 AP7 AP16 AT19 BF19 AT24 BB23 BF24 AX28 BF30 AX31 BF34 AP36 AT37 BB37 BF35 AP40 AT38 AX38 AP46 AX44 BB47 AP50 AT49 AX49 BB50 BF52 AT57 AX57 BF57 AP62 AX62 BB60 BF62 AP63 AX63"/>
    </sheetView>
  </sheetViews>
  <sheetFormatPr defaultRowHeight="14.5" x14ac:dyDescent="0.35"/>
  <cols>
    <col min="1" max="1" width="25" customWidth="1"/>
    <col min="2" max="3" width="41" hidden="1" customWidth="1"/>
    <col min="4" max="5" width="39" hidden="1" customWidth="1"/>
    <col min="6" max="7" width="41" hidden="1" customWidth="1"/>
    <col min="8" max="9" width="39" hidden="1" customWidth="1"/>
    <col min="10" max="11" width="41" hidden="1" customWidth="1"/>
    <col min="12" max="13" width="39" hidden="1" customWidth="1"/>
    <col min="14" max="14" width="23.7265625" style="51" customWidth="1"/>
    <col min="15" max="17" width="23.7265625" style="51" hidden="1" customWidth="1"/>
    <col min="18" max="18" width="23.7265625" style="51" customWidth="1"/>
    <col min="19" max="21" width="23.7265625" style="51" hidden="1" customWidth="1"/>
    <col min="22" max="22" width="23.7265625" style="51" customWidth="1"/>
    <col min="23" max="25" width="23.7265625" style="51" hidden="1" customWidth="1"/>
    <col min="26" max="26" width="23.7265625" style="51" customWidth="1"/>
    <col min="27" max="29" width="23.7265625" style="51" hidden="1" customWidth="1"/>
    <col min="30" max="30" width="23.7265625" style="51" customWidth="1"/>
    <col min="31" max="33" width="23.7265625" style="51" hidden="1" customWidth="1"/>
    <col min="34" max="34" width="23.7265625" style="51" customWidth="1"/>
    <col min="35" max="37" width="23.7265625" style="51" hidden="1" customWidth="1"/>
    <col min="38" max="38" width="23.7265625" style="51" customWidth="1"/>
    <col min="39" max="41" width="23.7265625" style="51" hidden="1" customWidth="1"/>
    <col min="42" max="42" width="23.7265625" style="51" customWidth="1"/>
    <col min="43" max="45" width="23.7265625" style="51" hidden="1" customWidth="1"/>
    <col min="46" max="46" width="23.7265625" style="51" customWidth="1"/>
    <col min="47" max="49" width="23.7265625" style="51" hidden="1" customWidth="1"/>
    <col min="50" max="50" width="23.7265625" style="51" customWidth="1"/>
    <col min="51" max="53" width="23.7265625" style="51" hidden="1" customWidth="1"/>
    <col min="54" max="54" width="23.7265625" style="51" customWidth="1"/>
    <col min="55" max="57" width="23.7265625" style="51" hidden="1" customWidth="1"/>
    <col min="58" max="58" width="23.7265625" style="51" customWidth="1"/>
    <col min="59" max="59" width="42" hidden="1" customWidth="1"/>
    <col min="60" max="61" width="40" hidden="1" customWidth="1"/>
    <col min="63" max="63" width="17" bestFit="1" customWidth="1"/>
  </cols>
  <sheetData>
    <row r="1" spans="1:63" ht="29" x14ac:dyDescent="0.35">
      <c r="A1" s="1" t="s">
        <v>0</v>
      </c>
      <c r="B1" s="1" t="s">
        <v>89</v>
      </c>
      <c r="C1" s="1" t="s">
        <v>90</v>
      </c>
      <c r="D1" s="1" t="s">
        <v>91</v>
      </c>
      <c r="E1" s="1" t="s">
        <v>92</v>
      </c>
      <c r="F1" s="1" t="s">
        <v>93</v>
      </c>
      <c r="G1" s="1" t="s">
        <v>94</v>
      </c>
      <c r="H1" s="1" t="s">
        <v>95</v>
      </c>
      <c r="I1" s="1" t="s">
        <v>96</v>
      </c>
      <c r="J1" s="1" t="s">
        <v>97</v>
      </c>
      <c r="K1" s="1" t="s">
        <v>98</v>
      </c>
      <c r="L1" s="1" t="s">
        <v>99</v>
      </c>
      <c r="M1" s="1" t="s">
        <v>100</v>
      </c>
      <c r="N1" s="34" t="s">
        <v>101</v>
      </c>
      <c r="O1" s="34" t="s">
        <v>102</v>
      </c>
      <c r="P1" s="34" t="s">
        <v>103</v>
      </c>
      <c r="Q1" s="34" t="s">
        <v>104</v>
      </c>
      <c r="R1" s="34" t="s">
        <v>105</v>
      </c>
      <c r="S1" s="34" t="s">
        <v>106</v>
      </c>
      <c r="T1" s="34" t="s">
        <v>107</v>
      </c>
      <c r="U1" s="34" t="s">
        <v>108</v>
      </c>
      <c r="V1" s="34" t="s">
        <v>109</v>
      </c>
      <c r="W1" s="34" t="s">
        <v>110</v>
      </c>
      <c r="X1" s="34" t="s">
        <v>111</v>
      </c>
      <c r="Y1" s="34" t="s">
        <v>112</v>
      </c>
      <c r="Z1" s="34" t="s">
        <v>113</v>
      </c>
      <c r="AA1" s="34" t="s">
        <v>114</v>
      </c>
      <c r="AB1" s="34" t="s">
        <v>115</v>
      </c>
      <c r="AC1" s="34" t="s">
        <v>116</v>
      </c>
      <c r="AD1" s="34" t="s">
        <v>117</v>
      </c>
      <c r="AE1" s="34" t="s">
        <v>118</v>
      </c>
      <c r="AF1" s="34" t="s">
        <v>119</v>
      </c>
      <c r="AG1" s="34" t="s">
        <v>120</v>
      </c>
      <c r="AH1" s="34" t="s">
        <v>121</v>
      </c>
      <c r="AI1" s="34" t="s">
        <v>122</v>
      </c>
      <c r="AJ1" s="34" t="s">
        <v>123</v>
      </c>
      <c r="AK1" s="34" t="s">
        <v>124</v>
      </c>
      <c r="AL1" s="34" t="s">
        <v>125</v>
      </c>
      <c r="AM1" s="34" t="s">
        <v>126</v>
      </c>
      <c r="AN1" s="34" t="s">
        <v>127</v>
      </c>
      <c r="AO1" s="34" t="s">
        <v>128</v>
      </c>
      <c r="AP1" s="34" t="s">
        <v>129</v>
      </c>
      <c r="AQ1" s="34" t="s">
        <v>130</v>
      </c>
      <c r="AR1" s="34" t="s">
        <v>131</v>
      </c>
      <c r="AS1" s="34" t="s">
        <v>132</v>
      </c>
      <c r="AT1" s="34" t="s">
        <v>133</v>
      </c>
      <c r="AU1" s="34" t="s">
        <v>134</v>
      </c>
      <c r="AV1" s="34" t="s">
        <v>135</v>
      </c>
      <c r="AW1" s="34" t="s">
        <v>136</v>
      </c>
      <c r="AX1" s="34" t="s">
        <v>137</v>
      </c>
      <c r="AY1" s="34" t="s">
        <v>138</v>
      </c>
      <c r="AZ1" s="34" t="s">
        <v>139</v>
      </c>
      <c r="BA1" s="34" t="s">
        <v>140</v>
      </c>
      <c r="BB1" s="34" t="s">
        <v>141</v>
      </c>
      <c r="BC1" s="34" t="s">
        <v>142</v>
      </c>
      <c r="BD1" s="34" t="s">
        <v>143</v>
      </c>
      <c r="BE1" s="34" t="s">
        <v>144</v>
      </c>
      <c r="BF1" s="34" t="s">
        <v>145</v>
      </c>
      <c r="BG1" s="1" t="s">
        <v>146</v>
      </c>
      <c r="BH1" s="1" t="s">
        <v>147</v>
      </c>
      <c r="BI1" s="1" t="s">
        <v>148</v>
      </c>
    </row>
    <row r="2" spans="1:63" x14ac:dyDescent="0.35">
      <c r="A2" s="6" t="s">
        <v>11</v>
      </c>
      <c r="B2" s="6">
        <v>0.8932160997258477</v>
      </c>
      <c r="C2" s="6">
        <v>0.12132136960569349</v>
      </c>
      <c r="D2" s="6">
        <v>0.88610000300588521</v>
      </c>
      <c r="E2" s="6">
        <v>0.1138999969941147</v>
      </c>
      <c r="F2" s="6">
        <v>0.97715363504431529</v>
      </c>
      <c r="G2" s="6">
        <v>2.7255805301668649E-2</v>
      </c>
      <c r="H2" s="6">
        <v>0.97499180225717708</v>
      </c>
      <c r="I2" s="6">
        <v>2.5008197742822879E-2</v>
      </c>
      <c r="J2" s="6">
        <v>0.33924030681285811</v>
      </c>
      <c r="K2" s="6">
        <v>0.68790182259992472</v>
      </c>
      <c r="L2" s="6">
        <v>0.32553831703891678</v>
      </c>
      <c r="M2" s="6">
        <v>0.67446168296108322</v>
      </c>
      <c r="N2" s="35">
        <v>0.99932957240549158</v>
      </c>
      <c r="O2" s="35">
        <v>8.6972830393244492E-4</v>
      </c>
      <c r="P2" s="35">
        <v>0.99922689826145961</v>
      </c>
      <c r="Q2" s="35">
        <v>7.7310173854037219E-4</v>
      </c>
      <c r="R2" s="35">
        <v>0.91843865693126425</v>
      </c>
      <c r="S2" s="35">
        <v>9.3546529825919919E-2</v>
      </c>
      <c r="T2" s="35">
        <v>0.91257778319479266</v>
      </c>
      <c r="U2" s="35">
        <v>8.7422216805207342E-2</v>
      </c>
      <c r="V2" s="35">
        <v>0.63275715045003333</v>
      </c>
      <c r="W2" s="35">
        <v>0.39596959597855169</v>
      </c>
      <c r="X2" s="35">
        <v>0.61848769972350237</v>
      </c>
      <c r="Y2" s="35">
        <v>0.38151230027649757</v>
      </c>
      <c r="Z2" s="35">
        <v>0.99424414898732705</v>
      </c>
      <c r="AA2" s="35">
        <v>7.1183650161997609E-3</v>
      </c>
      <c r="AB2" s="35">
        <v>0.99356720935272191</v>
      </c>
      <c r="AC2" s="35">
        <v>6.4327906472780392E-3</v>
      </c>
      <c r="AD2" s="35">
        <v>0.99887778140824413</v>
      </c>
      <c r="AE2" s="35">
        <v>1.440259242764247E-3</v>
      </c>
      <c r="AF2" s="35">
        <v>0.99871558423648865</v>
      </c>
      <c r="AG2" s="35">
        <v>1.284415763511356E-3</v>
      </c>
      <c r="AH2" s="35">
        <v>0.33924030681285811</v>
      </c>
      <c r="AI2" s="35">
        <v>0.68790182259992472</v>
      </c>
      <c r="AJ2" s="35">
        <v>0.29887292785152092</v>
      </c>
      <c r="AK2" s="35">
        <v>0.70112707214847914</v>
      </c>
      <c r="AL2" s="35">
        <v>0.98419030824746367</v>
      </c>
      <c r="AM2" s="35">
        <v>1.9053548193704001E-2</v>
      </c>
      <c r="AN2" s="35">
        <v>0.9825957605940665</v>
      </c>
      <c r="AO2" s="35">
        <v>1.7404239405933521E-2</v>
      </c>
      <c r="AP2" s="35">
        <v>0.7483875338808782</v>
      </c>
      <c r="AQ2" s="35">
        <v>0.27236850725179079</v>
      </c>
      <c r="AR2" s="35">
        <v>0.73812537078669005</v>
      </c>
      <c r="AS2" s="35">
        <v>0.26187462921331001</v>
      </c>
      <c r="AT2" s="35">
        <v>0.86188756165359359</v>
      </c>
      <c r="AU2" s="35">
        <v>0.14932314264485841</v>
      </c>
      <c r="AV2" s="35">
        <v>0.85635437073453313</v>
      </c>
      <c r="AW2" s="35">
        <v>0.1436456292654669</v>
      </c>
      <c r="AX2" s="35">
        <v>0.87867863039430649</v>
      </c>
      <c r="AY2" s="35">
        <v>0.1371961135641718</v>
      </c>
      <c r="AZ2" s="35">
        <v>0.8709024762080273</v>
      </c>
      <c r="BA2" s="35">
        <v>0.12909752379197259</v>
      </c>
      <c r="BB2" s="35">
        <v>0.92431028870426246</v>
      </c>
      <c r="BC2" s="35">
        <v>8.5204326358424731E-2</v>
      </c>
      <c r="BD2" s="35">
        <v>0.91964218271622178</v>
      </c>
      <c r="BE2" s="35">
        <v>8.0357817283778221E-2</v>
      </c>
      <c r="BF2" s="35">
        <v>0.6539182261478429</v>
      </c>
      <c r="BG2" s="6">
        <v>0.36450981315316999</v>
      </c>
      <c r="BH2" s="6">
        <v>0.64475259402999296</v>
      </c>
      <c r="BI2" s="6">
        <v>0.35524740597000709</v>
      </c>
      <c r="BK2" s="7" t="s">
        <v>153</v>
      </c>
    </row>
    <row r="3" spans="1:63" x14ac:dyDescent="0.35">
      <c r="A3" s="8" t="s">
        <v>13</v>
      </c>
      <c r="B3" s="8">
        <v>0.68790182259992472</v>
      </c>
      <c r="C3" s="8">
        <v>0.33924030681285811</v>
      </c>
      <c r="D3" s="8">
        <v>0.67446168296108322</v>
      </c>
      <c r="E3" s="8">
        <v>0.32553831703891678</v>
      </c>
      <c r="F3" s="8">
        <v>0.78565405479424744</v>
      </c>
      <c r="G3" s="8">
        <v>0.23698086456375611</v>
      </c>
      <c r="H3" s="8">
        <v>0.77450884036555889</v>
      </c>
      <c r="I3" s="8">
        <v>0.22549115963444111</v>
      </c>
      <c r="J3" s="8">
        <v>0.71406108938773216</v>
      </c>
      <c r="K3" s="8">
        <v>0.31209817740007528</v>
      </c>
      <c r="L3" s="8">
        <v>0.70112707214848013</v>
      </c>
      <c r="M3" s="8">
        <v>0.29887292785151992</v>
      </c>
      <c r="N3" s="36">
        <v>0.99932957240549158</v>
      </c>
      <c r="O3" s="36">
        <v>8.6972830393244492E-4</v>
      </c>
      <c r="P3" s="36">
        <v>0.99922689826145961</v>
      </c>
      <c r="Q3" s="36">
        <v>7.7310173854037219E-4</v>
      </c>
      <c r="R3" s="36">
        <v>0.87867863039430649</v>
      </c>
      <c r="S3" s="36">
        <v>0.1371961135641718</v>
      </c>
      <c r="T3" s="36">
        <v>0.8709024762080273</v>
      </c>
      <c r="U3" s="36">
        <v>0.12909752379197259</v>
      </c>
      <c r="V3" s="36">
        <v>2.334560481166707E-3</v>
      </c>
      <c r="W3" s="36">
        <v>0.99816142786523809</v>
      </c>
      <c r="X3" s="36">
        <v>2.0892787840832709E-3</v>
      </c>
      <c r="Y3" s="36">
        <v>0.99791072121591673</v>
      </c>
      <c r="Z3" s="36">
        <v>0.21434594520575251</v>
      </c>
      <c r="AA3" s="36">
        <v>0.80697951600757256</v>
      </c>
      <c r="AB3" s="36">
        <v>0.20350801363568721</v>
      </c>
      <c r="AC3" s="36">
        <v>0.79649198636431284</v>
      </c>
      <c r="AD3" s="36">
        <v>0.33924030681285811</v>
      </c>
      <c r="AE3" s="36">
        <v>0.68790182259992472</v>
      </c>
      <c r="AF3" s="36">
        <v>0.29887292785152092</v>
      </c>
      <c r="AG3" s="36">
        <v>0.70112707214847914</v>
      </c>
      <c r="AH3" s="36">
        <v>3.9196467388036299E-4</v>
      </c>
      <c r="AI3" s="36">
        <v>0.99970272376273472</v>
      </c>
      <c r="AJ3" s="36">
        <v>3.4691887544968658E-4</v>
      </c>
      <c r="AK3" s="36">
        <v>0.99965308112455031</v>
      </c>
      <c r="AL3" s="36">
        <v>0.97715363504431529</v>
      </c>
      <c r="AM3" s="36">
        <v>2.7255805301668649E-2</v>
      </c>
      <c r="AN3" s="36">
        <v>0.97499180225717708</v>
      </c>
      <c r="AO3" s="36">
        <v>2.5008197742822879E-2</v>
      </c>
      <c r="AP3" s="36">
        <v>0.99974747758041316</v>
      </c>
      <c r="AQ3" s="36">
        <v>3.1994104772099428E-4</v>
      </c>
      <c r="AR3" s="36">
        <v>0.99971225912348216</v>
      </c>
      <c r="AS3" s="36">
        <v>2.8774087651785952E-4</v>
      </c>
      <c r="AT3" s="38">
        <v>6.8495451888000259E-5</v>
      </c>
      <c r="AU3" s="36">
        <v>0.99994403076320326</v>
      </c>
      <c r="AV3" s="36">
        <v>6.2617145115462236E-5</v>
      </c>
      <c r="AW3" s="36">
        <v>0.99993738285488454</v>
      </c>
      <c r="AX3" s="36">
        <v>0.92922855552128913</v>
      </c>
      <c r="AY3" s="36">
        <v>8.1561343068735734E-2</v>
      </c>
      <c r="AZ3" s="36">
        <v>0.92395368375921005</v>
      </c>
      <c r="BA3" s="36">
        <v>7.6046316240789988E-2</v>
      </c>
      <c r="BB3" s="36">
        <v>0.99773664056901701</v>
      </c>
      <c r="BC3" s="36">
        <v>2.7597897121236729E-3</v>
      </c>
      <c r="BD3" s="36">
        <v>0.99748680434957493</v>
      </c>
      <c r="BE3" s="36">
        <v>2.5131956504250621E-3</v>
      </c>
      <c r="BF3" s="36">
        <v>0.97322538089809185</v>
      </c>
      <c r="BG3" s="8">
        <v>2.998950691762162E-2</v>
      </c>
      <c r="BH3" s="8">
        <v>0.97163922104287637</v>
      </c>
      <c r="BI3" s="8">
        <v>2.8360778957123661E-2</v>
      </c>
      <c r="BK3" s="9" t="s">
        <v>159</v>
      </c>
    </row>
    <row r="4" spans="1:63" x14ac:dyDescent="0.35">
      <c r="A4" s="8" t="s">
        <v>14</v>
      </c>
      <c r="B4" s="8">
        <v>0.99983177687150404</v>
      </c>
      <c r="C4" s="8">
        <v>2.2423766932352069E-4</v>
      </c>
      <c r="D4" s="8">
        <v>0.99980201728178342</v>
      </c>
      <c r="E4" s="8">
        <v>1.979827182166197E-4</v>
      </c>
      <c r="F4" s="8">
        <v>2.425141220284132E-6</v>
      </c>
      <c r="G4" s="8">
        <v>0.99999831688327856</v>
      </c>
      <c r="H4" s="8">
        <v>2.1323387218163958E-6</v>
      </c>
      <c r="I4" s="8">
        <v>0.99999786766127818</v>
      </c>
      <c r="J4" s="8">
        <v>0.99999298654494129</v>
      </c>
      <c r="K4" s="8">
        <v>9.8807434232840573E-6</v>
      </c>
      <c r="L4" s="8">
        <v>0.99999132563559712</v>
      </c>
      <c r="M4" s="8">
        <v>8.6743644029296506E-6</v>
      </c>
      <c r="N4" s="36">
        <v>0.99855974075723575</v>
      </c>
      <c r="O4" s="36">
        <v>1.838572134761929E-3</v>
      </c>
      <c r="P4" s="36">
        <v>0.99835753791918813</v>
      </c>
      <c r="Q4" s="36">
        <v>1.642462080811845E-3</v>
      </c>
      <c r="R4" s="36">
        <v>2.9727623726529142E-4</v>
      </c>
      <c r="S4" s="36">
        <v>0.99977576233067644</v>
      </c>
      <c r="T4" s="36">
        <v>2.6277871913638062E-4</v>
      </c>
      <c r="U4" s="36">
        <v>0.99973722128086362</v>
      </c>
      <c r="V4" s="36">
        <v>0.9676470434726987</v>
      </c>
      <c r="W4" s="36">
        <v>3.8211572417738697E-2</v>
      </c>
      <c r="X4" s="36">
        <v>0.96477978536395614</v>
      </c>
      <c r="Y4" s="36">
        <v>3.5220214636043863E-2</v>
      </c>
      <c r="Z4" s="36">
        <v>0.99424414898732705</v>
      </c>
      <c r="AA4" s="36">
        <v>7.1183650161997609E-3</v>
      </c>
      <c r="AB4" s="36">
        <v>0.99356720935272191</v>
      </c>
      <c r="AC4" s="36">
        <v>6.4327906472780392E-3</v>
      </c>
      <c r="AD4" s="38">
        <v>9.3132563399741616E-5</v>
      </c>
      <c r="AE4" s="36">
        <v>0.99993127286383343</v>
      </c>
      <c r="AF4" s="36">
        <v>8.1986969491132378E-5</v>
      </c>
      <c r="AG4" s="36">
        <v>0.99991801303050887</v>
      </c>
      <c r="AH4" s="36">
        <v>0.99993127286383343</v>
      </c>
      <c r="AI4" s="36">
        <v>9.3132563399741616E-5</v>
      </c>
      <c r="AJ4" s="36">
        <v>0.99991801303050887</v>
      </c>
      <c r="AK4" s="36">
        <v>8.1986969491158737E-5</v>
      </c>
      <c r="AL4" s="36">
        <v>0.99705135870899886</v>
      </c>
      <c r="AM4" s="36">
        <v>3.7045825410822238E-3</v>
      </c>
      <c r="AN4" s="36">
        <v>0.99667219725852529</v>
      </c>
      <c r="AO4" s="36">
        <v>3.3278027414746841E-3</v>
      </c>
      <c r="AP4" s="38">
        <v>1.335807115945141E-6</v>
      </c>
      <c r="AQ4" s="36">
        <v>0.99999902574657795</v>
      </c>
      <c r="AR4" s="36">
        <v>1.1904764806169869E-6</v>
      </c>
      <c r="AS4" s="36">
        <v>0.99999880952351938</v>
      </c>
      <c r="AT4" s="36">
        <v>0.99999999999996669</v>
      </c>
      <c r="AU4" s="36">
        <v>4.8624237484994682E-14</v>
      </c>
      <c r="AV4" s="36">
        <v>0.99999999999995282</v>
      </c>
      <c r="AW4" s="36">
        <v>4.7175616965351608E-14</v>
      </c>
      <c r="AX4" s="36">
        <v>0.99948598562048263</v>
      </c>
      <c r="AY4" s="36">
        <v>6.7042759450837246E-4</v>
      </c>
      <c r="AZ4" s="36">
        <v>0.9994049598082726</v>
      </c>
      <c r="BA4" s="36">
        <v>5.9504019172738302E-4</v>
      </c>
      <c r="BB4" s="36">
        <v>4.7451246753487619E-8</v>
      </c>
      <c r="BC4" s="36">
        <v>0.99999996676273217</v>
      </c>
      <c r="BD4" s="36">
        <v>4.2626017271452099E-8</v>
      </c>
      <c r="BE4" s="36">
        <v>0.99999995737398273</v>
      </c>
      <c r="BF4" s="36">
        <v>0.99999999979237009</v>
      </c>
      <c r="BG4" s="8">
        <v>2.8520920080195801E-10</v>
      </c>
      <c r="BH4" s="8">
        <v>0.99999999973721487</v>
      </c>
      <c r="BI4" s="8">
        <v>2.627850973028444E-10</v>
      </c>
      <c r="BK4" s="9" t="s">
        <v>159</v>
      </c>
    </row>
    <row r="5" spans="1:63" x14ac:dyDescent="0.35">
      <c r="A5" s="10" t="s">
        <v>15</v>
      </c>
      <c r="B5" s="10">
        <v>1.9053548193704001E-2</v>
      </c>
      <c r="C5" s="10">
        <v>0.98419030824746367</v>
      </c>
      <c r="D5" s="10">
        <v>1.7404239405933501E-2</v>
      </c>
      <c r="E5" s="10">
        <v>0.9825957605940665</v>
      </c>
      <c r="F5" s="10">
        <v>5.0438205584933382E-5</v>
      </c>
      <c r="G5" s="10">
        <v>0.99996318795309103</v>
      </c>
      <c r="H5" s="10">
        <v>4.4339291497941247E-5</v>
      </c>
      <c r="I5" s="10">
        <v>0.99995566070850206</v>
      </c>
      <c r="J5" s="10">
        <v>0.99990686743660029</v>
      </c>
      <c r="K5" s="10">
        <v>1.2551204111500489E-4</v>
      </c>
      <c r="L5" s="10">
        <v>0.99988941182370716</v>
      </c>
      <c r="M5" s="10">
        <v>1.1058817629283019E-4</v>
      </c>
      <c r="N5" s="37">
        <v>0.1371961135641718</v>
      </c>
      <c r="O5" s="37">
        <v>0.87867863039430649</v>
      </c>
      <c r="P5" s="37">
        <v>0.12909752379197201</v>
      </c>
      <c r="Q5" s="37">
        <v>0.87090247620802796</v>
      </c>
      <c r="R5" s="37">
        <v>2.334560481166707E-3</v>
      </c>
      <c r="S5" s="37">
        <v>0.99816142786523809</v>
      </c>
      <c r="T5" s="37">
        <v>2.0892787840832709E-3</v>
      </c>
      <c r="U5" s="37">
        <v>0.99791072121591673</v>
      </c>
      <c r="V5" s="37">
        <v>0.99999975106193439</v>
      </c>
      <c r="W5" s="37">
        <v>3.6900608683083041E-7</v>
      </c>
      <c r="X5" s="37">
        <v>0.99999967365599507</v>
      </c>
      <c r="Y5" s="37">
        <v>3.2634400491955672E-7</v>
      </c>
      <c r="Z5" s="37">
        <v>0.1067839002741523</v>
      </c>
      <c r="AA5" s="37">
        <v>0.90645347017408007</v>
      </c>
      <c r="AB5" s="37">
        <v>0.1000225272546644</v>
      </c>
      <c r="AC5" s="37">
        <v>0.89997747274533557</v>
      </c>
      <c r="AD5" s="37">
        <v>0.1371961135641718</v>
      </c>
      <c r="AE5" s="37">
        <v>0.87867863039430649</v>
      </c>
      <c r="AF5" s="37">
        <v>0.12909752379197201</v>
      </c>
      <c r="AG5" s="37">
        <v>0.87090247620802796</v>
      </c>
      <c r="AH5" s="37">
        <v>0.54500593559208865</v>
      </c>
      <c r="AI5" s="37">
        <v>0.4849696355118181</v>
      </c>
      <c r="AJ5" s="37">
        <v>0.53004295338662577</v>
      </c>
      <c r="AK5" s="37">
        <v>0.46995704661337417</v>
      </c>
      <c r="AL5" s="37">
        <v>6.1112744934414411E-2</v>
      </c>
      <c r="AM5" s="37">
        <v>0.94748427449911499</v>
      </c>
      <c r="AN5" s="37">
        <v>5.6718190418091563E-2</v>
      </c>
      <c r="AO5" s="37">
        <v>0.94328180958190844</v>
      </c>
      <c r="AP5" s="37">
        <v>2.9968560448432519E-2</v>
      </c>
      <c r="AQ5" s="37">
        <v>0.9741165738328309</v>
      </c>
      <c r="AR5" s="37">
        <v>2.7891304353421909E-2</v>
      </c>
      <c r="AS5" s="37">
        <v>0.97210869564657809</v>
      </c>
      <c r="AT5" s="37">
        <v>1</v>
      </c>
      <c r="AU5" s="37">
        <v>3.2405845739373421E-31</v>
      </c>
      <c r="AV5" s="37">
        <v>1</v>
      </c>
      <c r="AW5" s="37">
        <v>6.0860331594527916E-31</v>
      </c>
      <c r="AX5" s="37">
        <v>9.8807434232840573E-6</v>
      </c>
      <c r="AY5" s="37">
        <v>0.99999298654494129</v>
      </c>
      <c r="AZ5" s="37">
        <v>8.6743644028830502E-6</v>
      </c>
      <c r="BA5" s="37">
        <v>0.99999132563559712</v>
      </c>
      <c r="BB5" s="37">
        <v>4.0569702675854434E-3</v>
      </c>
      <c r="BC5" s="37">
        <v>0.99664758972954359</v>
      </c>
      <c r="BD5" s="37">
        <v>3.7051272013021159E-3</v>
      </c>
      <c r="BE5" s="37">
        <v>0.99629487279869788</v>
      </c>
      <c r="BF5" s="37">
        <v>1</v>
      </c>
      <c r="BG5" s="10">
        <v>1.079163552591287E-53</v>
      </c>
      <c r="BH5" s="10">
        <v>1</v>
      </c>
      <c r="BI5" s="10">
        <v>2.821029210377705E-52</v>
      </c>
      <c r="BK5" s="11" t="s">
        <v>166</v>
      </c>
    </row>
    <row r="6" spans="1:63" x14ac:dyDescent="0.35">
      <c r="A6" s="10" t="s">
        <v>16</v>
      </c>
      <c r="B6" s="10">
        <v>3.2352956527301337E-2</v>
      </c>
      <c r="C6" s="10">
        <v>0.9727441946983314</v>
      </c>
      <c r="D6" s="10">
        <v>2.975234282021488E-2</v>
      </c>
      <c r="E6" s="10">
        <v>0.97024765717978512</v>
      </c>
      <c r="F6" s="10">
        <v>3.6900608683083041E-7</v>
      </c>
      <c r="G6" s="10">
        <v>0.99999975106193439</v>
      </c>
      <c r="H6" s="10">
        <v>3.263440049305899E-7</v>
      </c>
      <c r="I6" s="10">
        <v>0.99999967365599507</v>
      </c>
      <c r="J6" s="10">
        <v>0.99999999999999645</v>
      </c>
      <c r="K6" s="10">
        <v>6.5633437089035283E-15</v>
      </c>
      <c r="L6" s="10">
        <v>0.99999999999998668</v>
      </c>
      <c r="M6" s="10">
        <v>1.3373566472415501E-14</v>
      </c>
      <c r="N6" s="37">
        <v>0.1067839002741523</v>
      </c>
      <c r="O6" s="37">
        <v>0.90645347017408007</v>
      </c>
      <c r="P6" s="37">
        <v>0.1000225272546644</v>
      </c>
      <c r="Q6" s="37">
        <v>0.89997747274533557</v>
      </c>
      <c r="R6" s="37">
        <v>4.4907133435382003E-2</v>
      </c>
      <c r="S6" s="37">
        <v>0.96178842758226124</v>
      </c>
      <c r="T6" s="37">
        <v>4.1486530362206182E-2</v>
      </c>
      <c r="U6" s="37">
        <v>0.95851346963779382</v>
      </c>
      <c r="V6" s="37">
        <v>0.99999999999932698</v>
      </c>
      <c r="W6" s="37">
        <v>1.168289654423001E-12</v>
      </c>
      <c r="X6" s="37">
        <v>0.99999999999880962</v>
      </c>
      <c r="Y6" s="37">
        <v>1.1904094046586059E-12</v>
      </c>
      <c r="Z6" s="37">
        <v>0.1067839002741523</v>
      </c>
      <c r="AA6" s="37">
        <v>0.90645347017408007</v>
      </c>
      <c r="AB6" s="37">
        <v>0.1000225272546644</v>
      </c>
      <c r="AC6" s="37">
        <v>0.89997747274533557</v>
      </c>
      <c r="AD6" s="37">
        <v>1.2551204111500489E-4</v>
      </c>
      <c r="AE6" s="37">
        <v>0.99990686743660029</v>
      </c>
      <c r="AF6" s="37">
        <v>1.105881762928362E-4</v>
      </c>
      <c r="AG6" s="37">
        <v>0.99988941182370716</v>
      </c>
      <c r="AH6" s="37">
        <v>0.66075969318714201</v>
      </c>
      <c r="AI6" s="37">
        <v>0.36724284954996672</v>
      </c>
      <c r="AJ6" s="37">
        <v>0.64687201894757329</v>
      </c>
      <c r="AK6" s="37">
        <v>0.35312798105242671</v>
      </c>
      <c r="AL6" s="37">
        <v>8.7576396766929094E-3</v>
      </c>
      <c r="AM6" s="37">
        <v>0.99288163498380022</v>
      </c>
      <c r="AN6" s="37">
        <v>7.9306663698865965E-3</v>
      </c>
      <c r="AO6" s="37">
        <v>0.9920693336301134</v>
      </c>
      <c r="AP6" s="37">
        <v>1.911321190952992E-5</v>
      </c>
      <c r="AQ6" s="37">
        <v>0.99998555088862562</v>
      </c>
      <c r="AR6" s="37">
        <v>1.704648436806622E-5</v>
      </c>
      <c r="AS6" s="37">
        <v>0.99998295351563193</v>
      </c>
      <c r="AT6" s="37">
        <v>1</v>
      </c>
      <c r="AU6" s="37">
        <v>2.629677884581502E-50</v>
      </c>
      <c r="AV6" s="37">
        <v>1</v>
      </c>
      <c r="AW6" s="37">
        <v>2.2627347631506648E-49</v>
      </c>
      <c r="AX6" s="37">
        <v>1.113695060809213E-7</v>
      </c>
      <c r="AY6" s="37">
        <v>0.99999992614603173</v>
      </c>
      <c r="AZ6" s="37">
        <v>9.9071855386156926E-8</v>
      </c>
      <c r="BA6" s="37">
        <v>0.99999990092814461</v>
      </c>
      <c r="BB6" s="37">
        <v>2.648007387775048E-7</v>
      </c>
      <c r="BC6" s="37">
        <v>0.99999981072105271</v>
      </c>
      <c r="BD6" s="37">
        <v>2.3662022130555021E-7</v>
      </c>
      <c r="BE6" s="37">
        <v>0.99999976337977869</v>
      </c>
      <c r="BF6" s="37">
        <v>1</v>
      </c>
      <c r="BG6" s="10">
        <v>3.2222359180201993E-64</v>
      </c>
      <c r="BH6" s="10">
        <v>1</v>
      </c>
      <c r="BI6" s="10">
        <v>1.412086954303498E-62</v>
      </c>
      <c r="BK6" s="11" t="s">
        <v>166</v>
      </c>
    </row>
    <row r="7" spans="1:63" x14ac:dyDescent="0.35">
      <c r="A7" s="10" t="s">
        <v>17</v>
      </c>
      <c r="B7" s="10">
        <v>7.3853968232725039E-8</v>
      </c>
      <c r="C7" s="10">
        <v>0.99999995130455599</v>
      </c>
      <c r="D7" s="10">
        <v>6.5855741970821668E-8</v>
      </c>
      <c r="E7" s="10">
        <v>0.99999993414425803</v>
      </c>
      <c r="F7" s="10">
        <v>5.5654150471749074E-9</v>
      </c>
      <c r="G7" s="10">
        <v>0.99999999645551363</v>
      </c>
      <c r="H7" s="10">
        <v>5.0596956624460176E-9</v>
      </c>
      <c r="I7" s="10">
        <v>0.99999999494030434</v>
      </c>
      <c r="J7" s="10">
        <v>0.99537016444620019</v>
      </c>
      <c r="K7" s="10">
        <v>5.7558510126729696E-3</v>
      </c>
      <c r="L7" s="10">
        <v>0.99480910210514906</v>
      </c>
      <c r="M7" s="10">
        <v>5.1908978948508964E-3</v>
      </c>
      <c r="N7" s="38">
        <v>4.9504061134201882E-6</v>
      </c>
      <c r="O7" s="37">
        <v>0.99999652535152628</v>
      </c>
      <c r="P7" s="37">
        <v>4.3479729709972048E-6</v>
      </c>
      <c r="Q7" s="37">
        <v>0.999995652027029</v>
      </c>
      <c r="R7" s="37">
        <v>0.82695748928708979</v>
      </c>
      <c r="S7" s="37">
        <v>0.19302048399242741</v>
      </c>
      <c r="T7" s="37">
        <v>0.8171438518592431</v>
      </c>
      <c r="U7" s="37">
        <v>0.18285614814075679</v>
      </c>
      <c r="V7" s="37">
        <v>0.99999983301767192</v>
      </c>
      <c r="W7" s="37">
        <v>2.4893806564397472E-7</v>
      </c>
      <c r="X7" s="37">
        <v>0.99999977945897289</v>
      </c>
      <c r="Y7" s="37">
        <v>2.2054102707509811E-7</v>
      </c>
      <c r="Z7" s="37">
        <v>3.8211572417738697E-2</v>
      </c>
      <c r="AA7" s="37">
        <v>0.9676470434726987</v>
      </c>
      <c r="AB7" s="37">
        <v>3.5220214636044078E-2</v>
      </c>
      <c r="AC7" s="37">
        <v>0.96477978536395592</v>
      </c>
      <c r="AD7" s="38">
        <v>2.2443084356065412E-9</v>
      </c>
      <c r="AE7" s="37">
        <v>0.99999999858720068</v>
      </c>
      <c r="AF7" s="37">
        <v>2.0578957427019869E-9</v>
      </c>
      <c r="AG7" s="37">
        <v>0.99999999794210426</v>
      </c>
      <c r="AH7" s="37">
        <v>1.07186411397128E-2</v>
      </c>
      <c r="AI7" s="37">
        <v>0.99124236032330704</v>
      </c>
      <c r="AJ7" s="37">
        <v>9.727058132618871E-3</v>
      </c>
      <c r="AK7" s="37">
        <v>0.99027294186738113</v>
      </c>
      <c r="AL7" s="37">
        <v>0.1067839002741523</v>
      </c>
      <c r="AM7" s="37">
        <v>0.90645347017408007</v>
      </c>
      <c r="AN7" s="37">
        <v>0.1000225272546644</v>
      </c>
      <c r="AO7" s="37">
        <v>0.89997747274533557</v>
      </c>
      <c r="AP7" s="38">
        <v>2.4812202302998911E-6</v>
      </c>
      <c r="AQ7" s="37">
        <v>0.99999817579338357</v>
      </c>
      <c r="AR7" s="37">
        <v>2.2103729609979079E-6</v>
      </c>
      <c r="AS7" s="37">
        <v>0.999997789627039</v>
      </c>
      <c r="AT7" s="37">
        <v>1</v>
      </c>
      <c r="AU7" s="37">
        <v>1.791419905777891E-28</v>
      </c>
      <c r="AV7" s="37">
        <v>1</v>
      </c>
      <c r="AW7" s="37">
        <v>2.893072906633057E-28</v>
      </c>
      <c r="AX7" s="38">
        <v>3.5800149477577373E-15</v>
      </c>
      <c r="AY7" s="37">
        <v>0.99999999999999811</v>
      </c>
      <c r="AZ7" s="37">
        <v>4.1078251911130792E-15</v>
      </c>
      <c r="BA7" s="37">
        <v>0.99999999999999589</v>
      </c>
      <c r="BB7" s="37">
        <v>3.361399988478439E-6</v>
      </c>
      <c r="BC7" s="37">
        <v>0.99999751877976972</v>
      </c>
      <c r="BD7" s="37">
        <v>2.9942538566363201E-6</v>
      </c>
      <c r="BE7" s="37">
        <v>0.99999700574614336</v>
      </c>
      <c r="BF7" s="37">
        <v>1</v>
      </c>
      <c r="BG7" s="10">
        <v>5.8301162638677667E-31</v>
      </c>
      <c r="BH7" s="10">
        <v>1</v>
      </c>
      <c r="BI7" s="10">
        <v>1.0788956387877641E-30</v>
      </c>
      <c r="BK7" s="11" t="s">
        <v>166</v>
      </c>
    </row>
    <row r="8" spans="1:63" x14ac:dyDescent="0.35">
      <c r="A8" s="12" t="s">
        <v>18</v>
      </c>
      <c r="B8" s="12">
        <v>0.82695748928708979</v>
      </c>
      <c r="C8" s="12">
        <v>0.19302048399242741</v>
      </c>
      <c r="D8" s="12">
        <v>0.8171438518592431</v>
      </c>
      <c r="E8" s="12">
        <v>0.18285614814075679</v>
      </c>
      <c r="F8" s="12">
        <v>3.8211572417738697E-2</v>
      </c>
      <c r="G8" s="12">
        <v>0.9676470434726987</v>
      </c>
      <c r="H8" s="12">
        <v>3.5220214636044078E-2</v>
      </c>
      <c r="I8" s="12">
        <v>0.96477978536395592</v>
      </c>
      <c r="J8" s="12">
        <v>2.2423766932352069E-4</v>
      </c>
      <c r="K8" s="12">
        <v>0.99983177687150404</v>
      </c>
      <c r="L8" s="12">
        <v>1.9798271821658281E-4</v>
      </c>
      <c r="M8" s="12">
        <v>0.99980201728178342</v>
      </c>
      <c r="N8" s="39">
        <v>0.45499406440791129</v>
      </c>
      <c r="O8" s="39">
        <v>0.57472747643240507</v>
      </c>
      <c r="P8" s="39">
        <v>0.4400842274533634</v>
      </c>
      <c r="Q8" s="39">
        <v>0.5599157725466366</v>
      </c>
      <c r="R8" s="39">
        <v>0.92922855552128913</v>
      </c>
      <c r="S8" s="39">
        <v>8.1561343068735734E-2</v>
      </c>
      <c r="T8" s="39">
        <v>0.92395368375921005</v>
      </c>
      <c r="U8" s="39">
        <v>7.6046316240789988E-2</v>
      </c>
      <c r="V8" s="38">
        <v>7.7224614927399764E-19</v>
      </c>
      <c r="W8" s="39">
        <v>1</v>
      </c>
      <c r="X8" s="39">
        <v>0</v>
      </c>
      <c r="Y8" s="39">
        <v>1</v>
      </c>
      <c r="Z8" s="39">
        <v>0.17304251071291021</v>
      </c>
      <c r="AA8" s="39">
        <v>0.84556710823239156</v>
      </c>
      <c r="AB8" s="39">
        <v>0.16356481161757741</v>
      </c>
      <c r="AC8" s="39">
        <v>0.83643518838242259</v>
      </c>
      <c r="AD8" s="38">
        <v>4.9504061134201882E-6</v>
      </c>
      <c r="AE8" s="39">
        <v>0.99999652535152628</v>
      </c>
      <c r="AF8" s="39">
        <v>4.3479729709972048E-6</v>
      </c>
      <c r="AG8" s="39">
        <v>0.999995652027029</v>
      </c>
      <c r="AH8" s="39">
        <v>1.6840591736383231E-11</v>
      </c>
      <c r="AI8" s="39">
        <v>0.99999999999000511</v>
      </c>
      <c r="AJ8" s="39">
        <v>1.6418755244274049E-11</v>
      </c>
      <c r="AK8" s="39">
        <v>0.99999999998358124</v>
      </c>
      <c r="AL8" s="39">
        <v>0.99537016444620019</v>
      </c>
      <c r="AM8" s="39">
        <v>5.7558510126729696E-3</v>
      </c>
      <c r="AN8" s="39">
        <v>0.99480910210514906</v>
      </c>
      <c r="AO8" s="39">
        <v>5.1908978948508964E-3</v>
      </c>
      <c r="AP8" s="39">
        <v>0.51271458465071473</v>
      </c>
      <c r="AQ8" s="39">
        <v>0.51271458465071473</v>
      </c>
      <c r="AR8" s="39">
        <v>0.47458159152542212</v>
      </c>
      <c r="AS8" s="39">
        <v>0.52541840847457788</v>
      </c>
      <c r="AT8" s="38">
        <v>9.7848639363589E-16</v>
      </c>
      <c r="AU8" s="39">
        <v>0.99999999999999933</v>
      </c>
      <c r="AV8" s="39">
        <v>9.9920072216264089E-16</v>
      </c>
      <c r="AW8" s="39">
        <v>0.999999999999999</v>
      </c>
      <c r="AX8" s="39">
        <v>0.8932160997258477</v>
      </c>
      <c r="AY8" s="39">
        <v>0.12132136960569349</v>
      </c>
      <c r="AZ8" s="39">
        <v>0.88610000300588521</v>
      </c>
      <c r="BA8" s="39">
        <v>0.1138999969941147</v>
      </c>
      <c r="BB8" s="39">
        <v>0.46190782651296952</v>
      </c>
      <c r="BC8" s="39">
        <v>0.56331564741138507</v>
      </c>
      <c r="BD8" s="39">
        <v>0.44926626532927483</v>
      </c>
      <c r="BE8" s="39">
        <v>0.55073373467072517</v>
      </c>
      <c r="BF8" s="38">
        <v>1.9122089432156339E-16</v>
      </c>
      <c r="BG8" s="12">
        <v>0.99999999999999989</v>
      </c>
      <c r="BH8" s="12">
        <v>2.2204460492503131E-16</v>
      </c>
      <c r="BI8" s="12">
        <v>0.99999999999999978</v>
      </c>
      <c r="BK8" s="13" t="s">
        <v>173</v>
      </c>
    </row>
    <row r="9" spans="1:63" x14ac:dyDescent="0.35">
      <c r="A9" s="12" t="s">
        <v>19</v>
      </c>
      <c r="B9" s="12">
        <v>1.122218591755879E-3</v>
      </c>
      <c r="C9" s="12">
        <v>0.99913027169606761</v>
      </c>
      <c r="D9" s="12">
        <v>9.9912835415094658E-4</v>
      </c>
      <c r="E9" s="12">
        <v>0.99900087164584905</v>
      </c>
      <c r="F9" s="12">
        <v>0.93888725506558557</v>
      </c>
      <c r="G9" s="12">
        <v>7.0771444478710852E-2</v>
      </c>
      <c r="H9" s="12">
        <v>0.93416599198859274</v>
      </c>
      <c r="I9" s="12">
        <v>6.5834008011407277E-2</v>
      </c>
      <c r="J9" s="12">
        <v>1.6840591736383231E-11</v>
      </c>
      <c r="K9" s="12">
        <v>0.99999999999000511</v>
      </c>
      <c r="L9" s="12">
        <v>1.6418755244274049E-11</v>
      </c>
      <c r="M9" s="12">
        <v>0.99999999998358124</v>
      </c>
      <c r="N9" s="38">
        <v>3.5444863431141359E-9</v>
      </c>
      <c r="O9" s="39">
        <v>0.99999999775569159</v>
      </c>
      <c r="P9" s="39">
        <v>3.2357602153254561E-9</v>
      </c>
      <c r="Q9" s="39">
        <v>0.99999999676423978</v>
      </c>
      <c r="R9" s="39">
        <v>3.8211572417738697E-2</v>
      </c>
      <c r="S9" s="39">
        <v>0.9676470434726987</v>
      </c>
      <c r="T9" s="39">
        <v>3.5220214636044078E-2</v>
      </c>
      <c r="U9" s="39">
        <v>0.96477978536395592</v>
      </c>
      <c r="V9" s="39">
        <v>5.8967090318025666E-12</v>
      </c>
      <c r="W9" s="39">
        <v>0.99999999999654177</v>
      </c>
      <c r="X9" s="39">
        <v>5.8444360462317491E-12</v>
      </c>
      <c r="Y9" s="39">
        <v>0.99999999999415556</v>
      </c>
      <c r="Z9" s="39">
        <v>0.17304251071291021</v>
      </c>
      <c r="AA9" s="39">
        <v>0.84556710823239156</v>
      </c>
      <c r="AB9" s="39">
        <v>0.16356481161757741</v>
      </c>
      <c r="AC9" s="39">
        <v>0.83643518838242259</v>
      </c>
      <c r="AD9" s="39">
        <v>0.82695748928708979</v>
      </c>
      <c r="AE9" s="39">
        <v>0.19302048399242741</v>
      </c>
      <c r="AF9" s="39">
        <v>0.8171438518592431</v>
      </c>
      <c r="AG9" s="39">
        <v>0.18285614814075679</v>
      </c>
      <c r="AH9" s="38">
        <v>1.1959484177270701E-14</v>
      </c>
      <c r="AI9" s="39">
        <v>0.99999999999999345</v>
      </c>
      <c r="AJ9" s="39">
        <v>1.332267629550188E-14</v>
      </c>
      <c r="AK9" s="39">
        <v>0.99999999999998668</v>
      </c>
      <c r="AL9" s="39">
        <v>0.21434594520575251</v>
      </c>
      <c r="AM9" s="39">
        <v>0.80697951600757256</v>
      </c>
      <c r="AN9" s="39">
        <v>0.20350801363568721</v>
      </c>
      <c r="AO9" s="39">
        <v>0.79649198636431284</v>
      </c>
      <c r="AP9" s="39">
        <v>0.91479567364157521</v>
      </c>
      <c r="AQ9" s="39">
        <v>9.5587579314308072E-2</v>
      </c>
      <c r="AR9" s="39">
        <v>0.90970019175303807</v>
      </c>
      <c r="AS9" s="39">
        <v>9.0299808246961932E-2</v>
      </c>
      <c r="AT9" s="39">
        <v>0.99984991919105171</v>
      </c>
      <c r="AU9" s="39">
        <v>1.815311837402471E-4</v>
      </c>
      <c r="AV9" s="39">
        <v>0.99983350644711377</v>
      </c>
      <c r="AW9" s="39">
        <v>1.6649355288621861E-4</v>
      </c>
      <c r="AX9" s="38">
        <v>5.5012734621003682E-10</v>
      </c>
      <c r="AY9" s="39">
        <v>0.99999999965971842</v>
      </c>
      <c r="AZ9" s="39">
        <v>5.1206083817589843E-10</v>
      </c>
      <c r="BA9" s="39">
        <v>0.99999999948793916</v>
      </c>
      <c r="BB9" s="39">
        <v>0.6837287171426143</v>
      </c>
      <c r="BC9" s="39">
        <v>0.33929215320999773</v>
      </c>
      <c r="BD9" s="39">
        <v>0.67231105772201771</v>
      </c>
      <c r="BE9" s="39">
        <v>0.32768894227798229</v>
      </c>
      <c r="BF9" s="39">
        <v>0.55901376723676344</v>
      </c>
      <c r="BG9" s="12">
        <v>0.46057730251719892</v>
      </c>
      <c r="BH9" s="12">
        <v>0.54923568539407674</v>
      </c>
      <c r="BI9" s="12">
        <v>0.45076431460592331</v>
      </c>
      <c r="BK9" s="13" t="s">
        <v>173</v>
      </c>
    </row>
    <row r="10" spans="1:63" x14ac:dyDescent="0.35">
      <c r="A10" s="12" t="s">
        <v>20</v>
      </c>
      <c r="B10" s="12">
        <v>0.90645347017408007</v>
      </c>
      <c r="C10" s="12">
        <v>0.1067839002741523</v>
      </c>
      <c r="D10" s="12">
        <v>0.89997747274533557</v>
      </c>
      <c r="E10" s="12">
        <v>0.1000225272546645</v>
      </c>
      <c r="F10" s="12">
        <v>0.99987448795888501</v>
      </c>
      <c r="G10" s="12">
        <v>1.682231284959967E-4</v>
      </c>
      <c r="H10" s="12">
        <v>0.99985163384435338</v>
      </c>
      <c r="I10" s="12">
        <v>1.4836615564657029E-4</v>
      </c>
      <c r="J10" s="12">
        <v>0.33924030681285811</v>
      </c>
      <c r="K10" s="12">
        <v>0.68790182259992472</v>
      </c>
      <c r="L10" s="12">
        <v>0.32553831703891678</v>
      </c>
      <c r="M10" s="12">
        <v>0.67446168296108322</v>
      </c>
      <c r="N10" s="39">
        <v>4.4907133435382003E-2</v>
      </c>
      <c r="O10" s="39">
        <v>0.96178842758226124</v>
      </c>
      <c r="P10" s="39">
        <v>4.1486530362206182E-2</v>
      </c>
      <c r="Q10" s="39">
        <v>0.95851346963779382</v>
      </c>
      <c r="R10" s="39">
        <v>0.99999999999999811</v>
      </c>
      <c r="S10" s="39">
        <v>3.5800149477577373E-15</v>
      </c>
      <c r="T10" s="39">
        <v>0.99999999999999589</v>
      </c>
      <c r="U10" s="39">
        <v>4.1172859136787213E-15</v>
      </c>
      <c r="V10" s="39">
        <v>1.240624711943028E-13</v>
      </c>
      <c r="W10" s="39">
        <v>0.99999999999993028</v>
      </c>
      <c r="X10" s="39">
        <v>1.318944953254686E-13</v>
      </c>
      <c r="Y10" s="39">
        <v>0.99999999999986811</v>
      </c>
      <c r="Z10" s="39">
        <v>0.955092866564618</v>
      </c>
      <c r="AA10" s="39">
        <v>5.2515725500884958E-2</v>
      </c>
      <c r="AB10" s="39">
        <v>0.95137278578049833</v>
      </c>
      <c r="AC10" s="39">
        <v>4.8627214219501641E-2</v>
      </c>
      <c r="AD10" s="39">
        <v>0.99999999999932698</v>
      </c>
      <c r="AE10" s="39">
        <v>1.168289654423001E-12</v>
      </c>
      <c r="AF10" s="39">
        <v>0.99999999999880962</v>
      </c>
      <c r="AG10" s="39">
        <v>1.1904094046586059E-12</v>
      </c>
      <c r="AH10" s="39">
        <v>4.8695444035950358E-8</v>
      </c>
      <c r="AI10" s="39">
        <v>0.99999996807690539</v>
      </c>
      <c r="AJ10" s="39">
        <v>4.3535463345456549E-8</v>
      </c>
      <c r="AK10" s="39">
        <v>0.99999995646453665</v>
      </c>
      <c r="AL10" s="39">
        <v>0.4849696355118181</v>
      </c>
      <c r="AM10" s="39">
        <v>0.54500593559208865</v>
      </c>
      <c r="AN10" s="39">
        <v>0.46995704661337301</v>
      </c>
      <c r="AO10" s="39">
        <v>0.53004295338662699</v>
      </c>
      <c r="AP10" s="39">
        <v>0.99992703833378871</v>
      </c>
      <c r="AQ10" s="39">
        <v>9.426003862497733E-5</v>
      </c>
      <c r="AR10" s="39">
        <v>0.99991561968180886</v>
      </c>
      <c r="AS10" s="39">
        <v>8.4380318191170449E-5</v>
      </c>
      <c r="AT10" s="39">
        <v>1</v>
      </c>
      <c r="AU10" s="39">
        <v>1.547601377779754E-22</v>
      </c>
      <c r="AV10" s="39">
        <v>1</v>
      </c>
      <c r="AW10" s="39">
        <v>1.911796903706294E-22</v>
      </c>
      <c r="AX10" s="39">
        <v>8.7576396766929094E-3</v>
      </c>
      <c r="AY10" s="39">
        <v>0.99288163498380022</v>
      </c>
      <c r="AZ10" s="39">
        <v>7.9306663698865965E-3</v>
      </c>
      <c r="BA10" s="39">
        <v>0.9920693336301134</v>
      </c>
      <c r="BB10" s="39">
        <v>0.99997481691893608</v>
      </c>
      <c r="BC10" s="39">
        <v>3.3049857869967827E-5</v>
      </c>
      <c r="BD10" s="39">
        <v>0.99997049477781885</v>
      </c>
      <c r="BE10" s="39">
        <v>2.950522218112095E-5</v>
      </c>
      <c r="BF10" s="39">
        <v>0.12748966132940071</v>
      </c>
      <c r="BG10" s="12">
        <v>0.88255139218429346</v>
      </c>
      <c r="BH10" s="12">
        <v>0.1126491783846143</v>
      </c>
      <c r="BI10" s="12">
        <v>0.8873508216153857</v>
      </c>
      <c r="BK10" s="13" t="s">
        <v>173</v>
      </c>
    </row>
    <row r="11" spans="1:63" x14ac:dyDescent="0.35">
      <c r="A11" s="14" t="s">
        <v>21</v>
      </c>
      <c r="B11" s="14">
        <v>0.71406108938773216</v>
      </c>
      <c r="C11" s="14">
        <v>0.31209817740007528</v>
      </c>
      <c r="D11" s="14">
        <v>0.70112707214848013</v>
      </c>
      <c r="E11" s="14">
        <v>0.29887292785151992</v>
      </c>
      <c r="F11" s="14">
        <v>0.98928135886028723</v>
      </c>
      <c r="G11" s="14">
        <v>1.305113666870847E-2</v>
      </c>
      <c r="H11" s="14">
        <v>0.98813074237497267</v>
      </c>
      <c r="I11" s="14">
        <v>1.186925762502729E-2</v>
      </c>
      <c r="J11" s="14">
        <v>0.99977576233067644</v>
      </c>
      <c r="K11" s="14">
        <v>2.9727623726529142E-4</v>
      </c>
      <c r="L11" s="14">
        <v>0.99973722128086362</v>
      </c>
      <c r="M11" s="14">
        <v>2.627787191364202E-4</v>
      </c>
      <c r="N11" s="40">
        <v>2.284636495568472E-2</v>
      </c>
      <c r="O11" s="40">
        <v>0.98094645180629603</v>
      </c>
      <c r="P11" s="40">
        <v>2.0915297282622421E-2</v>
      </c>
      <c r="Q11" s="40">
        <v>0.97908470271737758</v>
      </c>
      <c r="R11" s="40">
        <v>0.99999883845122339</v>
      </c>
      <c r="S11" s="40">
        <v>1.6831167214701571E-6</v>
      </c>
      <c r="T11" s="40">
        <v>0.99999851891653035</v>
      </c>
      <c r="U11" s="40">
        <v>1.4810834696294611E-6</v>
      </c>
      <c r="V11" s="40">
        <v>0.99999011925657677</v>
      </c>
      <c r="W11" s="40">
        <v>1.3842638494642849E-5</v>
      </c>
      <c r="X11" s="40">
        <v>0.99998784751965264</v>
      </c>
      <c r="Y11" s="40">
        <v>1.2152480347389529E-5</v>
      </c>
      <c r="Z11" s="40">
        <v>0.45499406440791129</v>
      </c>
      <c r="AA11" s="40">
        <v>0.57472747643240507</v>
      </c>
      <c r="AB11" s="40">
        <v>0.4400842274533634</v>
      </c>
      <c r="AC11" s="40">
        <v>0.5599157725466366</v>
      </c>
      <c r="AD11" s="40">
        <v>0.97715363504431529</v>
      </c>
      <c r="AE11" s="40">
        <v>2.7255805301668649E-2</v>
      </c>
      <c r="AF11" s="40">
        <v>0.97499180225717708</v>
      </c>
      <c r="AG11" s="40">
        <v>2.5008197742822879E-2</v>
      </c>
      <c r="AH11" s="40">
        <v>8.7576396766929094E-3</v>
      </c>
      <c r="AI11" s="40">
        <v>0.99288163498380022</v>
      </c>
      <c r="AJ11" s="40">
        <v>7.9306663698865965E-3</v>
      </c>
      <c r="AK11" s="40">
        <v>0.9920693336301134</v>
      </c>
      <c r="AL11" s="38">
        <v>9.3132563399741616E-5</v>
      </c>
      <c r="AM11" s="40">
        <v>0.99993127286383343</v>
      </c>
      <c r="AN11" s="40">
        <v>8.1986969491132378E-5</v>
      </c>
      <c r="AO11" s="40">
        <v>0.99991801303050887</v>
      </c>
      <c r="AP11" s="40">
        <v>0.96025424856792696</v>
      </c>
      <c r="AQ11" s="40">
        <v>4.5528921742181858E-2</v>
      </c>
      <c r="AR11" s="40">
        <v>0.95741604705802219</v>
      </c>
      <c r="AS11" s="40">
        <v>4.2583952941977823E-2</v>
      </c>
      <c r="AT11" s="40">
        <v>1</v>
      </c>
      <c r="AU11" s="40">
        <v>2.0737567766717872E-25</v>
      </c>
      <c r="AV11" s="40">
        <v>1</v>
      </c>
      <c r="AW11" s="40">
        <v>2.887286636845764E-25</v>
      </c>
      <c r="AX11" s="40">
        <v>1.9053548193704001E-2</v>
      </c>
      <c r="AY11" s="40">
        <v>0.98419030824746367</v>
      </c>
      <c r="AZ11" s="40">
        <v>1.440936662513792E-2</v>
      </c>
      <c r="BA11" s="40">
        <v>0.98559063337486208</v>
      </c>
      <c r="BB11" s="40">
        <v>0.99984451123023477</v>
      </c>
      <c r="BC11" s="40">
        <v>1.9853821643737031E-4</v>
      </c>
      <c r="BD11" s="40">
        <v>0.99982180187847025</v>
      </c>
      <c r="BE11" s="40">
        <v>1.7819812152978189E-4</v>
      </c>
      <c r="BF11" s="40">
        <v>0.79992548450673084</v>
      </c>
      <c r="BG11" s="14">
        <v>0.21422105220181359</v>
      </c>
      <c r="BH11" s="14">
        <v>0.79292763800061294</v>
      </c>
      <c r="BI11" s="14">
        <v>0.207072361999387</v>
      </c>
      <c r="BK11" s="15" t="s">
        <v>180</v>
      </c>
    </row>
    <row r="12" spans="1:63" x14ac:dyDescent="0.35">
      <c r="A12" s="14" t="s">
        <v>22</v>
      </c>
      <c r="B12" s="14">
        <v>5.5654150471749074E-9</v>
      </c>
      <c r="C12" s="14">
        <v>0.99999999645551363</v>
      </c>
      <c r="D12" s="14">
        <v>5.0596956624460176E-9</v>
      </c>
      <c r="E12" s="14">
        <v>0.99999999494030434</v>
      </c>
      <c r="F12" s="14">
        <v>0.92922855552128913</v>
      </c>
      <c r="G12" s="14">
        <v>8.1561343068735734E-2</v>
      </c>
      <c r="H12" s="14">
        <v>0.92395368375921005</v>
      </c>
      <c r="I12" s="14">
        <v>7.6046316240789988E-2</v>
      </c>
      <c r="J12" s="14">
        <v>0.26086961327395092</v>
      </c>
      <c r="K12" s="14">
        <v>0.76301913543624389</v>
      </c>
      <c r="L12" s="14">
        <v>0.2487588880649938</v>
      </c>
      <c r="M12" s="14">
        <v>0.7512411119350062</v>
      </c>
      <c r="N12" s="40">
        <v>2.0924884743097259E-10</v>
      </c>
      <c r="O12" s="40">
        <v>0.99999999987208177</v>
      </c>
      <c r="P12" s="40">
        <v>1.2120726644582189E-10</v>
      </c>
      <c r="Q12" s="40">
        <v>0.99999999987879273</v>
      </c>
      <c r="R12" s="40">
        <v>2.9727623726529142E-4</v>
      </c>
      <c r="S12" s="40">
        <v>0.99977576233067644</v>
      </c>
      <c r="T12" s="40">
        <v>2.6277871913638062E-4</v>
      </c>
      <c r="U12" s="40">
        <v>0.99973722128086362</v>
      </c>
      <c r="V12" s="40">
        <v>1</v>
      </c>
      <c r="W12" s="40">
        <v>1.4242880456734839E-27</v>
      </c>
      <c r="X12" s="40">
        <v>1</v>
      </c>
      <c r="Y12" s="40">
        <v>4.8921766065608342E-27</v>
      </c>
      <c r="Z12" s="40">
        <v>0.1371961135641718</v>
      </c>
      <c r="AA12" s="40">
        <v>0.87867863039430649</v>
      </c>
      <c r="AB12" s="40">
        <v>0.12909752379197201</v>
      </c>
      <c r="AC12" s="40">
        <v>0.87090247620802796</v>
      </c>
      <c r="AD12" s="40">
        <v>0.99999975106193439</v>
      </c>
      <c r="AE12" s="40">
        <v>3.6900608683083041E-7</v>
      </c>
      <c r="AF12" s="40">
        <v>0.99999967365599507</v>
      </c>
      <c r="AG12" s="40">
        <v>3.2634400491955672E-7</v>
      </c>
      <c r="AH12" s="40">
        <v>4.8695444035950358E-8</v>
      </c>
      <c r="AI12" s="40">
        <v>0.99999996807690539</v>
      </c>
      <c r="AJ12" s="40">
        <v>4.3535463345456549E-8</v>
      </c>
      <c r="AK12" s="40">
        <v>0.99999995646453665</v>
      </c>
      <c r="AL12" s="40">
        <v>2.0924884743097259E-10</v>
      </c>
      <c r="AM12" s="40">
        <v>0.99999999987208177</v>
      </c>
      <c r="AN12" s="40">
        <v>1.2120726644582189E-10</v>
      </c>
      <c r="AO12" s="40">
        <v>0.99999999987879273</v>
      </c>
      <c r="AP12" s="40">
        <v>0.51271458465071473</v>
      </c>
      <c r="AQ12" s="40">
        <v>0.51271458465071473</v>
      </c>
      <c r="AR12" s="40">
        <v>0.5</v>
      </c>
      <c r="AS12" s="40">
        <v>0.5</v>
      </c>
      <c r="AT12" s="40">
        <v>0.99999987245591715</v>
      </c>
      <c r="AU12" s="40">
        <v>1.6606683961664049E-7</v>
      </c>
      <c r="AV12" s="40">
        <v>0.99999984919997753</v>
      </c>
      <c r="AW12" s="40">
        <v>1.5080002245080279E-7</v>
      </c>
      <c r="AX12" s="40">
        <v>2.2479212144743419E-17</v>
      </c>
      <c r="AY12" s="40">
        <v>1</v>
      </c>
      <c r="AZ12" s="40">
        <v>0</v>
      </c>
      <c r="BA12" s="40">
        <v>1</v>
      </c>
      <c r="BB12" s="40">
        <v>5.6254790749006029E-5</v>
      </c>
      <c r="BC12" s="40">
        <v>0.99995679651160119</v>
      </c>
      <c r="BD12" s="40">
        <v>5.0283886111723852E-5</v>
      </c>
      <c r="BE12" s="40">
        <v>0.99994971611388828</v>
      </c>
      <c r="BF12" s="40">
        <v>0.99236104546294235</v>
      </c>
      <c r="BG12" s="14">
        <v>8.746227021178405E-3</v>
      </c>
      <c r="BH12" s="14">
        <v>0.9918108022226978</v>
      </c>
      <c r="BI12" s="14">
        <v>8.1891977773022578E-3</v>
      </c>
      <c r="BK12" s="15" t="s">
        <v>180</v>
      </c>
    </row>
    <row r="13" spans="1:63" x14ac:dyDescent="0.35">
      <c r="A13" s="14" t="s">
        <v>23</v>
      </c>
      <c r="B13" s="14">
        <v>5.140143795173258E-4</v>
      </c>
      <c r="C13" s="14">
        <v>0.99960803532611964</v>
      </c>
      <c r="D13" s="14">
        <v>4.555594385768913E-4</v>
      </c>
      <c r="E13" s="14">
        <v>0.99954444056142311</v>
      </c>
      <c r="F13" s="14">
        <v>0.33924030681285811</v>
      </c>
      <c r="G13" s="14">
        <v>0.68790182259992472</v>
      </c>
      <c r="H13" s="14">
        <v>0.32553831703891678</v>
      </c>
      <c r="I13" s="14">
        <v>0.67446168296108322</v>
      </c>
      <c r="J13" s="14">
        <v>3.1923094571434119E-8</v>
      </c>
      <c r="K13" s="14">
        <v>0.99999997919254269</v>
      </c>
      <c r="L13" s="14">
        <v>2.8621812142581859E-8</v>
      </c>
      <c r="M13" s="14">
        <v>0.99999997137818786</v>
      </c>
      <c r="N13" s="40">
        <v>0.99999831688327856</v>
      </c>
      <c r="O13" s="40">
        <v>2.425141220284132E-6</v>
      </c>
      <c r="P13" s="40">
        <v>0.99999786766127818</v>
      </c>
      <c r="Q13" s="40">
        <v>2.1323387218256759E-6</v>
      </c>
      <c r="R13" s="40">
        <v>0.21434594520575251</v>
      </c>
      <c r="S13" s="40">
        <v>0.80697951600757256</v>
      </c>
      <c r="T13" s="40">
        <v>0.20350801363568721</v>
      </c>
      <c r="U13" s="40">
        <v>0.79649198636431284</v>
      </c>
      <c r="V13" s="40">
        <v>1</v>
      </c>
      <c r="W13" s="40">
        <v>9.692158585558598E-39</v>
      </c>
      <c r="X13" s="40">
        <v>1</v>
      </c>
      <c r="Y13" s="40">
        <v>1.798186331341236E-37</v>
      </c>
      <c r="Z13" s="40">
        <v>0.99999992614603173</v>
      </c>
      <c r="AA13" s="40">
        <v>1.113695060809213E-7</v>
      </c>
      <c r="AB13" s="40">
        <v>0.99999990092814461</v>
      </c>
      <c r="AC13" s="40">
        <v>9.9071855408947248E-8</v>
      </c>
      <c r="AD13" s="40">
        <v>0.33924030681285811</v>
      </c>
      <c r="AE13" s="40">
        <v>0.68790182259992472</v>
      </c>
      <c r="AF13" s="40">
        <v>0.32553831703891678</v>
      </c>
      <c r="AG13" s="40">
        <v>0.67446168296108322</v>
      </c>
      <c r="AH13" s="40">
        <v>0.99999999999999811</v>
      </c>
      <c r="AI13" s="40">
        <v>3.5800149477577373E-15</v>
      </c>
      <c r="AJ13" s="40">
        <v>0.99999999999999589</v>
      </c>
      <c r="AK13" s="40">
        <v>4.1172859136787213E-15</v>
      </c>
      <c r="AL13" s="40">
        <v>1.07186411397128E-2</v>
      </c>
      <c r="AM13" s="40">
        <v>0.99124236032330704</v>
      </c>
      <c r="AN13" s="40">
        <v>9.727058132618871E-3</v>
      </c>
      <c r="AO13" s="40">
        <v>0.99027294186738113</v>
      </c>
      <c r="AP13" s="40">
        <v>0.53809217348703053</v>
      </c>
      <c r="AQ13" s="40">
        <v>0.48728541534928532</v>
      </c>
      <c r="AR13" s="40">
        <v>0.52541840847457921</v>
      </c>
      <c r="AS13" s="40">
        <v>0.47458159152542079</v>
      </c>
      <c r="AT13" s="40">
        <v>7.6752412623391479E-91</v>
      </c>
      <c r="AU13" s="40">
        <v>1</v>
      </c>
      <c r="AV13" s="40">
        <v>0</v>
      </c>
      <c r="AW13" s="40">
        <v>1</v>
      </c>
      <c r="AX13" s="40">
        <v>8.6972830393244492E-4</v>
      </c>
      <c r="AY13" s="40">
        <v>0.99932957240549158</v>
      </c>
      <c r="AZ13" s="40">
        <v>7.7310173854039377E-4</v>
      </c>
      <c r="BA13" s="40">
        <v>0.99922689826145961</v>
      </c>
      <c r="BB13" s="40">
        <v>0.29394103861535209</v>
      </c>
      <c r="BC13" s="40">
        <v>0.72763149274820915</v>
      </c>
      <c r="BD13" s="40">
        <v>0.28304513090842481</v>
      </c>
      <c r="BE13" s="40">
        <v>0.71695486909157524</v>
      </c>
      <c r="BF13" s="40">
        <v>1</v>
      </c>
      <c r="BG13" s="14">
        <v>1.079163552591287E-53</v>
      </c>
      <c r="BH13" s="14">
        <v>1</v>
      </c>
      <c r="BI13" s="14">
        <v>2.821029210377705E-52</v>
      </c>
      <c r="BK13" s="15" t="s">
        <v>180</v>
      </c>
    </row>
    <row r="14" spans="1:63" x14ac:dyDescent="0.35">
      <c r="A14" s="14" t="s">
        <v>24</v>
      </c>
      <c r="B14" s="14">
        <v>0.99999999645551363</v>
      </c>
      <c r="C14" s="14">
        <v>5.5654150471749074E-9</v>
      </c>
      <c r="D14" s="14">
        <v>0.99999999494030434</v>
      </c>
      <c r="E14" s="14">
        <v>5.0596957075444564E-9</v>
      </c>
      <c r="F14" s="14">
        <v>0.28593891061226778</v>
      </c>
      <c r="G14" s="14">
        <v>0.73913038672604903</v>
      </c>
      <c r="H14" s="14">
        <v>0.27324679770329119</v>
      </c>
      <c r="I14" s="14">
        <v>0.72675320229670881</v>
      </c>
      <c r="J14" s="14">
        <v>1.741043016652972E-42</v>
      </c>
      <c r="K14" s="14">
        <v>1</v>
      </c>
      <c r="L14" s="14">
        <v>0</v>
      </c>
      <c r="M14" s="14">
        <v>1</v>
      </c>
      <c r="N14" s="40">
        <v>0.99999999979075116</v>
      </c>
      <c r="O14" s="40">
        <v>3.402815753304427E-10</v>
      </c>
      <c r="P14" s="40">
        <v>0.99999999968148079</v>
      </c>
      <c r="Q14" s="40">
        <v>3.1851926549481152E-10</v>
      </c>
      <c r="R14" s="40">
        <v>0.17304251071291021</v>
      </c>
      <c r="S14" s="40">
        <v>0.84556710823239156</v>
      </c>
      <c r="T14" s="40">
        <v>0.16356481161757741</v>
      </c>
      <c r="U14" s="40">
        <v>0.83643518838242259</v>
      </c>
      <c r="V14" s="40">
        <v>1</v>
      </c>
      <c r="W14" s="40">
        <v>6.0586065370963564E-37</v>
      </c>
      <c r="X14" s="40">
        <v>1</v>
      </c>
      <c r="Y14" s="40">
        <v>8.1932282042043511E-36</v>
      </c>
      <c r="Z14" s="40">
        <v>0.99999999965971842</v>
      </c>
      <c r="AA14" s="40">
        <v>5.5012734621003682E-10</v>
      </c>
      <c r="AB14" s="40">
        <v>0.99999999948793916</v>
      </c>
      <c r="AC14" s="40">
        <v>5.1206087656329149E-10</v>
      </c>
      <c r="AD14" s="40">
        <v>0.33924030681285811</v>
      </c>
      <c r="AE14" s="40">
        <v>0.68790182259992472</v>
      </c>
      <c r="AF14" s="40">
        <v>0.32553831703891678</v>
      </c>
      <c r="AG14" s="40">
        <v>0.67446168296108322</v>
      </c>
      <c r="AH14" s="38">
        <v>4.0368089073880516E-40</v>
      </c>
      <c r="AI14" s="40">
        <v>1</v>
      </c>
      <c r="AJ14" s="40">
        <v>0</v>
      </c>
      <c r="AK14" s="40">
        <v>1</v>
      </c>
      <c r="AL14" s="40">
        <v>0.99999998651578603</v>
      </c>
      <c r="AM14" s="40">
        <v>2.080745730839368E-8</v>
      </c>
      <c r="AN14" s="40">
        <v>0.99999998128655132</v>
      </c>
      <c r="AO14" s="40">
        <v>1.8713448634302529E-8</v>
      </c>
      <c r="AP14" s="40">
        <v>0.63707119183948069</v>
      </c>
      <c r="AQ14" s="40">
        <v>0.38709935059452272</v>
      </c>
      <c r="AR14" s="40">
        <v>0.62505649593136781</v>
      </c>
      <c r="AS14" s="40">
        <v>0.37494350406863219</v>
      </c>
      <c r="AT14" s="38">
        <v>1.5916232962623739E-96</v>
      </c>
      <c r="AU14" s="40">
        <v>1</v>
      </c>
      <c r="AV14" s="40">
        <v>0</v>
      </c>
      <c r="AW14" s="40">
        <v>1</v>
      </c>
      <c r="AX14" s="40">
        <v>0.99999999987208177</v>
      </c>
      <c r="AY14" s="40">
        <v>2.0924884743097259E-10</v>
      </c>
      <c r="AZ14" s="40">
        <v>0.99999999980296728</v>
      </c>
      <c r="BA14" s="40">
        <v>1.9703275787215481E-10</v>
      </c>
      <c r="BB14" s="40">
        <v>0.46190782651296952</v>
      </c>
      <c r="BC14" s="40">
        <v>0.56331564741138507</v>
      </c>
      <c r="BD14" s="40">
        <v>0.44926626532927483</v>
      </c>
      <c r="BE14" s="40">
        <v>0.55073373467072517</v>
      </c>
      <c r="BF14" s="40">
        <v>6.1984441124480788E-100</v>
      </c>
      <c r="BG14" s="14">
        <v>1</v>
      </c>
      <c r="BH14" s="14">
        <v>0</v>
      </c>
      <c r="BI14" s="14">
        <v>1</v>
      </c>
      <c r="BK14" s="15" t="s">
        <v>180</v>
      </c>
    </row>
    <row r="15" spans="1:63" x14ac:dyDescent="0.35">
      <c r="A15" s="14" t="s">
        <v>25</v>
      </c>
      <c r="B15" s="14">
        <v>2.1659689066834469E-14</v>
      </c>
      <c r="C15" s="14">
        <v>0.99999999999998801</v>
      </c>
      <c r="D15" s="14">
        <v>2.3869795029440869E-14</v>
      </c>
      <c r="E15" s="14">
        <v>0.99999999999997613</v>
      </c>
      <c r="F15" s="14">
        <v>0.99996318795309103</v>
      </c>
      <c r="G15" s="14">
        <v>5.0438205584933382E-5</v>
      </c>
      <c r="H15" s="14">
        <v>0.99995566070850206</v>
      </c>
      <c r="I15" s="14">
        <v>4.4339291497947962E-5</v>
      </c>
      <c r="J15" s="14">
        <v>0.94748427449911499</v>
      </c>
      <c r="K15" s="14">
        <v>6.1112744934414411E-2</v>
      </c>
      <c r="L15" s="14">
        <v>0.94328180958190877</v>
      </c>
      <c r="M15" s="14">
        <v>5.6718190418091237E-2</v>
      </c>
      <c r="N15" s="38">
        <v>7.773941077768152E-11</v>
      </c>
      <c r="O15" s="40">
        <v>0.99999999995303379</v>
      </c>
      <c r="P15" s="40">
        <v>7.414890923485018E-11</v>
      </c>
      <c r="Q15" s="40">
        <v>0.99999999992585109</v>
      </c>
      <c r="R15" s="40">
        <v>0.99999999443458498</v>
      </c>
      <c r="S15" s="40">
        <v>8.6880052469512098E-9</v>
      </c>
      <c r="T15" s="40">
        <v>0.99999999213191548</v>
      </c>
      <c r="U15" s="40">
        <v>7.8680844944330399E-9</v>
      </c>
      <c r="V15" s="40">
        <v>1</v>
      </c>
      <c r="W15" s="40">
        <v>2.185738596483581E-25</v>
      </c>
      <c r="X15" s="40">
        <v>1</v>
      </c>
      <c r="Y15" s="40">
        <v>5.8329460102882498E-25</v>
      </c>
      <c r="Z15" s="38">
        <v>3.1923094571434119E-8</v>
      </c>
      <c r="AA15" s="40">
        <v>0.99999997919254269</v>
      </c>
      <c r="AB15" s="40">
        <v>2.8621812142581859E-8</v>
      </c>
      <c r="AC15" s="40">
        <v>0.99999997137818786</v>
      </c>
      <c r="AD15" s="40">
        <v>0.99999999999999944</v>
      </c>
      <c r="AE15" s="40">
        <v>1.045738419167208E-15</v>
      </c>
      <c r="AF15" s="40">
        <v>0.99999999999999878</v>
      </c>
      <c r="AG15" s="40">
        <v>1.239520982587429E-15</v>
      </c>
      <c r="AH15" s="40">
        <v>5.5654150471749074E-9</v>
      </c>
      <c r="AI15" s="40">
        <v>0.99999999645551363</v>
      </c>
      <c r="AJ15" s="40">
        <v>5.0596956624460176E-9</v>
      </c>
      <c r="AK15" s="40">
        <v>0.99999999494030434</v>
      </c>
      <c r="AL15" s="40">
        <v>1.4242880456734839E-27</v>
      </c>
      <c r="AM15" s="40">
        <v>1</v>
      </c>
      <c r="AN15" s="40">
        <v>0</v>
      </c>
      <c r="AO15" s="40">
        <v>1</v>
      </c>
      <c r="AP15" s="40">
        <v>0.99999183995244467</v>
      </c>
      <c r="AQ15" s="40">
        <v>1.087998784664854E-5</v>
      </c>
      <c r="AR15" s="40">
        <v>0.99999030336114281</v>
      </c>
      <c r="AS15" s="40">
        <v>9.6966388571788149E-6</v>
      </c>
      <c r="AT15" s="40">
        <v>1</v>
      </c>
      <c r="AU15" s="40">
        <v>7.7139783622012847E-24</v>
      </c>
      <c r="AV15" s="40">
        <v>1</v>
      </c>
      <c r="AW15" s="40">
        <v>1.003672774292487E-23</v>
      </c>
      <c r="AX15" s="38">
        <v>2.66113438101818E-22</v>
      </c>
      <c r="AY15" s="40">
        <v>1</v>
      </c>
      <c r="AZ15" s="40">
        <v>0</v>
      </c>
      <c r="BA15" s="40">
        <v>1</v>
      </c>
      <c r="BB15" s="40">
        <v>0.99949234714653856</v>
      </c>
      <c r="BC15" s="40">
        <v>6.3577144909883129E-4</v>
      </c>
      <c r="BD15" s="40">
        <v>0.99942629623833568</v>
      </c>
      <c r="BE15" s="40">
        <v>5.7370376166427891E-4</v>
      </c>
      <c r="BF15" s="40">
        <v>1</v>
      </c>
      <c r="BG15" s="14">
        <v>6.4707186971981602E-18</v>
      </c>
      <c r="BH15" s="14">
        <v>1</v>
      </c>
      <c r="BI15" s="14">
        <v>6.8633489336586532E-18</v>
      </c>
      <c r="BK15" s="15" t="s">
        <v>180</v>
      </c>
    </row>
    <row r="16" spans="1:63" x14ac:dyDescent="0.35">
      <c r="A16" s="16" t="s">
        <v>26</v>
      </c>
      <c r="B16" s="16">
        <v>0.93888725506558557</v>
      </c>
      <c r="C16" s="16">
        <v>7.0771444478710852E-2</v>
      </c>
      <c r="D16" s="16">
        <v>0.93416599198859274</v>
      </c>
      <c r="E16" s="16">
        <v>6.5834008011407277E-2</v>
      </c>
      <c r="F16" s="16">
        <v>3.7045825410822238E-3</v>
      </c>
      <c r="G16" s="16">
        <v>0.99705135870899886</v>
      </c>
      <c r="H16" s="16">
        <v>3.3278027414747058E-3</v>
      </c>
      <c r="I16" s="16">
        <v>0.99667219725852529</v>
      </c>
      <c r="J16" s="16">
        <v>0.26086961327395092</v>
      </c>
      <c r="K16" s="16">
        <v>0.76301913543624389</v>
      </c>
      <c r="L16" s="16">
        <v>0.2487588880649938</v>
      </c>
      <c r="M16" s="16">
        <v>0.7512411119350062</v>
      </c>
      <c r="N16" s="41">
        <v>0.8932160997258477</v>
      </c>
      <c r="O16" s="41">
        <v>0.12132136960569349</v>
      </c>
      <c r="P16" s="41">
        <v>0.88610000300588521</v>
      </c>
      <c r="Q16" s="41">
        <v>0.1138999969941147</v>
      </c>
      <c r="R16" s="41">
        <v>2.4893806564397472E-7</v>
      </c>
      <c r="S16" s="41">
        <v>0.99999983301767192</v>
      </c>
      <c r="T16" s="41">
        <v>2.205410271072239E-7</v>
      </c>
      <c r="U16" s="41">
        <v>0.99999977945897289</v>
      </c>
      <c r="V16" s="41">
        <v>2.334560481166707E-3</v>
      </c>
      <c r="W16" s="41">
        <v>0.99816142786523809</v>
      </c>
      <c r="X16" s="41">
        <v>2.0892787840832709E-3</v>
      </c>
      <c r="Y16" s="41">
        <v>0.99791072121591673</v>
      </c>
      <c r="Z16" s="41">
        <v>0.90645347017408007</v>
      </c>
      <c r="AA16" s="41">
        <v>0.1067839002741523</v>
      </c>
      <c r="AB16" s="41">
        <v>0.89997747274533557</v>
      </c>
      <c r="AC16" s="41">
        <v>0.1000225272546645</v>
      </c>
      <c r="AD16" s="41">
        <v>6.1112744934414411E-2</v>
      </c>
      <c r="AE16" s="41">
        <v>0.94748427449911499</v>
      </c>
      <c r="AF16" s="41">
        <v>5.6718190418091563E-2</v>
      </c>
      <c r="AG16" s="41">
        <v>0.94328180958190844</v>
      </c>
      <c r="AH16" s="41">
        <v>0.39596959597855169</v>
      </c>
      <c r="AI16" s="41">
        <v>0.63275715045003333</v>
      </c>
      <c r="AJ16" s="41">
        <v>0.38151230027649652</v>
      </c>
      <c r="AK16" s="41">
        <v>0.61848769972350348</v>
      </c>
      <c r="AL16" s="41">
        <v>0.94748427449911499</v>
      </c>
      <c r="AM16" s="41">
        <v>6.1112744934414411E-2</v>
      </c>
      <c r="AN16" s="41">
        <v>0.94328180958190877</v>
      </c>
      <c r="AO16" s="41">
        <v>5.6718190418091237E-2</v>
      </c>
      <c r="AP16" s="38">
        <v>1.8836006924052991E-12</v>
      </c>
      <c r="AQ16" s="41">
        <v>0.99999999999881017</v>
      </c>
      <c r="AR16" s="41">
        <v>1.8317569683290462E-12</v>
      </c>
      <c r="AS16" s="41">
        <v>0.99999999999816824</v>
      </c>
      <c r="AT16" s="41">
        <v>0.6539182261478429</v>
      </c>
      <c r="AU16" s="41">
        <v>0.36450981315316999</v>
      </c>
      <c r="AV16" s="41">
        <v>0.64475259402999296</v>
      </c>
      <c r="AW16" s="41">
        <v>0.35524740597000709</v>
      </c>
      <c r="AX16" s="41">
        <v>0.99960803532611964</v>
      </c>
      <c r="AY16" s="41">
        <v>5.140143795173258E-4</v>
      </c>
      <c r="AZ16" s="41">
        <v>0.99954444056142311</v>
      </c>
      <c r="BA16" s="41">
        <v>4.5555943857685638E-4</v>
      </c>
      <c r="BB16" s="41">
        <v>1.123331919491978E-13</v>
      </c>
      <c r="BC16" s="41">
        <v>0.99999999999993083</v>
      </c>
      <c r="BD16" s="41">
        <v>1.13242748511766E-13</v>
      </c>
      <c r="BE16" s="41">
        <v>0.99999999999988676</v>
      </c>
      <c r="BF16" s="41">
        <v>0.90928146986663116</v>
      </c>
      <c r="BG16" s="16">
        <v>9.9074915735792454E-2</v>
      </c>
      <c r="BH16" s="16">
        <v>0.90516293602260378</v>
      </c>
      <c r="BI16" s="16">
        <v>9.4837063977396219E-2</v>
      </c>
      <c r="BK16" s="17" t="s">
        <v>194</v>
      </c>
    </row>
    <row r="17" spans="1:63" x14ac:dyDescent="0.35">
      <c r="A17" s="16" t="s">
        <v>27</v>
      </c>
      <c r="B17" s="16">
        <v>0.99996318795309103</v>
      </c>
      <c r="C17" s="16">
        <v>5.0438205584933382E-5</v>
      </c>
      <c r="D17" s="16">
        <v>0.99995566070850206</v>
      </c>
      <c r="E17" s="16">
        <v>4.4339291497947962E-5</v>
      </c>
      <c r="F17" s="16">
        <v>8.8418329764702732E-10</v>
      </c>
      <c r="G17" s="16">
        <v>0.99999999944987261</v>
      </c>
      <c r="H17" s="16">
        <v>8.1864826029232063E-10</v>
      </c>
      <c r="I17" s="16">
        <v>0.99999999918135174</v>
      </c>
      <c r="J17" s="16">
        <v>1.9285241824994172E-5</v>
      </c>
      <c r="K17" s="16">
        <v>0.99998615736150531</v>
      </c>
      <c r="L17" s="16">
        <v>1.6932870656627411E-5</v>
      </c>
      <c r="M17" s="16">
        <v>0.99998306712934337</v>
      </c>
      <c r="N17" s="41">
        <v>2.2423766932352069E-4</v>
      </c>
      <c r="O17" s="41">
        <v>0.99983177687150404</v>
      </c>
      <c r="P17" s="41">
        <v>1.9798271821658281E-4</v>
      </c>
      <c r="Q17" s="41">
        <v>0.99980201728178342</v>
      </c>
      <c r="R17" s="38">
        <v>2.2443084356065412E-9</v>
      </c>
      <c r="S17" s="41">
        <v>0.99999999858720068</v>
      </c>
      <c r="T17" s="41">
        <v>2.0578957427019869E-9</v>
      </c>
      <c r="U17" s="41">
        <v>0.99999999794210426</v>
      </c>
      <c r="V17" s="41">
        <v>3.2352956527301337E-2</v>
      </c>
      <c r="W17" s="41">
        <v>0.9727441946983314</v>
      </c>
      <c r="X17" s="41">
        <v>2.975234282021488E-2</v>
      </c>
      <c r="Y17" s="41">
        <v>0.97024765717978512</v>
      </c>
      <c r="Z17" s="41">
        <v>0.90645347017408007</v>
      </c>
      <c r="AA17" s="41">
        <v>0.1067839002741523</v>
      </c>
      <c r="AB17" s="41">
        <v>0.89997747274533557</v>
      </c>
      <c r="AC17" s="41">
        <v>0.1000225272546645</v>
      </c>
      <c r="AD17" s="38">
        <v>4.8695444035950358E-8</v>
      </c>
      <c r="AE17" s="41">
        <v>0.99999996807690539</v>
      </c>
      <c r="AF17" s="41">
        <v>4.3535463345456549E-8</v>
      </c>
      <c r="AG17" s="41">
        <v>0.99999995646453665</v>
      </c>
      <c r="AH17" s="38">
        <v>4.8695444035950358E-8</v>
      </c>
      <c r="AI17" s="41">
        <v>0.99999996807690539</v>
      </c>
      <c r="AJ17" s="41">
        <v>4.3535463345456549E-8</v>
      </c>
      <c r="AK17" s="41">
        <v>0.99999995646453665</v>
      </c>
      <c r="AL17" s="41">
        <v>0.36724284954996672</v>
      </c>
      <c r="AM17" s="41">
        <v>0.66075969318714201</v>
      </c>
      <c r="AN17" s="41">
        <v>0.35312798105242671</v>
      </c>
      <c r="AO17" s="41">
        <v>0.64687201894757329</v>
      </c>
      <c r="AP17" s="41">
        <v>1.335807115945141E-6</v>
      </c>
      <c r="AQ17" s="41">
        <v>0.99999902574657795</v>
      </c>
      <c r="AR17" s="41">
        <v>1.1904764806169869E-6</v>
      </c>
      <c r="AS17" s="41">
        <v>0.99999880952351938</v>
      </c>
      <c r="AT17" s="41">
        <v>4.8097469097399136E-15</v>
      </c>
      <c r="AU17" s="41">
        <v>0.99999999999999678</v>
      </c>
      <c r="AV17" s="41">
        <v>4.7739590058881731E-15</v>
      </c>
      <c r="AW17" s="41">
        <v>0.99999999999999523</v>
      </c>
      <c r="AX17" s="41">
        <v>0.98419030824746367</v>
      </c>
      <c r="AY17" s="41">
        <v>1.9053548193704001E-2</v>
      </c>
      <c r="AZ17" s="41">
        <v>0.9825957605940665</v>
      </c>
      <c r="BA17" s="41">
        <v>1.7404239405933521E-2</v>
      </c>
      <c r="BB17" s="41">
        <v>2.9968560448432519E-2</v>
      </c>
      <c r="BC17" s="41">
        <v>0.9741165738328309</v>
      </c>
      <c r="BD17" s="41">
        <v>2.7891304353421909E-2</v>
      </c>
      <c r="BE17" s="41">
        <v>0.97210869564657809</v>
      </c>
      <c r="BF17" s="41">
        <v>3.7107342338206288E-5</v>
      </c>
      <c r="BG17" s="16">
        <v>0.99996989211973886</v>
      </c>
      <c r="BH17" s="16">
        <v>2.7462566099645261E-5</v>
      </c>
      <c r="BI17" s="16">
        <v>0.99997253743390035</v>
      </c>
      <c r="BK17" s="17" t="s">
        <v>194</v>
      </c>
    </row>
    <row r="18" spans="1:63" x14ac:dyDescent="0.35">
      <c r="A18" s="16" t="s">
        <v>28</v>
      </c>
      <c r="B18" s="16">
        <v>0.99993127286383343</v>
      </c>
      <c r="C18" s="16">
        <v>9.3132563399741616E-5</v>
      </c>
      <c r="D18" s="16">
        <v>0.99991801303050887</v>
      </c>
      <c r="E18" s="16">
        <v>8.1986969491158737E-5</v>
      </c>
      <c r="F18" s="16">
        <v>0.93888725506558557</v>
      </c>
      <c r="G18" s="16">
        <v>7.0771444478710852E-2</v>
      </c>
      <c r="H18" s="16">
        <v>0.93416599198859274</v>
      </c>
      <c r="I18" s="16">
        <v>6.5834008011407277E-2</v>
      </c>
      <c r="J18" s="16">
        <v>0.1067839002741523</v>
      </c>
      <c r="K18" s="16">
        <v>0.90645347017408007</v>
      </c>
      <c r="L18" s="16">
        <v>0.1000225272546644</v>
      </c>
      <c r="M18" s="16">
        <v>0.89997747274533557</v>
      </c>
      <c r="N18" s="41">
        <v>1.122218591755879E-3</v>
      </c>
      <c r="O18" s="41">
        <v>0.99913027169606761</v>
      </c>
      <c r="P18" s="41">
        <v>9.9912835415094658E-4</v>
      </c>
      <c r="Q18" s="41">
        <v>0.99900087164584905</v>
      </c>
      <c r="R18" s="41">
        <v>0.99913027169606761</v>
      </c>
      <c r="S18" s="41">
        <v>1.122218591755879E-3</v>
      </c>
      <c r="T18" s="41">
        <v>0.99900087164584905</v>
      </c>
      <c r="U18" s="41">
        <v>9.9912835415090127E-4</v>
      </c>
      <c r="V18" s="41">
        <v>1</v>
      </c>
      <c r="W18" s="41">
        <v>1.378744080652062E-40</v>
      </c>
      <c r="X18" s="41">
        <v>1</v>
      </c>
      <c r="Y18" s="41">
        <v>3.6055191761920078E-39</v>
      </c>
      <c r="Z18" s="41">
        <v>1.9053548193704001E-2</v>
      </c>
      <c r="AA18" s="41">
        <v>0.98419030824746367</v>
      </c>
      <c r="AB18" s="41">
        <v>1.7404239405933501E-2</v>
      </c>
      <c r="AC18" s="41">
        <v>0.9825957605940665</v>
      </c>
      <c r="AD18" s="41">
        <v>0.51503036448818196</v>
      </c>
      <c r="AE18" s="41">
        <v>0.51503036448818196</v>
      </c>
      <c r="AF18" s="41">
        <v>0.5</v>
      </c>
      <c r="AG18" s="41">
        <v>0.5</v>
      </c>
      <c r="AH18" s="41">
        <v>8.1561343068735734E-2</v>
      </c>
      <c r="AI18" s="41">
        <v>0.92922855552128913</v>
      </c>
      <c r="AJ18" s="41">
        <v>7.6046316240789946E-2</v>
      </c>
      <c r="AK18" s="41">
        <v>0.92395368375921005</v>
      </c>
      <c r="AL18" s="41">
        <v>0.99977576233067644</v>
      </c>
      <c r="AM18" s="41">
        <v>2.9727623726529142E-4</v>
      </c>
      <c r="AN18" s="41">
        <v>0.99973722128086362</v>
      </c>
      <c r="AO18" s="41">
        <v>2.627787191364202E-4</v>
      </c>
      <c r="AP18" s="41">
        <v>0.9999954643317559</v>
      </c>
      <c r="AQ18" s="41">
        <v>6.0958071557261596E-6</v>
      </c>
      <c r="AR18" s="41">
        <v>0.9999945694520268</v>
      </c>
      <c r="AS18" s="41">
        <v>5.4305479732201839E-6</v>
      </c>
      <c r="AT18" s="41">
        <v>5.5969236796788963E-5</v>
      </c>
      <c r="AU18" s="41">
        <v>0.99995437363801032</v>
      </c>
      <c r="AV18" s="41">
        <v>5.1135681138236848E-5</v>
      </c>
      <c r="AW18" s="41">
        <v>0.99994886431886176</v>
      </c>
      <c r="AX18" s="41">
        <v>0.91843865693126425</v>
      </c>
      <c r="AY18" s="41">
        <v>9.3546529825919919E-2</v>
      </c>
      <c r="AZ18" s="41">
        <v>0.91257778319479266</v>
      </c>
      <c r="BA18" s="41">
        <v>8.7422216805207342E-2</v>
      </c>
      <c r="BB18" s="41">
        <v>0.96542573740292892</v>
      </c>
      <c r="BC18" s="41">
        <v>3.9745751432072991E-2</v>
      </c>
      <c r="BD18" s="41">
        <v>0.96288675859325568</v>
      </c>
      <c r="BE18" s="41">
        <v>3.7113241406744317E-2</v>
      </c>
      <c r="BF18" s="41">
        <v>0.99999999997064792</v>
      </c>
      <c r="BG18" s="16">
        <v>4.0918414440758531E-11</v>
      </c>
      <c r="BH18" s="16">
        <v>0.99999999996197841</v>
      </c>
      <c r="BI18" s="16">
        <v>3.8021612174152023E-11</v>
      </c>
      <c r="BK18" s="17" t="s">
        <v>194</v>
      </c>
    </row>
    <row r="19" spans="1:63" x14ac:dyDescent="0.35">
      <c r="A19" s="16" t="s">
        <v>29</v>
      </c>
      <c r="B19" s="16">
        <v>0.999999999999999</v>
      </c>
      <c r="C19" s="16">
        <v>1.9408233207544449E-15</v>
      </c>
      <c r="D19" s="16">
        <v>0.99999999999999778</v>
      </c>
      <c r="E19" s="16">
        <v>2.2654156712888781E-15</v>
      </c>
      <c r="F19" s="16">
        <v>0.99424414898732705</v>
      </c>
      <c r="G19" s="16">
        <v>7.1183650161997609E-3</v>
      </c>
      <c r="H19" s="16">
        <v>0.99356720935272191</v>
      </c>
      <c r="I19" s="16">
        <v>6.4327906472780392E-3</v>
      </c>
      <c r="J19" s="16">
        <v>1.9053548193704001E-2</v>
      </c>
      <c r="K19" s="16">
        <v>0.98419030824746367</v>
      </c>
      <c r="L19" s="16">
        <v>1.7404239405933501E-2</v>
      </c>
      <c r="M19" s="16">
        <v>0.9825957605940665</v>
      </c>
      <c r="N19" s="38">
        <v>1.2482748311847501E-35</v>
      </c>
      <c r="O19" s="41">
        <v>1</v>
      </c>
      <c r="P19" s="41">
        <v>0</v>
      </c>
      <c r="Q19" s="41">
        <v>1</v>
      </c>
      <c r="R19" s="41">
        <v>2.7255805301668649E-2</v>
      </c>
      <c r="S19" s="41">
        <v>0.97715363504431529</v>
      </c>
      <c r="T19" s="41">
        <v>2.5008197742822699E-2</v>
      </c>
      <c r="U19" s="41">
        <v>0.9749918022571773</v>
      </c>
      <c r="V19" s="41">
        <v>0.99999999992226063</v>
      </c>
      <c r="W19" s="41">
        <v>1.279181887347529E-10</v>
      </c>
      <c r="X19" s="41">
        <v>0.99999999987879273</v>
      </c>
      <c r="Y19" s="41">
        <v>1.212072519999565E-10</v>
      </c>
      <c r="Z19" s="41">
        <v>0.99999998651578603</v>
      </c>
      <c r="AA19" s="41">
        <v>2.080745730839368E-8</v>
      </c>
      <c r="AB19" s="41">
        <v>0.99999998128655132</v>
      </c>
      <c r="AC19" s="41">
        <v>1.8713448634302529E-8</v>
      </c>
      <c r="AD19" s="41">
        <v>0.15443289176760841</v>
      </c>
      <c r="AE19" s="41">
        <v>0.86280388643582817</v>
      </c>
      <c r="AF19" s="41">
        <v>0.14564642380890641</v>
      </c>
      <c r="AG19" s="41">
        <v>0.85435357619109364</v>
      </c>
      <c r="AH19" s="41">
        <v>0.45499406440791129</v>
      </c>
      <c r="AI19" s="41">
        <v>0.57472747643240507</v>
      </c>
      <c r="AJ19" s="41">
        <v>0.4400842274533634</v>
      </c>
      <c r="AK19" s="41">
        <v>0.5599157725466366</v>
      </c>
      <c r="AL19" s="41">
        <v>0.9999999913119948</v>
      </c>
      <c r="AM19" s="41">
        <v>1.348421393509673E-8</v>
      </c>
      <c r="AN19" s="41">
        <v>0.99999998783221156</v>
      </c>
      <c r="AO19" s="41">
        <v>1.2167788454856519E-8</v>
      </c>
      <c r="AP19" s="41">
        <v>0.99999999985201682</v>
      </c>
      <c r="AQ19" s="41">
        <v>2.237676364152182E-10</v>
      </c>
      <c r="AR19" s="41">
        <v>0.9999999997924639</v>
      </c>
      <c r="AS19" s="41">
        <v>2.0753609061794201E-10</v>
      </c>
      <c r="AT19" s="38">
        <v>7.7139783622012847E-24</v>
      </c>
      <c r="AU19" s="41">
        <v>1</v>
      </c>
      <c r="AV19" s="41">
        <v>0</v>
      </c>
      <c r="AW19" s="41">
        <v>1</v>
      </c>
      <c r="AX19" s="41">
        <v>0.99887778140824413</v>
      </c>
      <c r="AY19" s="41">
        <v>1.440259242764247E-3</v>
      </c>
      <c r="AZ19" s="41">
        <v>0.99871558423648865</v>
      </c>
      <c r="BA19" s="41">
        <v>1.284415763511356E-3</v>
      </c>
      <c r="BB19" s="41">
        <v>0.97003143955156745</v>
      </c>
      <c r="BC19" s="41">
        <v>3.4574262597071033E-2</v>
      </c>
      <c r="BD19" s="41">
        <v>0.96776910581885811</v>
      </c>
      <c r="BE19" s="41">
        <v>3.2230894181141882E-2</v>
      </c>
      <c r="BF19" s="38">
        <v>9.908638426627136E-10</v>
      </c>
      <c r="BG19" s="16">
        <v>0.99999999927155558</v>
      </c>
      <c r="BH19" s="16">
        <v>9.0889673565186513E-10</v>
      </c>
      <c r="BI19" s="16">
        <v>0.99999999909110326</v>
      </c>
      <c r="BK19" s="17" t="s">
        <v>194</v>
      </c>
    </row>
    <row r="20" spans="1:63" x14ac:dyDescent="0.35">
      <c r="A20" s="16" t="s">
        <v>30</v>
      </c>
      <c r="B20" s="16">
        <v>0.99999999999961464</v>
      </c>
      <c r="C20" s="16">
        <v>6.7296703835153783E-13</v>
      </c>
      <c r="D20" s="16">
        <v>0.99999999999930733</v>
      </c>
      <c r="E20" s="16">
        <v>6.9263282631854555E-13</v>
      </c>
      <c r="F20" s="16">
        <v>9.8807434232840573E-6</v>
      </c>
      <c r="G20" s="16">
        <v>0.99999298654494129</v>
      </c>
      <c r="H20" s="16">
        <v>8.6743644028830502E-6</v>
      </c>
      <c r="I20" s="16">
        <v>0.99999132563559712</v>
      </c>
      <c r="J20" s="16">
        <v>0.86280388643582817</v>
      </c>
      <c r="K20" s="16">
        <v>0.15443289176760841</v>
      </c>
      <c r="L20" s="16">
        <v>0.85435357619109364</v>
      </c>
      <c r="M20" s="16">
        <v>0.1456464238089063</v>
      </c>
      <c r="N20" s="41">
        <v>0.99999999999999645</v>
      </c>
      <c r="O20" s="41">
        <v>6.5633437089035283E-15</v>
      </c>
      <c r="P20" s="41">
        <v>0.99999999999998668</v>
      </c>
      <c r="Q20" s="41">
        <v>1.3373566472415501E-14</v>
      </c>
      <c r="R20" s="41">
        <v>1.113695060809213E-7</v>
      </c>
      <c r="S20" s="41">
        <v>0.99999992614603173</v>
      </c>
      <c r="T20" s="41">
        <v>9.9071855386156926E-8</v>
      </c>
      <c r="U20" s="41">
        <v>0.99999990092814461</v>
      </c>
      <c r="V20" s="38">
        <v>3.4746484737434672E-6</v>
      </c>
      <c r="W20" s="41">
        <v>0.99999757485877971</v>
      </c>
      <c r="X20" s="41">
        <v>3.05321787952284E-6</v>
      </c>
      <c r="Y20" s="41">
        <v>0.99999694678212048</v>
      </c>
      <c r="Z20" s="41">
        <v>1</v>
      </c>
      <c r="AA20" s="41">
        <v>5.7444478971644066E-23</v>
      </c>
      <c r="AB20" s="41">
        <v>1</v>
      </c>
      <c r="AC20" s="41">
        <v>1.19420978376642E-22</v>
      </c>
      <c r="AD20" s="41">
        <v>2.425141220284132E-6</v>
      </c>
      <c r="AE20" s="41">
        <v>0.99999831688327856</v>
      </c>
      <c r="AF20" s="41">
        <v>1.4810834696454829E-6</v>
      </c>
      <c r="AG20" s="41">
        <v>0.99999851891653035</v>
      </c>
      <c r="AH20" s="41">
        <v>0.63275715045003333</v>
      </c>
      <c r="AI20" s="41">
        <v>0.39596959597855169</v>
      </c>
      <c r="AJ20" s="41">
        <v>0.61848769972350237</v>
      </c>
      <c r="AK20" s="41">
        <v>0.38151230027649757</v>
      </c>
      <c r="AL20" s="41">
        <v>0.80697951600757256</v>
      </c>
      <c r="AM20" s="41">
        <v>0.21434594520575251</v>
      </c>
      <c r="AN20" s="41">
        <v>0.79649198636431284</v>
      </c>
      <c r="AO20" s="41">
        <v>0.20350801363568721</v>
      </c>
      <c r="AP20" s="41">
        <v>9.8573453230169756E-4</v>
      </c>
      <c r="AQ20" s="41">
        <v>0.99920683398657739</v>
      </c>
      <c r="AR20" s="41">
        <v>8.9167068401962979E-4</v>
      </c>
      <c r="AS20" s="41">
        <v>0.99910832931598037</v>
      </c>
      <c r="AT20" s="41">
        <v>1.018657055634177E-4</v>
      </c>
      <c r="AU20" s="41">
        <v>0.99991637152609636</v>
      </c>
      <c r="AV20" s="41">
        <v>9.3239535750799796E-5</v>
      </c>
      <c r="AW20" s="41">
        <v>0.9999067604642492</v>
      </c>
      <c r="AX20" s="41">
        <v>0.99999504959388663</v>
      </c>
      <c r="AY20" s="41">
        <v>7.0134550586825282E-6</v>
      </c>
      <c r="AZ20" s="41">
        <v>0.99999384191193175</v>
      </c>
      <c r="BA20" s="41">
        <v>6.1580880682640709E-6</v>
      </c>
      <c r="BB20" s="41">
        <v>3.6031261158055489E-9</v>
      </c>
      <c r="BC20" s="41">
        <v>0.9999999975473719</v>
      </c>
      <c r="BD20" s="41">
        <v>3.2774428726511928E-9</v>
      </c>
      <c r="BE20" s="41">
        <v>0.99999999672255713</v>
      </c>
      <c r="BF20" s="41">
        <v>0.6539182261478429</v>
      </c>
      <c r="BG20" s="16">
        <v>0.36450981315316999</v>
      </c>
      <c r="BH20" s="16">
        <v>0.64475259402999296</v>
      </c>
      <c r="BI20" s="16">
        <v>0.35524740597000709</v>
      </c>
      <c r="BK20" s="17" t="s">
        <v>194</v>
      </c>
    </row>
    <row r="21" spans="1:63" x14ac:dyDescent="0.35">
      <c r="A21" s="18" t="s">
        <v>31</v>
      </c>
      <c r="B21" s="18">
        <v>1</v>
      </c>
      <c r="C21" s="18">
        <v>1.918859589311014E-19</v>
      </c>
      <c r="D21" s="18">
        <v>1</v>
      </c>
      <c r="E21" s="18">
        <v>2.9319095086080768E-19</v>
      </c>
      <c r="F21" s="18">
        <v>0.51503036448818196</v>
      </c>
      <c r="G21" s="18">
        <v>0.51503036448818196</v>
      </c>
      <c r="H21" s="18">
        <v>0.5</v>
      </c>
      <c r="I21" s="18">
        <v>0.5</v>
      </c>
      <c r="J21" s="18">
        <v>0.99999975106193439</v>
      </c>
      <c r="K21" s="18">
        <v>3.6900608683083041E-7</v>
      </c>
      <c r="L21" s="18">
        <v>0.99999967365599507</v>
      </c>
      <c r="M21" s="18">
        <v>3.2634400491955672E-7</v>
      </c>
      <c r="N21" s="42">
        <v>1</v>
      </c>
      <c r="O21" s="42">
        <v>2.9112115071309389E-32</v>
      </c>
      <c r="P21" s="42">
        <v>1</v>
      </c>
      <c r="Q21" s="42">
        <v>1.8723615368679241E-31</v>
      </c>
      <c r="R21" s="42">
        <v>0.26086961327395092</v>
      </c>
      <c r="S21" s="42">
        <v>0.76301913543624389</v>
      </c>
      <c r="T21" s="42">
        <v>0.2487588880649938</v>
      </c>
      <c r="U21" s="42">
        <v>0.7512411119350062</v>
      </c>
      <c r="V21" s="42">
        <v>5.2515725500884958E-2</v>
      </c>
      <c r="W21" s="42">
        <v>0.955092866564618</v>
      </c>
      <c r="X21" s="42">
        <v>4.8627214219501669E-2</v>
      </c>
      <c r="Y21" s="42">
        <v>0.95137278578049833</v>
      </c>
      <c r="Z21" s="42">
        <v>0.99999999999998801</v>
      </c>
      <c r="AA21" s="42">
        <v>2.1659689066834469E-14</v>
      </c>
      <c r="AB21" s="42">
        <v>0.99999999999997613</v>
      </c>
      <c r="AC21" s="42">
        <v>2.3901309250039109E-14</v>
      </c>
      <c r="AD21" s="42">
        <v>4.4907133435382003E-2</v>
      </c>
      <c r="AE21" s="42">
        <v>0.96178842758226124</v>
      </c>
      <c r="AF21" s="42">
        <v>4.1486530362206182E-2</v>
      </c>
      <c r="AG21" s="42">
        <v>0.95851346963779382</v>
      </c>
      <c r="AH21" s="42">
        <v>0.99994956179441508</v>
      </c>
      <c r="AI21" s="42">
        <v>6.8727136166595653E-5</v>
      </c>
      <c r="AJ21" s="42">
        <v>0.99993954399936102</v>
      </c>
      <c r="AK21" s="42">
        <v>6.0456000639001708E-5</v>
      </c>
      <c r="AL21" s="42">
        <v>0.99999945612132479</v>
      </c>
      <c r="AM21" s="42">
        <v>7.9707961039300455E-7</v>
      </c>
      <c r="AN21" s="42">
        <v>0.99999929710324098</v>
      </c>
      <c r="AO21" s="42">
        <v>7.0289675904892766E-7</v>
      </c>
      <c r="AP21" s="42">
        <v>0.96025424856792696</v>
      </c>
      <c r="AQ21" s="42">
        <v>4.5528921742181858E-2</v>
      </c>
      <c r="AR21" s="42">
        <v>0.95741604705802219</v>
      </c>
      <c r="AS21" s="42">
        <v>4.2583952941977823E-2</v>
      </c>
      <c r="AT21" s="42">
        <v>1</v>
      </c>
      <c r="AU21" s="42">
        <v>4.0745483613636383E-39</v>
      </c>
      <c r="AV21" s="42">
        <v>1</v>
      </c>
      <c r="AW21" s="42">
        <v>1.300121571603233E-38</v>
      </c>
      <c r="AX21" s="42">
        <v>0.99999999999999989</v>
      </c>
      <c r="AY21" s="42">
        <v>2.9804535640973499E-16</v>
      </c>
      <c r="AZ21" s="42">
        <v>0.99999999999999967</v>
      </c>
      <c r="BA21" s="42">
        <v>3.648972880327134E-16</v>
      </c>
      <c r="BB21" s="42">
        <v>0.93299352963525839</v>
      </c>
      <c r="BC21" s="42">
        <v>7.5689711295737525E-2</v>
      </c>
      <c r="BD21" s="42">
        <v>0.92873392619174178</v>
      </c>
      <c r="BE21" s="42">
        <v>7.126607380825821E-2</v>
      </c>
      <c r="BF21" s="42">
        <v>6.6569854056430112E-3</v>
      </c>
      <c r="BG21" s="18">
        <v>0.99421172315698081</v>
      </c>
      <c r="BH21" s="18">
        <v>6.2209463336887483E-3</v>
      </c>
      <c r="BI21" s="18">
        <v>0.99377905366631125</v>
      </c>
      <c r="BK21" s="19" t="s">
        <v>205</v>
      </c>
    </row>
    <row r="22" spans="1:63" x14ac:dyDescent="0.35">
      <c r="A22" s="18" t="s">
        <v>32</v>
      </c>
      <c r="B22" s="18">
        <v>0.9999996309939132</v>
      </c>
      <c r="C22" s="18">
        <v>5.4387867517963772E-7</v>
      </c>
      <c r="D22" s="18">
        <v>0.99999951974083279</v>
      </c>
      <c r="E22" s="18">
        <v>4.8025916720629359E-7</v>
      </c>
      <c r="F22" s="18">
        <v>7.0771444478710852E-2</v>
      </c>
      <c r="G22" s="18">
        <v>0.93888725506558557</v>
      </c>
      <c r="H22" s="18">
        <v>6.583400801140693E-2</v>
      </c>
      <c r="I22" s="18">
        <v>0.93416599198859307</v>
      </c>
      <c r="J22" s="18">
        <v>0.99999298654494129</v>
      </c>
      <c r="K22" s="18">
        <v>9.8807434232840573E-6</v>
      </c>
      <c r="L22" s="18">
        <v>0.99999132563559712</v>
      </c>
      <c r="M22" s="18">
        <v>8.6743644029296506E-6</v>
      </c>
      <c r="N22" s="42">
        <v>1</v>
      </c>
      <c r="O22" s="42">
        <v>4.0368089073880516E-40</v>
      </c>
      <c r="P22" s="42">
        <v>1</v>
      </c>
      <c r="Q22" s="42">
        <v>9.6630554405166921E-39</v>
      </c>
      <c r="R22" s="42">
        <v>3.5444863431141359E-9</v>
      </c>
      <c r="S22" s="42">
        <v>0.99999999775569159</v>
      </c>
      <c r="T22" s="42">
        <v>3.2357602153254561E-9</v>
      </c>
      <c r="U22" s="42">
        <v>0.99999999676423978</v>
      </c>
      <c r="V22" s="42">
        <v>2.2423766932352069E-4</v>
      </c>
      <c r="W22" s="42">
        <v>0.99983177687150404</v>
      </c>
      <c r="X22" s="42">
        <v>1.9798271821658281E-4</v>
      </c>
      <c r="Y22" s="42">
        <v>0.99980201728178342</v>
      </c>
      <c r="Z22" s="42">
        <v>0.99999999992226063</v>
      </c>
      <c r="AA22" s="42">
        <v>1.279181887347529E-10</v>
      </c>
      <c r="AB22" s="42">
        <v>0.99999999987879273</v>
      </c>
      <c r="AC22" s="42">
        <v>1.212072519999565E-10</v>
      </c>
      <c r="AD22" s="42">
        <v>1.838572134761929E-3</v>
      </c>
      <c r="AE22" s="42">
        <v>0.99855974075723575</v>
      </c>
      <c r="AF22" s="42">
        <v>1.284415763511348E-3</v>
      </c>
      <c r="AG22" s="42">
        <v>0.99871558423648865</v>
      </c>
      <c r="AH22" s="42">
        <v>0.99999999987208177</v>
      </c>
      <c r="AI22" s="42">
        <v>2.0924884743097259E-10</v>
      </c>
      <c r="AJ22" s="42">
        <v>0.99999999980296728</v>
      </c>
      <c r="AK22" s="42">
        <v>1.9703275787215481E-10</v>
      </c>
      <c r="AL22" s="42">
        <v>0.99705135870899886</v>
      </c>
      <c r="AM22" s="42">
        <v>3.7045825410822238E-3</v>
      </c>
      <c r="AN22" s="42">
        <v>0.99667219725852529</v>
      </c>
      <c r="AO22" s="42">
        <v>3.3278027414746841E-3</v>
      </c>
      <c r="AP22" s="42">
        <v>0.88091155336354654</v>
      </c>
      <c r="AQ22" s="42">
        <v>0.13225767047767359</v>
      </c>
      <c r="AR22" s="42">
        <v>0.87444099936276332</v>
      </c>
      <c r="AS22" s="42">
        <v>0.1255590006372366</v>
      </c>
      <c r="AT22" s="42">
        <v>1</v>
      </c>
      <c r="AU22" s="42">
        <v>3.5893598147530843E-17</v>
      </c>
      <c r="AV22" s="42">
        <v>1</v>
      </c>
      <c r="AW22" s="42">
        <v>3.7322073243770539E-17</v>
      </c>
      <c r="AX22" s="42">
        <v>1</v>
      </c>
      <c r="AY22" s="42">
        <v>1.5346390564693779E-18</v>
      </c>
      <c r="AZ22" s="42">
        <v>1</v>
      </c>
      <c r="BA22" s="42">
        <v>2.1901900516412299E-18</v>
      </c>
      <c r="BB22" s="42">
        <v>0.56331564741138507</v>
      </c>
      <c r="BC22" s="42">
        <v>0.46190782651296952</v>
      </c>
      <c r="BD22" s="42">
        <v>0.55073373467072373</v>
      </c>
      <c r="BE22" s="42">
        <v>0.44926626532927622</v>
      </c>
      <c r="BF22" s="42">
        <v>4.5385173808198991E-4</v>
      </c>
      <c r="BG22" s="18">
        <v>0.99962038895999206</v>
      </c>
      <c r="BH22" s="18">
        <v>4.1780030818916458E-4</v>
      </c>
      <c r="BI22" s="18">
        <v>0.99958219969181084</v>
      </c>
      <c r="BK22" s="19" t="s">
        <v>205</v>
      </c>
    </row>
    <row r="23" spans="1:63" x14ac:dyDescent="0.35">
      <c r="A23" s="18" t="s">
        <v>33</v>
      </c>
      <c r="B23" s="18">
        <v>1</v>
      </c>
      <c r="C23" s="18">
        <v>5.1856979116479421E-55</v>
      </c>
      <c r="D23" s="18">
        <v>1</v>
      </c>
      <c r="E23" s="18">
        <v>3.7342438086888599E-52</v>
      </c>
      <c r="F23" s="18">
        <v>1.122218591755879E-3</v>
      </c>
      <c r="G23" s="18">
        <v>0.99913027169606761</v>
      </c>
      <c r="H23" s="18">
        <v>9.9912835415094658E-4</v>
      </c>
      <c r="I23" s="18">
        <v>0.99900087164584905</v>
      </c>
      <c r="J23" s="18">
        <v>1.348421393509673E-8</v>
      </c>
      <c r="K23" s="18">
        <v>0.9999999913119948</v>
      </c>
      <c r="L23" s="18">
        <v>1.216778844348454E-8</v>
      </c>
      <c r="M23" s="18">
        <v>0.99999998783221156</v>
      </c>
      <c r="N23" s="42">
        <v>0.9869488633312915</v>
      </c>
      <c r="O23" s="42">
        <v>1.5809691752536308E-2</v>
      </c>
      <c r="P23" s="42">
        <v>0.98559063337486219</v>
      </c>
      <c r="Q23" s="42">
        <v>1.440936662513778E-2</v>
      </c>
      <c r="R23" s="42">
        <v>0.36724284954996672</v>
      </c>
      <c r="S23" s="42">
        <v>0.66075969318714201</v>
      </c>
      <c r="T23" s="42">
        <v>0.35312798105242671</v>
      </c>
      <c r="U23" s="42">
        <v>0.64687201894757329</v>
      </c>
      <c r="V23" s="42">
        <v>4.9504061134201882E-6</v>
      </c>
      <c r="W23" s="42">
        <v>0.99999652535152628</v>
      </c>
      <c r="X23" s="42">
        <v>4.3479729709972048E-6</v>
      </c>
      <c r="Y23" s="42">
        <v>0.999995652027029</v>
      </c>
      <c r="Z23" s="42">
        <v>1</v>
      </c>
      <c r="AA23" s="42">
        <v>2.527851327681256E-21</v>
      </c>
      <c r="AB23" s="42">
        <v>1</v>
      </c>
      <c r="AC23" s="42">
        <v>9.1795622358505517E-21</v>
      </c>
      <c r="AD23" s="38">
        <v>3.458226107812958E-12</v>
      </c>
      <c r="AE23" s="42">
        <v>0.99999999999798395</v>
      </c>
      <c r="AF23" s="42">
        <v>3.457900632497513E-12</v>
      </c>
      <c r="AG23" s="42">
        <v>0.9999999999965421</v>
      </c>
      <c r="AH23" s="42">
        <v>7.7224614927399764E-19</v>
      </c>
      <c r="AI23" s="42">
        <v>1</v>
      </c>
      <c r="AJ23" s="42">
        <v>0</v>
      </c>
      <c r="AK23" s="42">
        <v>1</v>
      </c>
      <c r="AL23" s="42">
        <v>1</v>
      </c>
      <c r="AM23" s="42">
        <v>4.7695483598372971E-62</v>
      </c>
      <c r="AN23" s="42">
        <v>1</v>
      </c>
      <c r="AO23" s="42">
        <v>2.616662805927859E-58</v>
      </c>
      <c r="AP23" s="42">
        <v>0.46190782651296952</v>
      </c>
      <c r="AQ23" s="42">
        <v>0.56331564741138507</v>
      </c>
      <c r="AR23" s="42">
        <v>0.44926626532927483</v>
      </c>
      <c r="AS23" s="42">
        <v>0.55073373467072517</v>
      </c>
      <c r="AT23" s="42">
        <v>1.079163552591287E-53</v>
      </c>
      <c r="AU23" s="42">
        <v>1</v>
      </c>
      <c r="AV23" s="42">
        <v>0</v>
      </c>
      <c r="AW23" s="42">
        <v>1</v>
      </c>
      <c r="AX23" s="42">
        <v>1</v>
      </c>
      <c r="AY23" s="42">
        <v>5.5727158589487565E-48</v>
      </c>
      <c r="AZ23" s="42">
        <v>1</v>
      </c>
      <c r="BA23" s="42">
        <v>6.9224223716449627E-46</v>
      </c>
      <c r="BB23" s="38">
        <v>8.1600475553627389E-6</v>
      </c>
      <c r="BC23" s="42">
        <v>0.99999390419284429</v>
      </c>
      <c r="BD23" s="42">
        <v>7.2707430692764419E-6</v>
      </c>
      <c r="BE23" s="42">
        <v>0.99999272925693072</v>
      </c>
      <c r="BF23" s="42">
        <v>0.29308490894709688</v>
      </c>
      <c r="BG23" s="18">
        <v>0.72370613686326046</v>
      </c>
      <c r="BH23" s="18">
        <v>0.28462361581175383</v>
      </c>
      <c r="BI23" s="18">
        <v>0.71537638418824623</v>
      </c>
      <c r="BK23" s="19" t="s">
        <v>205</v>
      </c>
    </row>
    <row r="24" spans="1:63" x14ac:dyDescent="0.35">
      <c r="A24" s="18" t="s">
        <v>34</v>
      </c>
      <c r="B24" s="18">
        <v>1</v>
      </c>
      <c r="C24" s="18">
        <v>6.5456300674276173E-83</v>
      </c>
      <c r="D24" s="18">
        <v>1</v>
      </c>
      <c r="E24" s="18">
        <v>3.0383797633722828E-75</v>
      </c>
      <c r="F24" s="18">
        <v>0.42527252356759487</v>
      </c>
      <c r="G24" s="18">
        <v>0.60403040402144836</v>
      </c>
      <c r="H24" s="18">
        <v>0.41054879177597958</v>
      </c>
      <c r="I24" s="18">
        <v>0.58945120822402042</v>
      </c>
      <c r="J24" s="18">
        <v>5.7444478971644066E-23</v>
      </c>
      <c r="K24" s="18">
        <v>1</v>
      </c>
      <c r="L24" s="18">
        <v>0</v>
      </c>
      <c r="M24" s="18">
        <v>1</v>
      </c>
      <c r="N24" s="42">
        <v>0.99948598562048263</v>
      </c>
      <c r="O24" s="42">
        <v>6.7042759450837246E-4</v>
      </c>
      <c r="P24" s="42">
        <v>0.9994049598082726</v>
      </c>
      <c r="Q24" s="42">
        <v>5.9504019172738302E-4</v>
      </c>
      <c r="R24" s="42">
        <v>0.90645347017408007</v>
      </c>
      <c r="S24" s="42">
        <v>0.1067839002741523</v>
      </c>
      <c r="T24" s="42">
        <v>0.89997747274533557</v>
      </c>
      <c r="U24" s="42">
        <v>0.1000225272546645</v>
      </c>
      <c r="V24" s="42">
        <v>4.9504061134201882E-6</v>
      </c>
      <c r="W24" s="42">
        <v>0.99999652535152628</v>
      </c>
      <c r="X24" s="42">
        <v>4.3479729709972048E-6</v>
      </c>
      <c r="Y24" s="42">
        <v>0.999995652027029</v>
      </c>
      <c r="Z24" s="42">
        <v>1</v>
      </c>
      <c r="AA24" s="42">
        <v>1.948076402871339E-44</v>
      </c>
      <c r="AB24" s="42">
        <v>1</v>
      </c>
      <c r="AC24" s="42">
        <v>1.1052324561334901E-42</v>
      </c>
      <c r="AD24" s="42">
        <v>1.2551204111500489E-4</v>
      </c>
      <c r="AE24" s="42">
        <v>0.99990686743660029</v>
      </c>
      <c r="AF24" s="42">
        <v>1.105881762928362E-4</v>
      </c>
      <c r="AG24" s="42">
        <v>0.99988941182370716</v>
      </c>
      <c r="AH24" s="38">
        <v>4.9411160066861492E-25</v>
      </c>
      <c r="AI24" s="42">
        <v>1</v>
      </c>
      <c r="AJ24" s="42">
        <v>0</v>
      </c>
      <c r="AK24" s="42">
        <v>1</v>
      </c>
      <c r="AL24" s="42">
        <v>1</v>
      </c>
      <c r="AM24" s="42">
        <v>1.0887134573828851E-67</v>
      </c>
      <c r="AN24" s="42">
        <v>1</v>
      </c>
      <c r="AO24" s="42">
        <v>3.7120470901901131E-63</v>
      </c>
      <c r="AP24" s="42">
        <v>0.99901426546769834</v>
      </c>
      <c r="AQ24" s="42">
        <v>1.220373200575612E-3</v>
      </c>
      <c r="AR24" s="42">
        <v>0.99889467490842754</v>
      </c>
      <c r="AS24" s="42">
        <v>1.1053250915724509E-3</v>
      </c>
      <c r="AT24" s="38">
        <v>2.6140504054922549E-67</v>
      </c>
      <c r="AU24" s="42">
        <v>1</v>
      </c>
      <c r="AV24" s="42">
        <v>0</v>
      </c>
      <c r="AW24" s="42">
        <v>1</v>
      </c>
      <c r="AX24" s="42">
        <v>1</v>
      </c>
      <c r="AY24" s="42">
        <v>1.945343773751816E-81</v>
      </c>
      <c r="AZ24" s="42">
        <v>1</v>
      </c>
      <c r="BA24" s="42">
        <v>1.2100716971802989E-74</v>
      </c>
      <c r="BB24" s="42">
        <v>4.0379200663045079E-4</v>
      </c>
      <c r="BC24" s="42">
        <v>0.99968005895227896</v>
      </c>
      <c r="BD24" s="42">
        <v>3.6354292167450902E-4</v>
      </c>
      <c r="BE24" s="42">
        <v>0.99963645707832549</v>
      </c>
      <c r="BF24" s="38">
        <v>1.0636167672362871E-8</v>
      </c>
      <c r="BG24" s="18">
        <v>0.99999999202662226</v>
      </c>
      <c r="BH24" s="18">
        <v>9.6944900995765693E-9</v>
      </c>
      <c r="BI24" s="18">
        <v>0.9999999903055099</v>
      </c>
      <c r="BK24" s="19" t="s">
        <v>205</v>
      </c>
    </row>
    <row r="25" spans="1:63" x14ac:dyDescent="0.35">
      <c r="A25" s="18" t="s">
        <v>35</v>
      </c>
      <c r="B25" s="18">
        <v>0.99999999987208177</v>
      </c>
      <c r="C25" s="18">
        <v>2.0924884743097259E-10</v>
      </c>
      <c r="D25" s="18">
        <v>0.99999999980296728</v>
      </c>
      <c r="E25" s="18">
        <v>1.9703275787215481E-10</v>
      </c>
      <c r="F25" s="18">
        <v>2.425141220284132E-6</v>
      </c>
      <c r="G25" s="18">
        <v>0.99999831688327856</v>
      </c>
      <c r="H25" s="18">
        <v>2.1323387218163958E-6</v>
      </c>
      <c r="I25" s="18">
        <v>0.99999786766127818</v>
      </c>
      <c r="J25" s="18">
        <v>0.99999999999997835</v>
      </c>
      <c r="K25" s="18">
        <v>3.8989699383371863E-14</v>
      </c>
      <c r="L25" s="18">
        <v>0.99999999999995748</v>
      </c>
      <c r="M25" s="18">
        <v>4.2478382908461559E-14</v>
      </c>
      <c r="N25" s="42">
        <v>1</v>
      </c>
      <c r="O25" s="42">
        <v>4.9411160066861492E-25</v>
      </c>
      <c r="P25" s="42">
        <v>1</v>
      </c>
      <c r="Q25" s="42">
        <v>2.7444202244875098E-24</v>
      </c>
      <c r="R25" s="38">
        <v>1.1598697554267099E-17</v>
      </c>
      <c r="S25" s="42">
        <v>1</v>
      </c>
      <c r="T25" s="42">
        <v>0</v>
      </c>
      <c r="U25" s="42">
        <v>1</v>
      </c>
      <c r="V25" s="38">
        <v>2.4113559914503591E-34</v>
      </c>
      <c r="W25" s="42">
        <v>1</v>
      </c>
      <c r="X25" s="42">
        <v>0</v>
      </c>
      <c r="Y25" s="42">
        <v>1</v>
      </c>
      <c r="Z25" s="42">
        <v>0.99999996807690539</v>
      </c>
      <c r="AA25" s="42">
        <v>4.8695444035950358E-8</v>
      </c>
      <c r="AB25" s="42">
        <v>0.99999995646453665</v>
      </c>
      <c r="AC25" s="42">
        <v>4.3535463367751409E-8</v>
      </c>
      <c r="AD25" s="42">
        <v>0.54500593559208865</v>
      </c>
      <c r="AE25" s="42">
        <v>0.4849696355118181</v>
      </c>
      <c r="AF25" s="42">
        <v>0.53004295338662577</v>
      </c>
      <c r="AG25" s="42">
        <v>0.46995704661337417</v>
      </c>
      <c r="AH25" s="42">
        <v>1</v>
      </c>
      <c r="AI25" s="42">
        <v>2.2479212144743419E-17</v>
      </c>
      <c r="AJ25" s="42">
        <v>1</v>
      </c>
      <c r="AK25" s="42">
        <v>2.9566941637776868E-17</v>
      </c>
      <c r="AL25" s="42">
        <v>0.17304251071291021</v>
      </c>
      <c r="AM25" s="42">
        <v>0.84556710823239156</v>
      </c>
      <c r="AN25" s="42">
        <v>0.16356481161757741</v>
      </c>
      <c r="AO25" s="42">
        <v>0.83643518838242259</v>
      </c>
      <c r="AP25" s="42">
        <v>0.66070784679000227</v>
      </c>
      <c r="AQ25" s="42">
        <v>0.36292880816051931</v>
      </c>
      <c r="AR25" s="42">
        <v>0.64897180253652942</v>
      </c>
      <c r="AS25" s="42">
        <v>0.35102819746347058</v>
      </c>
      <c r="AT25" s="42">
        <v>1</v>
      </c>
      <c r="AU25" s="42">
        <v>4.0745483613636383E-39</v>
      </c>
      <c r="AV25" s="42">
        <v>1</v>
      </c>
      <c r="AW25" s="42">
        <v>1.300121571603233E-38</v>
      </c>
      <c r="AX25" s="42">
        <v>0.99999999999798395</v>
      </c>
      <c r="AY25" s="42">
        <v>3.458226107812958E-12</v>
      </c>
      <c r="AZ25" s="42">
        <v>0.9999999999965421</v>
      </c>
      <c r="BA25" s="42">
        <v>3.4579275081758E-12</v>
      </c>
      <c r="BB25" s="42">
        <v>5.6254790749006029E-5</v>
      </c>
      <c r="BC25" s="42">
        <v>0.99995679651160119</v>
      </c>
      <c r="BD25" s="42">
        <v>5.0283886111723852E-5</v>
      </c>
      <c r="BE25" s="42">
        <v>0.99994971611388828</v>
      </c>
      <c r="BF25" s="42">
        <v>0.46057730251719892</v>
      </c>
      <c r="BG25" s="18">
        <v>0.55901376723676344</v>
      </c>
      <c r="BH25" s="18">
        <v>0.45076431460592331</v>
      </c>
      <c r="BI25" s="18">
        <v>0.54923568539407674</v>
      </c>
      <c r="BK25" s="19" t="s">
        <v>205</v>
      </c>
    </row>
    <row r="26" spans="1:63" x14ac:dyDescent="0.35">
      <c r="A26" s="20" t="s">
        <v>36</v>
      </c>
      <c r="B26" s="20">
        <v>4.9411160066861492E-25</v>
      </c>
      <c r="C26" s="20">
        <v>1</v>
      </c>
      <c r="D26" s="20">
        <v>0</v>
      </c>
      <c r="E26" s="20">
        <v>1</v>
      </c>
      <c r="F26" s="20">
        <v>0.99999999999798395</v>
      </c>
      <c r="G26" s="20">
        <v>3.458226107812958E-12</v>
      </c>
      <c r="H26" s="20">
        <v>0.9999999999965421</v>
      </c>
      <c r="I26" s="20">
        <v>3.4579275081758E-12</v>
      </c>
      <c r="J26" s="20">
        <v>0.91843865693126425</v>
      </c>
      <c r="K26" s="20">
        <v>9.3546529825919919E-2</v>
      </c>
      <c r="L26" s="20">
        <v>0.91257778319479266</v>
      </c>
      <c r="M26" s="20">
        <v>8.7422216805207342E-2</v>
      </c>
      <c r="N26" s="43">
        <v>3.5444863431141359E-9</v>
      </c>
      <c r="O26" s="43">
        <v>0.99999999775569159</v>
      </c>
      <c r="P26" s="43">
        <v>3.2357602153254561E-9</v>
      </c>
      <c r="Q26" s="43">
        <v>0.99999999676423978</v>
      </c>
      <c r="R26" s="43">
        <v>0.99999999979075116</v>
      </c>
      <c r="S26" s="43">
        <v>3.402815753304427E-10</v>
      </c>
      <c r="T26" s="43">
        <v>0.99999999968148079</v>
      </c>
      <c r="U26" s="43">
        <v>3.1851926549481152E-10</v>
      </c>
      <c r="V26" s="43">
        <v>0.99999298654494129</v>
      </c>
      <c r="W26" s="43">
        <v>9.8807434232840573E-6</v>
      </c>
      <c r="X26" s="43">
        <v>0.99999132563559712</v>
      </c>
      <c r="Y26" s="43">
        <v>8.6743644029296506E-6</v>
      </c>
      <c r="Z26" s="43">
        <v>9.3132563399741616E-5</v>
      </c>
      <c r="AA26" s="43">
        <v>0.99993127286383343</v>
      </c>
      <c r="AB26" s="43">
        <v>8.1986969491132378E-5</v>
      </c>
      <c r="AC26" s="43">
        <v>0.99991801303050887</v>
      </c>
      <c r="AD26" s="43">
        <v>1</v>
      </c>
      <c r="AE26" s="43">
        <v>1.9276980083773721E-46</v>
      </c>
      <c r="AF26" s="43">
        <v>1</v>
      </c>
      <c r="AG26" s="43">
        <v>1.6896140808242419E-44</v>
      </c>
      <c r="AH26" s="43">
        <v>2.6718596037924099E-5</v>
      </c>
      <c r="AI26" s="43">
        <v>0.99998071475817496</v>
      </c>
      <c r="AJ26" s="43">
        <v>2.346592452884266E-5</v>
      </c>
      <c r="AK26" s="43">
        <v>0.99997653407547116</v>
      </c>
      <c r="AL26" s="43">
        <v>1.208205309470976E-23</v>
      </c>
      <c r="AM26" s="43">
        <v>1</v>
      </c>
      <c r="AN26" s="43">
        <v>0</v>
      </c>
      <c r="AO26" s="43">
        <v>1</v>
      </c>
      <c r="AP26" s="43">
        <v>0.9999996310375634</v>
      </c>
      <c r="AQ26" s="43">
        <v>5.1202790114057245E-7</v>
      </c>
      <c r="AR26" s="43">
        <v>0.99999954308449535</v>
      </c>
      <c r="AS26" s="43">
        <v>4.5691550463889449E-7</v>
      </c>
      <c r="AT26" s="43">
        <v>0.99999999999999778</v>
      </c>
      <c r="AU26" s="43">
        <v>3.2423801973958432E-15</v>
      </c>
      <c r="AV26" s="43">
        <v>0.99999999999999678</v>
      </c>
      <c r="AW26" s="43">
        <v>3.2198097325126299E-15</v>
      </c>
      <c r="AX26" s="43">
        <v>6.3788292383545346E-34</v>
      </c>
      <c r="AY26" s="43">
        <v>1</v>
      </c>
      <c r="AZ26" s="43">
        <v>0</v>
      </c>
      <c r="BA26" s="43">
        <v>1</v>
      </c>
      <c r="BB26" s="43">
        <v>1</v>
      </c>
      <c r="BC26" s="43">
        <v>8.4299803814425279E-21</v>
      </c>
      <c r="BD26" s="43">
        <v>1</v>
      </c>
      <c r="BE26" s="43">
        <v>1.177718561281077E-20</v>
      </c>
      <c r="BF26" s="43">
        <v>0.99125377297882156</v>
      </c>
      <c r="BG26" s="20">
        <v>9.9917285800402017E-3</v>
      </c>
      <c r="BH26" s="20">
        <v>0.99063547060362467</v>
      </c>
      <c r="BI26" s="20">
        <v>9.3645293963752849E-3</v>
      </c>
      <c r="BK26" s="21" t="s">
        <v>216</v>
      </c>
    </row>
    <row r="27" spans="1:63" x14ac:dyDescent="0.35">
      <c r="A27" s="20" t="s">
        <v>37</v>
      </c>
      <c r="B27" s="20">
        <v>1.576497202618777E-16</v>
      </c>
      <c r="C27" s="20">
        <v>0.99999999999999989</v>
      </c>
      <c r="D27" s="20">
        <v>2.2204460492503131E-16</v>
      </c>
      <c r="E27" s="20">
        <v>0.99999999999999978</v>
      </c>
      <c r="F27" s="20">
        <v>0.9999999913119948</v>
      </c>
      <c r="G27" s="20">
        <v>1.348421393509673E-8</v>
      </c>
      <c r="H27" s="20">
        <v>0.99999998783221156</v>
      </c>
      <c r="I27" s="20">
        <v>1.2167788454856519E-8</v>
      </c>
      <c r="J27" s="20">
        <v>0.78565405479424744</v>
      </c>
      <c r="K27" s="20">
        <v>0.23698086456375611</v>
      </c>
      <c r="L27" s="20">
        <v>0.77450884036555889</v>
      </c>
      <c r="M27" s="20">
        <v>0.22549115963444111</v>
      </c>
      <c r="N27" s="38">
        <v>5.285215232807774E-21</v>
      </c>
      <c r="O27" s="43">
        <v>1</v>
      </c>
      <c r="P27" s="43">
        <v>0</v>
      </c>
      <c r="Q27" s="43">
        <v>1</v>
      </c>
      <c r="R27" s="43">
        <v>1</v>
      </c>
      <c r="S27" s="43">
        <v>7.7224614927399764E-19</v>
      </c>
      <c r="T27" s="43">
        <v>1</v>
      </c>
      <c r="U27" s="43">
        <v>1.126702200502399E-18</v>
      </c>
      <c r="V27" s="43">
        <v>0.76301913543624389</v>
      </c>
      <c r="W27" s="43">
        <v>0.26086961327395092</v>
      </c>
      <c r="X27" s="43">
        <v>0.7512411119350052</v>
      </c>
      <c r="Y27" s="43">
        <v>0.2487588880649948</v>
      </c>
      <c r="Z27" s="38">
        <v>2.527851327681256E-21</v>
      </c>
      <c r="AA27" s="43">
        <v>1</v>
      </c>
      <c r="AB27" s="43">
        <v>0</v>
      </c>
      <c r="AC27" s="43">
        <v>1</v>
      </c>
      <c r="AD27" s="43">
        <v>1</v>
      </c>
      <c r="AE27" s="43">
        <v>6.3788292383545346E-34</v>
      </c>
      <c r="AF27" s="43">
        <v>1</v>
      </c>
      <c r="AG27" s="43">
        <v>5.2679007680601183E-33</v>
      </c>
      <c r="AH27" s="43">
        <v>1.9053548193704001E-2</v>
      </c>
      <c r="AI27" s="43">
        <v>0.98419030824746367</v>
      </c>
      <c r="AJ27" s="43">
        <v>1.7404239405933501E-2</v>
      </c>
      <c r="AK27" s="43">
        <v>0.9825957605940665</v>
      </c>
      <c r="AL27" s="38">
        <v>1.6755297730258412E-33</v>
      </c>
      <c r="AM27" s="43">
        <v>1</v>
      </c>
      <c r="AN27" s="43">
        <v>0</v>
      </c>
      <c r="AO27" s="43">
        <v>1</v>
      </c>
      <c r="AP27" s="43">
        <v>0.99412508576870617</v>
      </c>
      <c r="AQ27" s="43">
        <v>7.0301879699863909E-3</v>
      </c>
      <c r="AR27" s="43">
        <v>0.99355056303245914</v>
      </c>
      <c r="AS27" s="43">
        <v>6.4494369675408619E-3</v>
      </c>
      <c r="AT27" s="43">
        <v>0.99999587518426136</v>
      </c>
      <c r="AU27" s="43">
        <v>5.1933716582758664E-6</v>
      </c>
      <c r="AV27" s="43">
        <v>0.99999527857781301</v>
      </c>
      <c r="AW27" s="43">
        <v>4.721422187028885E-6</v>
      </c>
      <c r="AX27" s="43">
        <v>2.0160533626992649E-12</v>
      </c>
      <c r="AY27" s="43">
        <v>0.99999999999883171</v>
      </c>
      <c r="AZ27" s="43">
        <v>2.0345947149280619E-12</v>
      </c>
      <c r="BA27" s="43">
        <v>0.99999999999796541</v>
      </c>
      <c r="BB27" s="43">
        <v>0.98090003849419005</v>
      </c>
      <c r="BC27" s="43">
        <v>2.227476070264894E-2</v>
      </c>
      <c r="BD27" s="43">
        <v>0.97933705908858992</v>
      </c>
      <c r="BE27" s="43">
        <v>2.066294091141007E-2</v>
      </c>
      <c r="BF27" s="43">
        <v>0.99761418592448126</v>
      </c>
      <c r="BG27" s="20">
        <v>2.7812846673214439E-3</v>
      </c>
      <c r="BH27" s="20">
        <v>0.99741551212917279</v>
      </c>
      <c r="BI27" s="20">
        <v>2.5844878708271971E-3</v>
      </c>
      <c r="BK27" s="21" t="s">
        <v>216</v>
      </c>
    </row>
    <row r="28" spans="1:63" x14ac:dyDescent="0.35">
      <c r="A28" s="20" t="s">
        <v>38</v>
      </c>
      <c r="B28" s="20">
        <v>1.5346390564693779E-18</v>
      </c>
      <c r="C28" s="20">
        <v>1</v>
      </c>
      <c r="D28" s="20">
        <v>0</v>
      </c>
      <c r="E28" s="20">
        <v>1</v>
      </c>
      <c r="F28" s="20">
        <v>0.99999999999997835</v>
      </c>
      <c r="G28" s="20">
        <v>3.8989699383371863E-14</v>
      </c>
      <c r="H28" s="20">
        <v>0.99999999999995748</v>
      </c>
      <c r="I28" s="20">
        <v>4.2478382908461559E-14</v>
      </c>
      <c r="J28" s="20">
        <v>1.07186411397128E-2</v>
      </c>
      <c r="K28" s="20">
        <v>0.99124236032330704</v>
      </c>
      <c r="L28" s="20">
        <v>9.727058132618871E-3</v>
      </c>
      <c r="M28" s="20">
        <v>0.99027294186738113</v>
      </c>
      <c r="N28" s="43">
        <v>1.113695060809213E-7</v>
      </c>
      <c r="O28" s="43">
        <v>0.99999992614603173</v>
      </c>
      <c r="P28" s="43">
        <v>9.9071855386156926E-8</v>
      </c>
      <c r="Q28" s="43">
        <v>0.99999990092814461</v>
      </c>
      <c r="R28" s="43">
        <v>1</v>
      </c>
      <c r="S28" s="43">
        <v>1.2013044069375279E-21</v>
      </c>
      <c r="T28" s="43">
        <v>1</v>
      </c>
      <c r="U28" s="43">
        <v>2.2080482742620952E-21</v>
      </c>
      <c r="V28" s="43">
        <v>0.90645347017408007</v>
      </c>
      <c r="W28" s="43">
        <v>0.1067839002741523</v>
      </c>
      <c r="X28" s="43">
        <v>0.89997747274533557</v>
      </c>
      <c r="Y28" s="43">
        <v>0.1000225272546645</v>
      </c>
      <c r="Z28" s="43">
        <v>7.9707961039300455E-7</v>
      </c>
      <c r="AA28" s="43">
        <v>0.99999945612132479</v>
      </c>
      <c r="AB28" s="43">
        <v>7.028967590194668E-7</v>
      </c>
      <c r="AC28" s="43">
        <v>0.99999929710324098</v>
      </c>
      <c r="AD28" s="43">
        <v>1</v>
      </c>
      <c r="AE28" s="43">
        <v>1.885928027292221E-31</v>
      </c>
      <c r="AF28" s="43">
        <v>1</v>
      </c>
      <c r="AG28" s="43">
        <v>1.0791074548134779E-30</v>
      </c>
      <c r="AH28" s="38">
        <v>3.1923094571434119E-8</v>
      </c>
      <c r="AI28" s="43">
        <v>0.99999997919254269</v>
      </c>
      <c r="AJ28" s="43">
        <v>2.8621812142581859E-8</v>
      </c>
      <c r="AK28" s="43">
        <v>0.99999997137818786</v>
      </c>
      <c r="AL28" s="43">
        <v>6.0128866720584896E-28</v>
      </c>
      <c r="AM28" s="43">
        <v>1</v>
      </c>
      <c r="AN28" s="43">
        <v>0</v>
      </c>
      <c r="AO28" s="43">
        <v>1</v>
      </c>
      <c r="AP28" s="43">
        <v>1</v>
      </c>
      <c r="AQ28" s="43">
        <v>5.4903211090487047E-19</v>
      </c>
      <c r="AR28" s="43">
        <v>1</v>
      </c>
      <c r="AS28" s="43">
        <v>6.9292290393337892E-19</v>
      </c>
      <c r="AT28" s="43">
        <v>0.8134953038914281</v>
      </c>
      <c r="AU28" s="43">
        <v>0.2000745154932691</v>
      </c>
      <c r="AV28" s="43">
        <v>0.80678611743958184</v>
      </c>
      <c r="AW28" s="43">
        <v>0.19321388256041819</v>
      </c>
      <c r="AX28" s="38">
        <v>2.66113438101818E-22</v>
      </c>
      <c r="AY28" s="43">
        <v>1</v>
      </c>
      <c r="AZ28" s="43">
        <v>0</v>
      </c>
      <c r="BA28" s="43">
        <v>1</v>
      </c>
      <c r="BB28" s="43">
        <v>0.99999999999999878</v>
      </c>
      <c r="BC28" s="43">
        <v>2.0650291391172052E-15</v>
      </c>
      <c r="BD28" s="43">
        <v>0.99999999999999778</v>
      </c>
      <c r="BE28" s="43">
        <v>2.2137157838849269E-15</v>
      </c>
      <c r="BF28" s="43">
        <v>0.99978093944285029</v>
      </c>
      <c r="BG28" s="20">
        <v>2.6373359144955978E-4</v>
      </c>
      <c r="BH28" s="20">
        <v>0.99975776687787021</v>
      </c>
      <c r="BI28" s="20">
        <v>2.4223312212975459E-4</v>
      </c>
      <c r="BK28" s="21" t="s">
        <v>216</v>
      </c>
    </row>
    <row r="29" spans="1:63" x14ac:dyDescent="0.35">
      <c r="A29" s="16" t="s">
        <v>39</v>
      </c>
      <c r="B29" s="16">
        <v>5.140143795173258E-4</v>
      </c>
      <c r="C29" s="16">
        <v>0.99960803532611964</v>
      </c>
      <c r="D29" s="16">
        <v>4.555594385768913E-4</v>
      </c>
      <c r="E29" s="16">
        <v>0.99954444056142311</v>
      </c>
      <c r="F29" s="16">
        <v>0.93888725506558557</v>
      </c>
      <c r="G29" s="16">
        <v>7.0771444478710852E-2</v>
      </c>
      <c r="H29" s="16">
        <v>0.93416599198859274</v>
      </c>
      <c r="I29" s="16">
        <v>6.5834008011407277E-2</v>
      </c>
      <c r="J29" s="16">
        <v>1.682231284959967E-4</v>
      </c>
      <c r="K29" s="16">
        <v>0.99987448795888501</v>
      </c>
      <c r="L29" s="16">
        <v>1.4836615564661759E-4</v>
      </c>
      <c r="M29" s="16">
        <v>0.99985163384435338</v>
      </c>
      <c r="N29" s="41">
        <v>0.99993127286383343</v>
      </c>
      <c r="O29" s="41">
        <v>9.3132563399741616E-5</v>
      </c>
      <c r="P29" s="41">
        <v>0.99991801303050887</v>
      </c>
      <c r="Q29" s="41">
        <v>8.1986969491158737E-5</v>
      </c>
      <c r="R29" s="41">
        <v>0.36724284954996672</v>
      </c>
      <c r="S29" s="41">
        <v>0.66075969318714201</v>
      </c>
      <c r="T29" s="41">
        <v>0.35312798105242671</v>
      </c>
      <c r="U29" s="41">
        <v>0.64687201894757329</v>
      </c>
      <c r="V29" s="41">
        <v>3.7045825410822238E-3</v>
      </c>
      <c r="W29" s="41">
        <v>0.99705135870899886</v>
      </c>
      <c r="X29" s="41">
        <v>3.3278027414747058E-3</v>
      </c>
      <c r="Y29" s="41">
        <v>0.99667219725852529</v>
      </c>
      <c r="Z29" s="41">
        <v>3.8211572417738697E-2</v>
      </c>
      <c r="AA29" s="41">
        <v>0.9676470434726987</v>
      </c>
      <c r="AB29" s="41">
        <v>3.5220214636044078E-2</v>
      </c>
      <c r="AC29" s="41">
        <v>0.96477978536395592</v>
      </c>
      <c r="AD29" s="41">
        <v>0.97715363504431529</v>
      </c>
      <c r="AE29" s="41">
        <v>2.7255805301668649E-2</v>
      </c>
      <c r="AF29" s="41">
        <v>0.97499180225717708</v>
      </c>
      <c r="AG29" s="41">
        <v>2.5008197742822879E-2</v>
      </c>
      <c r="AH29" s="41">
        <v>8.1561343068735734E-2</v>
      </c>
      <c r="AI29" s="41">
        <v>0.92922855552128913</v>
      </c>
      <c r="AJ29" s="41">
        <v>7.6046316240789946E-2</v>
      </c>
      <c r="AK29" s="41">
        <v>0.92395368375921005</v>
      </c>
      <c r="AL29" s="41">
        <v>9.8807434232840573E-6</v>
      </c>
      <c r="AM29" s="41">
        <v>0.99999298654494129</v>
      </c>
      <c r="AN29" s="41">
        <v>8.6743644028830502E-6</v>
      </c>
      <c r="AO29" s="41">
        <v>0.99999132563559712</v>
      </c>
      <c r="AP29" s="41">
        <v>0.86774232952232644</v>
      </c>
      <c r="AQ29" s="41">
        <v>0.14639725818087859</v>
      </c>
      <c r="AR29" s="41">
        <v>0.86079108721220654</v>
      </c>
      <c r="AS29" s="41">
        <v>0.13920891278779349</v>
      </c>
      <c r="AT29" s="41">
        <v>0.42153851230015671</v>
      </c>
      <c r="AU29" s="41">
        <v>0.59771970540567021</v>
      </c>
      <c r="AV29" s="41">
        <v>0.41187867329510047</v>
      </c>
      <c r="AW29" s="41">
        <v>0.58812132670489947</v>
      </c>
      <c r="AX29" s="41">
        <v>0.80697951600757256</v>
      </c>
      <c r="AY29" s="41">
        <v>0.21434594520575251</v>
      </c>
      <c r="AZ29" s="41">
        <v>0.79649198636431284</v>
      </c>
      <c r="BA29" s="41">
        <v>0.20350801363568721</v>
      </c>
      <c r="BB29" s="41">
        <v>0.99594302973241455</v>
      </c>
      <c r="BC29" s="41">
        <v>4.8911942996628134E-3</v>
      </c>
      <c r="BD29" s="41">
        <v>0.99552639311308277</v>
      </c>
      <c r="BE29" s="41">
        <v>4.473606886917194E-3</v>
      </c>
      <c r="BF29" s="41">
        <v>1.3208770367791271E-12</v>
      </c>
      <c r="BG29" s="16">
        <v>0.99999999999907563</v>
      </c>
      <c r="BH29" s="16">
        <v>1.2513323710550139E-12</v>
      </c>
      <c r="BI29" s="16">
        <v>0.99999999999874867</v>
      </c>
      <c r="BK29" s="17" t="s">
        <v>223</v>
      </c>
    </row>
    <row r="30" spans="1:63" x14ac:dyDescent="0.35">
      <c r="A30" s="16" t="s">
        <v>40</v>
      </c>
      <c r="B30" s="16">
        <v>0.99999999999883171</v>
      </c>
      <c r="C30" s="16">
        <v>2.0160533626992649E-12</v>
      </c>
      <c r="D30" s="16">
        <v>0.99999999999796541</v>
      </c>
      <c r="E30" s="16">
        <v>2.0345435644841639E-12</v>
      </c>
      <c r="F30" s="16">
        <v>0.99999995130455599</v>
      </c>
      <c r="G30" s="16">
        <v>7.3853968232725039E-8</v>
      </c>
      <c r="H30" s="16">
        <v>0.99999993414425803</v>
      </c>
      <c r="I30" s="16">
        <v>6.5855741945611969E-8</v>
      </c>
      <c r="J30" s="16">
        <v>2.7255805301668649E-2</v>
      </c>
      <c r="K30" s="16">
        <v>0.97715363504431529</v>
      </c>
      <c r="L30" s="16">
        <v>2.5008197742822699E-2</v>
      </c>
      <c r="M30" s="16">
        <v>0.9749918022571773</v>
      </c>
      <c r="N30" s="41">
        <v>0.99999999987208177</v>
      </c>
      <c r="O30" s="41">
        <v>2.0924884743097259E-10</v>
      </c>
      <c r="P30" s="41">
        <v>0.99999999980296728</v>
      </c>
      <c r="Q30" s="41">
        <v>1.9703275787215481E-10</v>
      </c>
      <c r="R30" s="41">
        <v>0.99994956179441508</v>
      </c>
      <c r="S30" s="41">
        <v>6.8727136166595653E-5</v>
      </c>
      <c r="T30" s="41">
        <v>0.99993954399936102</v>
      </c>
      <c r="U30" s="41">
        <v>6.0456000639001708E-5</v>
      </c>
      <c r="V30" s="38">
        <v>2.527851327681256E-21</v>
      </c>
      <c r="W30" s="41">
        <v>1</v>
      </c>
      <c r="X30" s="41">
        <v>0</v>
      </c>
      <c r="Y30" s="41">
        <v>1</v>
      </c>
      <c r="Z30" s="41">
        <v>1</v>
      </c>
      <c r="AA30" s="41">
        <v>9.6049905137288658E-26</v>
      </c>
      <c r="AB30" s="41">
        <v>1</v>
      </c>
      <c r="AC30" s="41">
        <v>2.6664826888956972E-25</v>
      </c>
      <c r="AD30" s="41">
        <v>0.92922855552128913</v>
      </c>
      <c r="AE30" s="41">
        <v>8.1561343068735734E-2</v>
      </c>
      <c r="AF30" s="41">
        <v>0.92395368375921005</v>
      </c>
      <c r="AG30" s="41">
        <v>7.6046316240789988E-2</v>
      </c>
      <c r="AH30" s="38">
        <v>3.402815753304427E-10</v>
      </c>
      <c r="AI30" s="41">
        <v>0.99999999979075116</v>
      </c>
      <c r="AJ30" s="41">
        <v>3.1851921100667369E-10</v>
      </c>
      <c r="AK30" s="41">
        <v>0.99999999968148079</v>
      </c>
      <c r="AL30" s="41">
        <v>0.97715363504431529</v>
      </c>
      <c r="AM30" s="41">
        <v>2.7255805301668649E-2</v>
      </c>
      <c r="AN30" s="41">
        <v>0.97499180225717708</v>
      </c>
      <c r="AO30" s="41">
        <v>2.5008197742822879E-2</v>
      </c>
      <c r="AP30" s="41">
        <v>0.99999999639687387</v>
      </c>
      <c r="AQ30" s="41">
        <v>5.2716344514879012E-9</v>
      </c>
      <c r="AR30" s="41">
        <v>0.99999999521532545</v>
      </c>
      <c r="AS30" s="41">
        <v>4.7846745409718489E-9</v>
      </c>
      <c r="AT30" s="41">
        <v>9.0609765053783109E-4</v>
      </c>
      <c r="AU30" s="41">
        <v>0.99923508635261349</v>
      </c>
      <c r="AV30" s="41">
        <v>8.36827186579292E-4</v>
      </c>
      <c r="AW30" s="41">
        <v>0.99916317281342071</v>
      </c>
      <c r="AX30" s="41">
        <v>0.99999504959388663</v>
      </c>
      <c r="AY30" s="41">
        <v>7.0134550586825282E-6</v>
      </c>
      <c r="AZ30" s="41">
        <v>0.99999384191193175</v>
      </c>
      <c r="BA30" s="41">
        <v>6.1580880682640709E-6</v>
      </c>
      <c r="BB30" s="41">
        <v>0.99999999999993083</v>
      </c>
      <c r="BC30" s="41">
        <v>1.123331919491978E-13</v>
      </c>
      <c r="BD30" s="41">
        <v>0.99999999999988676</v>
      </c>
      <c r="BE30" s="41">
        <v>1.132597381709036E-13</v>
      </c>
      <c r="BF30" s="38">
        <v>2.5281739544321941E-22</v>
      </c>
      <c r="BG30" s="16">
        <v>1</v>
      </c>
      <c r="BH30" s="16">
        <v>0</v>
      </c>
      <c r="BI30" s="16">
        <v>1</v>
      </c>
      <c r="BK30" s="17" t="s">
        <v>223</v>
      </c>
    </row>
    <row r="31" spans="1:63" x14ac:dyDescent="0.35">
      <c r="A31" s="16" t="s">
        <v>41</v>
      </c>
      <c r="B31" s="16">
        <v>3.4746484737434672E-6</v>
      </c>
      <c r="C31" s="16">
        <v>0.99999757485877971</v>
      </c>
      <c r="D31" s="16">
        <v>3.05321787952284E-6</v>
      </c>
      <c r="E31" s="16">
        <v>0.99999694678212048</v>
      </c>
      <c r="F31" s="16">
        <v>0.99999999858720068</v>
      </c>
      <c r="G31" s="16">
        <v>2.2443084356065412E-9</v>
      </c>
      <c r="H31" s="16">
        <v>0.99999999794210426</v>
      </c>
      <c r="I31" s="16">
        <v>2.057895758847207E-9</v>
      </c>
      <c r="J31" s="16">
        <v>0.99629541745891781</v>
      </c>
      <c r="K31" s="16">
        <v>4.6298355537997774E-3</v>
      </c>
      <c r="L31" s="16">
        <v>0.99583292771109133</v>
      </c>
      <c r="M31" s="16">
        <v>4.1670722889086756E-3</v>
      </c>
      <c r="N31" s="41">
        <v>0.99629541745891781</v>
      </c>
      <c r="O31" s="41">
        <v>4.6298355537997774E-3</v>
      </c>
      <c r="P31" s="41">
        <v>0.99583292771109133</v>
      </c>
      <c r="Q31" s="41">
        <v>4.1670722889086756E-3</v>
      </c>
      <c r="R31" s="41">
        <v>0.99999757485877971</v>
      </c>
      <c r="S31" s="41">
        <v>3.4746484737434672E-6</v>
      </c>
      <c r="T31" s="41">
        <v>0.99999694678212048</v>
      </c>
      <c r="U31" s="41">
        <v>3.0532178795044568E-6</v>
      </c>
      <c r="V31" s="41">
        <v>0.99999999858720068</v>
      </c>
      <c r="W31" s="41">
        <v>2.2443084356065412E-9</v>
      </c>
      <c r="X31" s="41">
        <v>0.99999999794210426</v>
      </c>
      <c r="Y31" s="41">
        <v>2.057895758847207E-9</v>
      </c>
      <c r="Z31" s="41">
        <v>0.33924030681285811</v>
      </c>
      <c r="AA31" s="41">
        <v>0.68790182259992472</v>
      </c>
      <c r="AB31" s="41">
        <v>0.32553831703891678</v>
      </c>
      <c r="AC31" s="41">
        <v>0.67446168296108322</v>
      </c>
      <c r="AD31" s="41">
        <v>0.99855974075723575</v>
      </c>
      <c r="AE31" s="41">
        <v>1.838572134761929E-3</v>
      </c>
      <c r="AF31" s="41">
        <v>0.99835753791918813</v>
      </c>
      <c r="AG31" s="41">
        <v>1.642462080811845E-3</v>
      </c>
      <c r="AH31" s="41">
        <v>0.4849696355118181</v>
      </c>
      <c r="AI31" s="41">
        <v>0.54500593559208865</v>
      </c>
      <c r="AJ31" s="41">
        <v>0.46995704661337301</v>
      </c>
      <c r="AK31" s="41">
        <v>0.53004295338662699</v>
      </c>
      <c r="AL31" s="38">
        <v>4.6966155646112112E-11</v>
      </c>
      <c r="AM31" s="41">
        <v>0.9999999999717929</v>
      </c>
      <c r="AN31" s="41">
        <v>4.5109360691242273E-11</v>
      </c>
      <c r="AO31" s="41">
        <v>0.99999999995489064</v>
      </c>
      <c r="AP31" s="41">
        <v>0.99936422855090112</v>
      </c>
      <c r="AQ31" s="41">
        <v>7.9316601342255938E-4</v>
      </c>
      <c r="AR31" s="41">
        <v>0.99928340882733779</v>
      </c>
      <c r="AS31" s="41">
        <v>7.1659117266223329E-4</v>
      </c>
      <c r="AT31" s="41">
        <v>1.815311837402471E-4</v>
      </c>
      <c r="AU31" s="41">
        <v>0.99984991919105171</v>
      </c>
      <c r="AV31" s="41">
        <v>1.6649355288622661E-4</v>
      </c>
      <c r="AW31" s="41">
        <v>0.99983350644711377</v>
      </c>
      <c r="AX31" s="38">
        <v>1.3842638494642849E-5</v>
      </c>
      <c r="AY31" s="41">
        <v>0.99999011925657677</v>
      </c>
      <c r="AZ31" s="41">
        <v>1.215248034736049E-5</v>
      </c>
      <c r="BA31" s="41">
        <v>0.99998784751965264</v>
      </c>
      <c r="BB31" s="41">
        <v>1</v>
      </c>
      <c r="BC31" s="41">
        <v>3.9620231547523402E-24</v>
      </c>
      <c r="BD31" s="41">
        <v>1</v>
      </c>
      <c r="BE31" s="41">
        <v>6.890802795531515E-24</v>
      </c>
      <c r="BF31" s="41">
        <v>0.99999999989076938</v>
      </c>
      <c r="BG31" s="16">
        <v>1.5078235775279999E-10</v>
      </c>
      <c r="BH31" s="16">
        <v>0.99999999986071431</v>
      </c>
      <c r="BI31" s="16">
        <v>1.3928570910021509E-10</v>
      </c>
      <c r="BK31" s="17" t="s">
        <v>223</v>
      </c>
    </row>
    <row r="32" spans="1:63" x14ac:dyDescent="0.35">
      <c r="A32" s="22" t="s">
        <v>42</v>
      </c>
      <c r="B32" s="22">
        <v>5.7558510126729696E-3</v>
      </c>
      <c r="C32" s="22">
        <v>0.99537016444620019</v>
      </c>
      <c r="D32" s="22">
        <v>5.1908978948508322E-3</v>
      </c>
      <c r="E32" s="22">
        <v>0.99480910210514917</v>
      </c>
      <c r="F32" s="22">
        <v>0.97715363504431529</v>
      </c>
      <c r="G32" s="22">
        <v>2.7255805301668649E-2</v>
      </c>
      <c r="H32" s="22">
        <v>0.97499180225717708</v>
      </c>
      <c r="I32" s="22">
        <v>2.5008197742822879E-2</v>
      </c>
      <c r="J32" s="22">
        <v>0.99999999995303379</v>
      </c>
      <c r="K32" s="22">
        <v>7.773941077768152E-11</v>
      </c>
      <c r="L32" s="22">
        <v>0.99999999992585109</v>
      </c>
      <c r="M32" s="22">
        <v>7.4148960233511592E-11</v>
      </c>
      <c r="N32" s="44">
        <v>0.97715363504431529</v>
      </c>
      <c r="O32" s="44">
        <v>2.7255805301668649E-2</v>
      </c>
      <c r="P32" s="44">
        <v>0.97499180225717708</v>
      </c>
      <c r="Q32" s="44">
        <v>2.5008197742822879E-2</v>
      </c>
      <c r="R32" s="44">
        <v>0.99537016444620019</v>
      </c>
      <c r="S32" s="44">
        <v>5.7558510126729696E-3</v>
      </c>
      <c r="T32" s="44">
        <v>0.99480910210514906</v>
      </c>
      <c r="U32" s="44">
        <v>5.1908978948508964E-3</v>
      </c>
      <c r="V32" s="44">
        <v>0.33924030681285811</v>
      </c>
      <c r="W32" s="44">
        <v>0.68790182259992472</v>
      </c>
      <c r="X32" s="44">
        <v>0.32553831703891678</v>
      </c>
      <c r="Y32" s="44">
        <v>0.67446168296108322</v>
      </c>
      <c r="Z32" s="44">
        <v>0.99766543951883324</v>
      </c>
      <c r="AA32" s="44">
        <v>2.9486412910011898E-3</v>
      </c>
      <c r="AB32" s="44">
        <v>0.99735628298165491</v>
      </c>
      <c r="AC32" s="44">
        <v>2.6437170183450541E-3</v>
      </c>
      <c r="AD32" s="44">
        <v>0.99997328140396202</v>
      </c>
      <c r="AE32" s="44">
        <v>3.6812046908991251E-5</v>
      </c>
      <c r="AF32" s="44">
        <v>0.99996765632974705</v>
      </c>
      <c r="AG32" s="44">
        <v>3.2343670252948268E-5</v>
      </c>
      <c r="AH32" s="44">
        <v>0.99999975106193439</v>
      </c>
      <c r="AI32" s="44">
        <v>3.6900608683083041E-7</v>
      </c>
      <c r="AJ32" s="44">
        <v>0.99999967365599507</v>
      </c>
      <c r="AK32" s="44">
        <v>3.2634400491955672E-7</v>
      </c>
      <c r="AL32" s="44">
        <v>0.78565405479424744</v>
      </c>
      <c r="AM32" s="44">
        <v>0.23698086456375611</v>
      </c>
      <c r="AN32" s="44">
        <v>0.77450884036555889</v>
      </c>
      <c r="AO32" s="44">
        <v>0.22549115963444111</v>
      </c>
      <c r="AP32" s="44">
        <v>0.99999999999999956</v>
      </c>
      <c r="AQ32" s="44">
        <v>7.286550271003536E-16</v>
      </c>
      <c r="AR32" s="44">
        <v>0.99999999999999922</v>
      </c>
      <c r="AS32" s="44">
        <v>7.9524273243847475E-16</v>
      </c>
      <c r="AT32" s="44">
        <v>0.99962038895999206</v>
      </c>
      <c r="AU32" s="44">
        <v>4.5385173808198991E-4</v>
      </c>
      <c r="AV32" s="44">
        <v>0.99958219969181084</v>
      </c>
      <c r="AW32" s="44">
        <v>4.1780030818919283E-4</v>
      </c>
      <c r="AX32" s="44">
        <v>1.305113666870847E-2</v>
      </c>
      <c r="AY32" s="44">
        <v>0.98928135886028723</v>
      </c>
      <c r="AZ32" s="44">
        <v>1.186925762502733E-2</v>
      </c>
      <c r="BA32" s="44">
        <v>0.98813074237497267</v>
      </c>
      <c r="BB32" s="44">
        <v>0.95447107825781818</v>
      </c>
      <c r="BC32" s="44">
        <v>5.1969834598291027E-2</v>
      </c>
      <c r="BD32" s="44">
        <v>0.95131092794959105</v>
      </c>
      <c r="BE32" s="44">
        <v>4.8689072050408948E-2</v>
      </c>
      <c r="BF32" s="44">
        <v>0.99962038895999206</v>
      </c>
      <c r="BG32" s="22">
        <v>4.5385173808198991E-4</v>
      </c>
      <c r="BH32" s="22">
        <v>0.99958219969181084</v>
      </c>
      <c r="BI32" s="22">
        <v>4.1780030818919283E-4</v>
      </c>
      <c r="BK32" s="23" t="s">
        <v>230</v>
      </c>
    </row>
    <row r="33" spans="1:63" x14ac:dyDescent="0.35">
      <c r="A33" s="22" t="s">
        <v>43</v>
      </c>
      <c r="B33" s="22">
        <v>2.9486412910011898E-3</v>
      </c>
      <c r="C33" s="22">
        <v>0.99766543951883324</v>
      </c>
      <c r="D33" s="22">
        <v>2.6437170183449821E-3</v>
      </c>
      <c r="E33" s="22">
        <v>0.99735628298165502</v>
      </c>
      <c r="F33" s="22">
        <v>0.99999999999999645</v>
      </c>
      <c r="G33" s="22">
        <v>6.5633437089035283E-15</v>
      </c>
      <c r="H33" s="22">
        <v>0.99999999999998668</v>
      </c>
      <c r="I33" s="22">
        <v>1.3373566472415501E-14</v>
      </c>
      <c r="J33" s="22">
        <v>0.99999999944987261</v>
      </c>
      <c r="K33" s="22">
        <v>8.8418329764702732E-10</v>
      </c>
      <c r="L33" s="22">
        <v>0.99999999918135174</v>
      </c>
      <c r="M33" s="22">
        <v>8.1864822514841845E-10</v>
      </c>
      <c r="N33" s="44">
        <v>0.19302048399242741</v>
      </c>
      <c r="O33" s="44">
        <v>0.82695748928708979</v>
      </c>
      <c r="P33" s="44">
        <v>0.18285614814075599</v>
      </c>
      <c r="Q33" s="44">
        <v>0.81714385185924399</v>
      </c>
      <c r="R33" s="44">
        <v>0.99999999979075116</v>
      </c>
      <c r="S33" s="44">
        <v>3.402815753304427E-10</v>
      </c>
      <c r="T33" s="44">
        <v>0.99999999968148079</v>
      </c>
      <c r="U33" s="44">
        <v>3.1851926549481152E-10</v>
      </c>
      <c r="V33" s="44">
        <v>0.15443289176760841</v>
      </c>
      <c r="W33" s="44">
        <v>0.86280388643582817</v>
      </c>
      <c r="X33" s="44">
        <v>0.14564642380890641</v>
      </c>
      <c r="Y33" s="44">
        <v>0.85435357619109364</v>
      </c>
      <c r="Z33" s="44">
        <v>0.98928135886028723</v>
      </c>
      <c r="AA33" s="44">
        <v>1.305113666870847E-2</v>
      </c>
      <c r="AB33" s="44">
        <v>0.98813074237497267</v>
      </c>
      <c r="AC33" s="44">
        <v>1.186925762502729E-2</v>
      </c>
      <c r="AD33" s="44">
        <v>0.99999999998315936</v>
      </c>
      <c r="AE33" s="44">
        <v>2.820711655906156E-11</v>
      </c>
      <c r="AF33" s="44">
        <v>0.99999999997270939</v>
      </c>
      <c r="AG33" s="44">
        <v>2.7290559768363851E-11</v>
      </c>
      <c r="AH33" s="44">
        <v>1</v>
      </c>
      <c r="AI33" s="44">
        <v>5.6723166494676379E-22</v>
      </c>
      <c r="AJ33" s="44">
        <v>1</v>
      </c>
      <c r="AK33" s="44">
        <v>1.07384054722145E-21</v>
      </c>
      <c r="AL33" s="44">
        <v>0.12132136960569349</v>
      </c>
      <c r="AM33" s="44">
        <v>0.8932160997258477</v>
      </c>
      <c r="AN33" s="44">
        <v>0.11389999699411479</v>
      </c>
      <c r="AO33" s="44">
        <v>0.88610000300588521</v>
      </c>
      <c r="AP33" s="44">
        <v>1</v>
      </c>
      <c r="AQ33" s="44">
        <v>2.6178462369069562E-32</v>
      </c>
      <c r="AR33" s="44">
        <v>1</v>
      </c>
      <c r="AS33" s="44">
        <v>9.3247806435735974E-32</v>
      </c>
      <c r="AT33" s="44">
        <v>1</v>
      </c>
      <c r="AU33" s="44">
        <v>4.5527459005307487E-21</v>
      </c>
      <c r="AV33" s="44">
        <v>1</v>
      </c>
      <c r="AW33" s="44">
        <v>5.3294854854330128E-21</v>
      </c>
      <c r="AX33" s="44">
        <v>1.9053548193704001E-2</v>
      </c>
      <c r="AY33" s="44">
        <v>0.98419030824746367</v>
      </c>
      <c r="AZ33" s="44">
        <v>1.7404239405933501E-2</v>
      </c>
      <c r="BA33" s="44">
        <v>0.9825957605940665</v>
      </c>
      <c r="BB33" s="44">
        <v>0.99594302973241455</v>
      </c>
      <c r="BC33" s="44">
        <v>4.8911942996628134E-3</v>
      </c>
      <c r="BD33" s="44">
        <v>0.99552639311308277</v>
      </c>
      <c r="BE33" s="44">
        <v>4.473606886917194E-3</v>
      </c>
      <c r="BF33" s="44">
        <v>0.99968322091802309</v>
      </c>
      <c r="BG33" s="22">
        <v>3.7961104000793839E-4</v>
      </c>
      <c r="BH33" s="22">
        <v>0.99965081318159466</v>
      </c>
      <c r="BI33" s="22">
        <v>3.4918681840532308E-4</v>
      </c>
      <c r="BK33" s="23" t="s">
        <v>230</v>
      </c>
    </row>
    <row r="34" spans="1:63" x14ac:dyDescent="0.35">
      <c r="A34" s="22" t="s">
        <v>44</v>
      </c>
      <c r="B34" s="22">
        <v>6.1112744934414411E-2</v>
      </c>
      <c r="C34" s="22">
        <v>0.94748427449911499</v>
      </c>
      <c r="D34" s="22">
        <v>5.6718190418091563E-2</v>
      </c>
      <c r="E34" s="22">
        <v>0.94328180958190844</v>
      </c>
      <c r="F34" s="22">
        <v>0.99990686743660029</v>
      </c>
      <c r="G34" s="22">
        <v>1.2551204111500489E-4</v>
      </c>
      <c r="H34" s="22">
        <v>0.99988941182370716</v>
      </c>
      <c r="I34" s="22">
        <v>1.1058817629283019E-4</v>
      </c>
      <c r="J34" s="22">
        <v>0.71406108938773216</v>
      </c>
      <c r="K34" s="22">
        <v>0.31209817740007528</v>
      </c>
      <c r="L34" s="22">
        <v>0.70112707214848013</v>
      </c>
      <c r="M34" s="22">
        <v>0.29887292785151992</v>
      </c>
      <c r="N34" s="38">
        <v>3.8989699383371863E-14</v>
      </c>
      <c r="O34" s="44">
        <v>0.99999999999997835</v>
      </c>
      <c r="P34" s="44">
        <v>4.2521541843143502E-14</v>
      </c>
      <c r="Q34" s="44">
        <v>0.99999999999995748</v>
      </c>
      <c r="R34" s="44">
        <v>0.87867863039430649</v>
      </c>
      <c r="S34" s="44">
        <v>0.1371961135641718</v>
      </c>
      <c r="T34" s="44">
        <v>0.8709024762080273</v>
      </c>
      <c r="U34" s="44">
        <v>0.12909752379197259</v>
      </c>
      <c r="V34" s="44">
        <v>0.99766543951883324</v>
      </c>
      <c r="W34" s="44">
        <v>2.9486412910011898E-3</v>
      </c>
      <c r="X34" s="44">
        <v>0.99735628298165491</v>
      </c>
      <c r="Y34" s="44">
        <v>2.6437170183450541E-3</v>
      </c>
      <c r="Z34" s="44">
        <v>0.33924030681285811</v>
      </c>
      <c r="AA34" s="44">
        <v>0.68790182259992472</v>
      </c>
      <c r="AB34" s="44">
        <v>0.32553831703891678</v>
      </c>
      <c r="AC34" s="44">
        <v>0.67446168296108322</v>
      </c>
      <c r="AD34" s="44">
        <v>0.99996318795309103</v>
      </c>
      <c r="AE34" s="44">
        <v>5.0438205584933382E-5</v>
      </c>
      <c r="AF34" s="44">
        <v>0.99995566070850206</v>
      </c>
      <c r="AG34" s="44">
        <v>4.4339291497947962E-5</v>
      </c>
      <c r="AH34" s="44">
        <v>0.99999995130455599</v>
      </c>
      <c r="AI34" s="44">
        <v>7.3853968232725039E-8</v>
      </c>
      <c r="AJ34" s="44">
        <v>0.99999993414425803</v>
      </c>
      <c r="AK34" s="44">
        <v>6.5855741945611969E-8</v>
      </c>
      <c r="AL34" s="44">
        <v>1.3842638494642849E-5</v>
      </c>
      <c r="AM34" s="44">
        <v>0.99999011925657677</v>
      </c>
      <c r="AN34" s="44">
        <v>1.215248034736049E-5</v>
      </c>
      <c r="AO34" s="44">
        <v>0.99998784751965264</v>
      </c>
      <c r="AP34" s="44">
        <v>0.99664758972954359</v>
      </c>
      <c r="AQ34" s="44">
        <v>4.0569702675854434E-3</v>
      </c>
      <c r="AR34" s="44">
        <v>0.99629487279869788</v>
      </c>
      <c r="AS34" s="44">
        <v>3.7051272013021558E-3</v>
      </c>
      <c r="AT34" s="44">
        <v>0.7400110727828465</v>
      </c>
      <c r="AU34" s="44">
        <v>0.27629386313673959</v>
      </c>
      <c r="AV34" s="44">
        <v>0.7319274135323901</v>
      </c>
      <c r="AW34" s="44">
        <v>0.26807258646761001</v>
      </c>
      <c r="AX34" s="44">
        <v>0.26086961327395092</v>
      </c>
      <c r="AY34" s="44">
        <v>0.76301913543624389</v>
      </c>
      <c r="AZ34" s="44">
        <v>0.2487588880649938</v>
      </c>
      <c r="BA34" s="44">
        <v>0.7512411119350062</v>
      </c>
      <c r="BB34" s="44">
        <v>0.99999183995244467</v>
      </c>
      <c r="BC34" s="44">
        <v>1.087998784664854E-5</v>
      </c>
      <c r="BD34" s="44">
        <v>0.99999030336114281</v>
      </c>
      <c r="BE34" s="44">
        <v>9.6966388571788149E-6</v>
      </c>
      <c r="BF34" s="38">
        <v>3.5893598147530843E-17</v>
      </c>
      <c r="BG34" s="22">
        <v>1</v>
      </c>
      <c r="BH34" s="22">
        <v>0</v>
      </c>
      <c r="BI34" s="22">
        <v>1</v>
      </c>
      <c r="BK34" s="23" t="s">
        <v>230</v>
      </c>
    </row>
    <row r="35" spans="1:63" x14ac:dyDescent="0.35">
      <c r="A35" s="24" t="s">
        <v>45</v>
      </c>
      <c r="B35" s="24">
        <v>0.99913027169606761</v>
      </c>
      <c r="C35" s="24">
        <v>1.122218591755879E-3</v>
      </c>
      <c r="D35" s="24">
        <v>0.99900087164584905</v>
      </c>
      <c r="E35" s="24">
        <v>9.9912835415090127E-4</v>
      </c>
      <c r="F35" s="24">
        <v>0.17304251071291021</v>
      </c>
      <c r="G35" s="24">
        <v>0.84556710823239156</v>
      </c>
      <c r="H35" s="24">
        <v>0.16356481161757741</v>
      </c>
      <c r="I35" s="24">
        <v>0.83643518838242259</v>
      </c>
      <c r="J35" s="24">
        <v>7.1183650161997609E-3</v>
      </c>
      <c r="K35" s="24">
        <v>0.99424414898732705</v>
      </c>
      <c r="L35" s="24">
        <v>6.432790647278086E-3</v>
      </c>
      <c r="M35" s="24">
        <v>0.99356720935272191</v>
      </c>
      <c r="N35" s="45">
        <v>0.33924030681285811</v>
      </c>
      <c r="O35" s="45">
        <v>0.68790182259992472</v>
      </c>
      <c r="P35" s="45">
        <v>0.29887292785152092</v>
      </c>
      <c r="Q35" s="45">
        <v>0.70112707214847914</v>
      </c>
      <c r="R35" s="45">
        <v>1.2551204111500489E-4</v>
      </c>
      <c r="S35" s="45">
        <v>0.99990686743660029</v>
      </c>
      <c r="T35" s="45">
        <v>1.105881762928362E-4</v>
      </c>
      <c r="U35" s="45">
        <v>0.99988941182370716</v>
      </c>
      <c r="V35" s="45">
        <v>0.15443289176760841</v>
      </c>
      <c r="W35" s="45">
        <v>0.86280388643582817</v>
      </c>
      <c r="X35" s="45">
        <v>0.14564642380890641</v>
      </c>
      <c r="Y35" s="45">
        <v>0.85435357619109364</v>
      </c>
      <c r="Z35" s="45">
        <v>0.99999999944987261</v>
      </c>
      <c r="AA35" s="45">
        <v>8.8418329764702732E-10</v>
      </c>
      <c r="AB35" s="45">
        <v>0.99999999918135174</v>
      </c>
      <c r="AC35" s="45">
        <v>8.1864822514841845E-10</v>
      </c>
      <c r="AD35" s="45">
        <v>1.305113666870847E-2</v>
      </c>
      <c r="AE35" s="45">
        <v>0.98928135886028723</v>
      </c>
      <c r="AF35" s="45">
        <v>1.186925762502733E-2</v>
      </c>
      <c r="AG35" s="45">
        <v>0.98813074237497267</v>
      </c>
      <c r="AH35" s="45">
        <v>0.45499406440791129</v>
      </c>
      <c r="AI35" s="45">
        <v>0.57472747643240507</v>
      </c>
      <c r="AJ35" s="45">
        <v>0.4400842274533634</v>
      </c>
      <c r="AK35" s="45">
        <v>0.5599157725466366</v>
      </c>
      <c r="AL35" s="45">
        <v>0.99994956179441508</v>
      </c>
      <c r="AM35" s="45">
        <v>6.8727136166595653E-5</v>
      </c>
      <c r="AN35" s="45">
        <v>0.99993954399936102</v>
      </c>
      <c r="AO35" s="45">
        <v>6.0456000639001708E-5</v>
      </c>
      <c r="AP35" s="45">
        <v>1.3890830540437099E-2</v>
      </c>
      <c r="AQ35" s="45">
        <v>0.98821875234863443</v>
      </c>
      <c r="AR35" s="45">
        <v>1.282340187676201E-2</v>
      </c>
      <c r="AS35" s="45">
        <v>0.98717659812323799</v>
      </c>
      <c r="AT35" s="45">
        <v>7.8935242586655639E-11</v>
      </c>
      <c r="AU35" s="45">
        <v>0.99999999994309774</v>
      </c>
      <c r="AV35" s="45">
        <v>7.312239702628176E-11</v>
      </c>
      <c r="AW35" s="45">
        <v>0.9999999999268776</v>
      </c>
      <c r="AX35" s="45">
        <v>0.99816142786523809</v>
      </c>
      <c r="AY35" s="45">
        <v>2.334560481166707E-3</v>
      </c>
      <c r="AZ35" s="45">
        <v>0.99791072121591673</v>
      </c>
      <c r="BA35" s="45">
        <v>2.0892787840832449E-3</v>
      </c>
      <c r="BB35" s="45">
        <v>8.381400206210492E-3</v>
      </c>
      <c r="BC35" s="45">
        <v>0.99296981203001355</v>
      </c>
      <c r="BD35" s="45">
        <v>7.700881584476349E-3</v>
      </c>
      <c r="BE35" s="45">
        <v>0.99229911841552365</v>
      </c>
      <c r="BF35" s="38">
        <v>1.22431171462495E-25</v>
      </c>
      <c r="BG35" s="24">
        <v>1</v>
      </c>
      <c r="BH35" s="24">
        <v>0</v>
      </c>
      <c r="BI35" s="24">
        <v>1</v>
      </c>
      <c r="BK35" s="25" t="s">
        <v>237</v>
      </c>
    </row>
    <row r="36" spans="1:63" x14ac:dyDescent="0.35">
      <c r="A36" s="24" t="s">
        <v>46</v>
      </c>
      <c r="B36" s="24">
        <v>0.99124236032330704</v>
      </c>
      <c r="C36" s="24">
        <v>1.07186411397128E-2</v>
      </c>
      <c r="D36" s="24">
        <v>0.99027294186738102</v>
      </c>
      <c r="E36" s="24">
        <v>9.7270581326189907E-3</v>
      </c>
      <c r="F36" s="24">
        <v>2.1930268365218381E-13</v>
      </c>
      <c r="G36" s="24">
        <v>0.99999999999987599</v>
      </c>
      <c r="H36" s="24">
        <v>2.3059332221464501E-13</v>
      </c>
      <c r="I36" s="24">
        <v>0.99999999999976941</v>
      </c>
      <c r="J36" s="24">
        <v>4.6298355537997774E-3</v>
      </c>
      <c r="K36" s="24">
        <v>0.99629541745891781</v>
      </c>
      <c r="L36" s="24">
        <v>4.1670722889086687E-3</v>
      </c>
      <c r="M36" s="24">
        <v>0.99583292771109133</v>
      </c>
      <c r="N36" s="45">
        <v>2.425141220284132E-6</v>
      </c>
      <c r="O36" s="45">
        <v>0.99999831688327856</v>
      </c>
      <c r="P36" s="45">
        <v>2.1323387218163958E-6</v>
      </c>
      <c r="Q36" s="45">
        <v>0.99999786766127818</v>
      </c>
      <c r="R36" s="45">
        <v>1.07186411397128E-2</v>
      </c>
      <c r="S36" s="45">
        <v>0.99124236032330704</v>
      </c>
      <c r="T36" s="45">
        <v>9.727058132618871E-3</v>
      </c>
      <c r="U36" s="45">
        <v>0.99027294186738113</v>
      </c>
      <c r="V36" s="45">
        <v>1</v>
      </c>
      <c r="W36" s="45">
        <v>6.3788292383545346E-34</v>
      </c>
      <c r="X36" s="45">
        <v>1</v>
      </c>
      <c r="Y36" s="45">
        <v>5.2679007680601183E-33</v>
      </c>
      <c r="Z36" s="45">
        <v>0.99999999999999645</v>
      </c>
      <c r="AA36" s="45">
        <v>6.5633437089035283E-15</v>
      </c>
      <c r="AB36" s="45">
        <v>0.99999999999998668</v>
      </c>
      <c r="AC36" s="45">
        <v>1.3373566472415501E-14</v>
      </c>
      <c r="AD36" s="45">
        <v>5.7558510126729696E-3</v>
      </c>
      <c r="AE36" s="45">
        <v>0.99537016444620019</v>
      </c>
      <c r="AF36" s="45">
        <v>5.1908978948508322E-3</v>
      </c>
      <c r="AG36" s="45">
        <v>0.99480910210514917</v>
      </c>
      <c r="AH36" s="45">
        <v>0.99999992614603173</v>
      </c>
      <c r="AI36" s="45">
        <v>1.113695060809213E-7</v>
      </c>
      <c r="AJ36" s="45">
        <v>0.99999990092814461</v>
      </c>
      <c r="AK36" s="45">
        <v>9.9071855408947248E-8</v>
      </c>
      <c r="AL36" s="45">
        <v>0.23698086456375611</v>
      </c>
      <c r="AM36" s="45">
        <v>0.78565405479424744</v>
      </c>
      <c r="AN36" s="45">
        <v>0.225491159634442</v>
      </c>
      <c r="AO36" s="45">
        <v>0.774508840365558</v>
      </c>
      <c r="AP36" s="38">
        <v>5.4717536245839704E-23</v>
      </c>
      <c r="AQ36" s="45">
        <v>1</v>
      </c>
      <c r="AR36" s="45">
        <v>0</v>
      </c>
      <c r="AS36" s="45">
        <v>1</v>
      </c>
      <c r="AT36" s="45">
        <v>1.9122089432156339E-16</v>
      </c>
      <c r="AU36" s="45">
        <v>0.99999999999999989</v>
      </c>
      <c r="AV36" s="45">
        <v>2.2204460492503131E-16</v>
      </c>
      <c r="AW36" s="45">
        <v>0.99999999999999978</v>
      </c>
      <c r="AX36" s="45">
        <v>5.2515725500884958E-2</v>
      </c>
      <c r="AY36" s="45">
        <v>0.955092866564618</v>
      </c>
      <c r="AZ36" s="45">
        <v>4.8627214219501669E-2</v>
      </c>
      <c r="BA36" s="45">
        <v>0.95137278578049833</v>
      </c>
      <c r="BB36" s="45">
        <v>2.802017860648386E-37</v>
      </c>
      <c r="BC36" s="45">
        <v>1</v>
      </c>
      <c r="BD36" s="45">
        <v>0</v>
      </c>
      <c r="BE36" s="45">
        <v>1</v>
      </c>
      <c r="BF36" s="45">
        <v>7.5824048762299441E-12</v>
      </c>
      <c r="BG36" s="24">
        <v>0.99999999999462763</v>
      </c>
      <c r="BH36" s="24">
        <v>7.1079808705576397E-12</v>
      </c>
      <c r="BI36" s="24">
        <v>0.99999999999289202</v>
      </c>
      <c r="BK36" s="25" t="s">
        <v>237</v>
      </c>
    </row>
    <row r="37" spans="1:63" x14ac:dyDescent="0.35">
      <c r="A37" s="24" t="s">
        <v>47</v>
      </c>
      <c r="B37" s="24">
        <v>0.99998615736150531</v>
      </c>
      <c r="C37" s="24">
        <v>1.9285241824994172E-5</v>
      </c>
      <c r="D37" s="24">
        <v>0.99998306712934337</v>
      </c>
      <c r="E37" s="24">
        <v>1.6932870656650061E-5</v>
      </c>
      <c r="F37" s="24">
        <v>2.9112115071309389E-32</v>
      </c>
      <c r="G37" s="24">
        <v>1</v>
      </c>
      <c r="H37" s="24">
        <v>0</v>
      </c>
      <c r="I37" s="24">
        <v>1</v>
      </c>
      <c r="J37" s="24">
        <v>1.9053548193704001E-2</v>
      </c>
      <c r="K37" s="24">
        <v>0.98419030824746367</v>
      </c>
      <c r="L37" s="24">
        <v>1.7404239405933501E-2</v>
      </c>
      <c r="M37" s="24">
        <v>0.9825957605940665</v>
      </c>
      <c r="N37" s="45">
        <v>0.76301913543624389</v>
      </c>
      <c r="O37" s="45">
        <v>0.26086961327395092</v>
      </c>
      <c r="P37" s="45">
        <v>0.7512411119350052</v>
      </c>
      <c r="Q37" s="45">
        <v>0.2487588880649948</v>
      </c>
      <c r="R37" s="38">
        <v>5.0438205584933382E-5</v>
      </c>
      <c r="S37" s="45">
        <v>0.99996318795309103</v>
      </c>
      <c r="T37" s="45">
        <v>4.4339291497941247E-5</v>
      </c>
      <c r="U37" s="45">
        <v>0.99995566070850206</v>
      </c>
      <c r="V37" s="45">
        <v>0.99999504959388663</v>
      </c>
      <c r="W37" s="45">
        <v>7.0134550586825282E-6</v>
      </c>
      <c r="X37" s="45">
        <v>0.99999384191193175</v>
      </c>
      <c r="Y37" s="45">
        <v>6.1580880682640709E-6</v>
      </c>
      <c r="Z37" s="45">
        <v>0.99999999999961464</v>
      </c>
      <c r="AA37" s="45">
        <v>6.7296703835153783E-13</v>
      </c>
      <c r="AB37" s="45">
        <v>0.99999999999930733</v>
      </c>
      <c r="AC37" s="45">
        <v>6.9263282631854555E-13</v>
      </c>
      <c r="AD37" s="38">
        <v>1.045738419167208E-15</v>
      </c>
      <c r="AE37" s="45">
        <v>0.99999999999999944</v>
      </c>
      <c r="AF37" s="45">
        <v>1.221245327087672E-15</v>
      </c>
      <c r="AG37" s="45">
        <v>0.99999999999999878</v>
      </c>
      <c r="AH37" s="45">
        <v>0.84556710823239156</v>
      </c>
      <c r="AI37" s="45">
        <v>0.17304251071291021</v>
      </c>
      <c r="AJ37" s="45">
        <v>0.83643518838242337</v>
      </c>
      <c r="AK37" s="45">
        <v>0.16356481161757661</v>
      </c>
      <c r="AL37" s="45">
        <v>5.7558510126729696E-3</v>
      </c>
      <c r="AM37" s="45">
        <v>0.99537016444620019</v>
      </c>
      <c r="AN37" s="45">
        <v>5.1908978948508322E-3</v>
      </c>
      <c r="AO37" s="45">
        <v>0.99480910210514917</v>
      </c>
      <c r="AP37" s="45">
        <v>1.7589057995474821E-11</v>
      </c>
      <c r="AQ37" s="45">
        <v>0.99999999998865452</v>
      </c>
      <c r="AR37" s="45">
        <v>1.669386850977617E-11</v>
      </c>
      <c r="AS37" s="45">
        <v>0.99999999998330613</v>
      </c>
      <c r="AT37" s="38">
        <v>6.5303714115702355E-16</v>
      </c>
      <c r="AU37" s="45">
        <v>0.99999999999999956</v>
      </c>
      <c r="AV37" s="45">
        <v>4.4408920985006262E-16</v>
      </c>
      <c r="AW37" s="45">
        <v>0.99999999999999956</v>
      </c>
      <c r="AX37" s="45">
        <v>0.23698086456375611</v>
      </c>
      <c r="AY37" s="45">
        <v>0.78565405479424744</v>
      </c>
      <c r="AZ37" s="45">
        <v>0.225491159634442</v>
      </c>
      <c r="BA37" s="45">
        <v>0.774508840365558</v>
      </c>
      <c r="BB37" s="38">
        <v>7.1662152374805404E-53</v>
      </c>
      <c r="BC37" s="45">
        <v>1</v>
      </c>
      <c r="BD37" s="45">
        <v>0</v>
      </c>
      <c r="BE37" s="45">
        <v>1</v>
      </c>
      <c r="BF37" s="45">
        <v>0.34608177385215699</v>
      </c>
      <c r="BG37" s="24">
        <v>0.67198887317150136</v>
      </c>
      <c r="BH37" s="24">
        <v>0.31911461974557059</v>
      </c>
      <c r="BI37" s="24">
        <v>0.68088538025442935</v>
      </c>
      <c r="BK37" s="25" t="s">
        <v>237</v>
      </c>
    </row>
    <row r="38" spans="1:63" x14ac:dyDescent="0.35">
      <c r="A38" s="26" t="s">
        <v>48</v>
      </c>
      <c r="B38" s="26">
        <v>4.586218185315306E-36</v>
      </c>
      <c r="C38" s="26">
        <v>1</v>
      </c>
      <c r="D38" s="26">
        <v>0</v>
      </c>
      <c r="E38" s="26">
        <v>1</v>
      </c>
      <c r="F38" s="26">
        <v>0.94748427449911499</v>
      </c>
      <c r="G38" s="26">
        <v>6.1112744934414411E-2</v>
      </c>
      <c r="H38" s="26">
        <v>0.94328180958190877</v>
      </c>
      <c r="I38" s="26">
        <v>5.6718190418091237E-2</v>
      </c>
      <c r="J38" s="26">
        <v>1.2551204111500489E-4</v>
      </c>
      <c r="K38" s="26">
        <v>0.99990686743660029</v>
      </c>
      <c r="L38" s="26">
        <v>1.105881762928362E-4</v>
      </c>
      <c r="M38" s="26">
        <v>0.99988941182370716</v>
      </c>
      <c r="N38" s="46">
        <v>5.9628957811031605E-47</v>
      </c>
      <c r="O38" s="47">
        <v>1</v>
      </c>
      <c r="P38" s="47">
        <v>0</v>
      </c>
      <c r="Q38" s="47">
        <v>1</v>
      </c>
      <c r="R38" s="47">
        <v>0.99994956179441508</v>
      </c>
      <c r="S38" s="47">
        <v>6.8727136166595653E-5</v>
      </c>
      <c r="T38" s="47">
        <v>0.99993954399936102</v>
      </c>
      <c r="U38" s="47">
        <v>6.0456000639001708E-5</v>
      </c>
      <c r="V38" s="47">
        <v>1</v>
      </c>
      <c r="W38" s="47">
        <v>4.1928894555716279E-26</v>
      </c>
      <c r="X38" s="47">
        <v>1</v>
      </c>
      <c r="Y38" s="47">
        <v>1.21211528725007E-25</v>
      </c>
      <c r="Z38" s="38">
        <v>1.500360979571102E-49</v>
      </c>
      <c r="AA38" s="47">
        <v>1</v>
      </c>
      <c r="AB38" s="47">
        <v>0</v>
      </c>
      <c r="AC38" s="47">
        <v>1</v>
      </c>
      <c r="AD38" s="47">
        <v>0.80697951600757256</v>
      </c>
      <c r="AE38" s="47">
        <v>0.21434594520575251</v>
      </c>
      <c r="AF38" s="47">
        <v>0.79649198636431284</v>
      </c>
      <c r="AG38" s="47">
        <v>0.20350801363568721</v>
      </c>
      <c r="AH38" s="47">
        <v>3.2352956527301337E-2</v>
      </c>
      <c r="AI38" s="47">
        <v>0.9727441946983314</v>
      </c>
      <c r="AJ38" s="47">
        <v>2.975234282021488E-2</v>
      </c>
      <c r="AK38" s="47">
        <v>0.97024765717978512</v>
      </c>
      <c r="AL38" s="47">
        <v>4.3442945899577279E-29</v>
      </c>
      <c r="AM38" s="47">
        <v>1</v>
      </c>
      <c r="AN38" s="47">
        <v>0</v>
      </c>
      <c r="AO38" s="47">
        <v>1</v>
      </c>
      <c r="AP38" s="47">
        <v>0.99815079469555534</v>
      </c>
      <c r="AQ38" s="47">
        <v>2.263359430982945E-3</v>
      </c>
      <c r="AR38" s="47">
        <v>0.99794176066730267</v>
      </c>
      <c r="AS38" s="47">
        <v>2.058239332697331E-3</v>
      </c>
      <c r="AT38" s="38">
        <v>1.0636167672362871E-8</v>
      </c>
      <c r="AU38" s="47">
        <v>0.99999999202662226</v>
      </c>
      <c r="AV38" s="47">
        <v>7.2719557042688621E-9</v>
      </c>
      <c r="AW38" s="47">
        <v>0.9999999927280443</v>
      </c>
      <c r="AX38" s="38">
        <v>2.66113438101818E-22</v>
      </c>
      <c r="AY38" s="47">
        <v>1</v>
      </c>
      <c r="AZ38" s="47">
        <v>0</v>
      </c>
      <c r="BA38" s="47">
        <v>1</v>
      </c>
      <c r="BB38" s="47">
        <v>0.86774232952232644</v>
      </c>
      <c r="BC38" s="47">
        <v>0.14639725818087859</v>
      </c>
      <c r="BD38" s="47">
        <v>0.86079108721220654</v>
      </c>
      <c r="BE38" s="47">
        <v>0.13920891278779349</v>
      </c>
      <c r="BF38" s="47">
        <v>1</v>
      </c>
      <c r="BG38" s="26">
        <v>1.8686687816596521E-45</v>
      </c>
      <c r="BH38" s="26">
        <v>1</v>
      </c>
      <c r="BI38" s="26">
        <v>1.010180561328642E-44</v>
      </c>
      <c r="BK38" s="27" t="s">
        <v>244</v>
      </c>
    </row>
    <row r="39" spans="1:63" x14ac:dyDescent="0.35">
      <c r="A39" s="26" t="s">
        <v>49</v>
      </c>
      <c r="B39" s="26">
        <v>9.0511370201880743E-35</v>
      </c>
      <c r="C39" s="26">
        <v>1</v>
      </c>
      <c r="D39" s="26">
        <v>0</v>
      </c>
      <c r="E39" s="26">
        <v>1</v>
      </c>
      <c r="F39" s="26">
        <v>0.91843865693126425</v>
      </c>
      <c r="G39" s="26">
        <v>9.3546529825919919E-2</v>
      </c>
      <c r="H39" s="26">
        <v>0.91257778319479266</v>
      </c>
      <c r="I39" s="26">
        <v>8.7422216805207342E-2</v>
      </c>
      <c r="J39" s="26">
        <v>0.99999757485877971</v>
      </c>
      <c r="K39" s="26">
        <v>3.4746484737434672E-6</v>
      </c>
      <c r="L39" s="26">
        <v>0.99999694678212048</v>
      </c>
      <c r="M39" s="26">
        <v>3.0532178795044568E-6</v>
      </c>
      <c r="N39" s="47">
        <v>2.755242345259783E-38</v>
      </c>
      <c r="O39" s="47">
        <v>1</v>
      </c>
      <c r="P39" s="47">
        <v>0</v>
      </c>
      <c r="Q39" s="47">
        <v>1</v>
      </c>
      <c r="R39" s="47">
        <v>0.99537016444620019</v>
      </c>
      <c r="S39" s="47">
        <v>5.7558510126729696E-3</v>
      </c>
      <c r="T39" s="47">
        <v>0.99480910210514906</v>
      </c>
      <c r="U39" s="47">
        <v>5.1908978948508964E-3</v>
      </c>
      <c r="V39" s="47">
        <v>1</v>
      </c>
      <c r="W39" s="47">
        <v>4.6487864535216721E-20</v>
      </c>
      <c r="X39" s="47">
        <v>1</v>
      </c>
      <c r="Y39" s="47">
        <v>7.4599831984933769E-20</v>
      </c>
      <c r="Z39" s="47">
        <v>2.66113438101818E-22</v>
      </c>
      <c r="AA39" s="47">
        <v>1</v>
      </c>
      <c r="AB39" s="47">
        <v>0</v>
      </c>
      <c r="AC39" s="47">
        <v>1</v>
      </c>
      <c r="AD39" s="47">
        <v>0.99987448795888501</v>
      </c>
      <c r="AE39" s="47">
        <v>1.682231284959967E-4</v>
      </c>
      <c r="AF39" s="47">
        <v>0.99985163384435338</v>
      </c>
      <c r="AG39" s="47">
        <v>1.4836615564657029E-4</v>
      </c>
      <c r="AH39" s="47">
        <v>0.98419030824746367</v>
      </c>
      <c r="AI39" s="47">
        <v>1.9053548193704001E-2</v>
      </c>
      <c r="AJ39" s="47">
        <v>0.9825957605940665</v>
      </c>
      <c r="AK39" s="47">
        <v>1.7404239405933521E-2</v>
      </c>
      <c r="AL39" s="47">
        <v>1.2482748311847501E-35</v>
      </c>
      <c r="AM39" s="47">
        <v>1</v>
      </c>
      <c r="AN39" s="47">
        <v>0</v>
      </c>
      <c r="AO39" s="47">
        <v>1</v>
      </c>
      <c r="AP39" s="47">
        <v>0.99815079469555534</v>
      </c>
      <c r="AQ39" s="47">
        <v>2.263359430982945E-3</v>
      </c>
      <c r="AR39" s="47">
        <v>0.99794176066730267</v>
      </c>
      <c r="AS39" s="47">
        <v>2.058239332697331E-3</v>
      </c>
      <c r="AT39" s="47">
        <v>0.12748966132940071</v>
      </c>
      <c r="AU39" s="47">
        <v>0.88255139218429346</v>
      </c>
      <c r="AV39" s="47">
        <v>0.1224011425093143</v>
      </c>
      <c r="AW39" s="47">
        <v>0.87759885749068567</v>
      </c>
      <c r="AX39" s="47">
        <v>1.168289654423001E-12</v>
      </c>
      <c r="AY39" s="47">
        <v>0.99999999999932698</v>
      </c>
      <c r="AZ39" s="47">
        <v>1.190381127003093E-12</v>
      </c>
      <c r="BA39" s="47">
        <v>0.99999999999880962</v>
      </c>
      <c r="BB39" s="47">
        <v>0.99901426546769834</v>
      </c>
      <c r="BC39" s="47">
        <v>1.220373200575612E-3</v>
      </c>
      <c r="BD39" s="47">
        <v>0.99889467490842754</v>
      </c>
      <c r="BE39" s="47">
        <v>1.1053250915724509E-3</v>
      </c>
      <c r="BF39" s="47">
        <v>1</v>
      </c>
      <c r="BG39" s="26">
        <v>1.1535401277905779E-52</v>
      </c>
      <c r="BH39" s="26">
        <v>1</v>
      </c>
      <c r="BI39" s="26">
        <v>1.2682516097341661E-51</v>
      </c>
      <c r="BK39" s="27" t="s">
        <v>244</v>
      </c>
    </row>
    <row r="40" spans="1:63" x14ac:dyDescent="0.35">
      <c r="A40" s="26" t="s">
        <v>50</v>
      </c>
      <c r="B40" s="26">
        <v>0.99999995130455599</v>
      </c>
      <c r="C40" s="26">
        <v>7.3853968232725039E-8</v>
      </c>
      <c r="D40" s="26">
        <v>0.99999993414425803</v>
      </c>
      <c r="E40" s="26">
        <v>6.5855741945611969E-8</v>
      </c>
      <c r="F40" s="26">
        <v>9.8807434232840573E-6</v>
      </c>
      <c r="G40" s="26">
        <v>0.99999298654494129</v>
      </c>
      <c r="H40" s="26">
        <v>8.6743644028830502E-6</v>
      </c>
      <c r="I40" s="26">
        <v>0.99999132563559712</v>
      </c>
      <c r="J40" s="26">
        <v>1</v>
      </c>
      <c r="K40" s="26">
        <v>5.7444478971644066E-23</v>
      </c>
      <c r="L40" s="26">
        <v>1</v>
      </c>
      <c r="M40" s="26">
        <v>1.19420978376642E-22</v>
      </c>
      <c r="N40" s="47">
        <v>7.0771444478710852E-2</v>
      </c>
      <c r="O40" s="47">
        <v>0.93888725506558557</v>
      </c>
      <c r="P40" s="47">
        <v>6.583400801140693E-2</v>
      </c>
      <c r="Q40" s="47">
        <v>0.93416599198859307</v>
      </c>
      <c r="R40" s="47">
        <v>0.12132136960569349</v>
      </c>
      <c r="S40" s="47">
        <v>0.8932160997258477</v>
      </c>
      <c r="T40" s="47">
        <v>0.11389999699411479</v>
      </c>
      <c r="U40" s="47">
        <v>0.88610000300588521</v>
      </c>
      <c r="V40" s="47">
        <v>0.99970272376273472</v>
      </c>
      <c r="W40" s="47">
        <v>3.9196467388036299E-4</v>
      </c>
      <c r="X40" s="47">
        <v>0.99965308112455031</v>
      </c>
      <c r="Y40" s="47">
        <v>3.4691887544967281E-4</v>
      </c>
      <c r="Z40" s="47">
        <v>0.99424414898732705</v>
      </c>
      <c r="AA40" s="47">
        <v>7.1183650161997609E-3</v>
      </c>
      <c r="AB40" s="47">
        <v>0.99356720935272191</v>
      </c>
      <c r="AC40" s="47">
        <v>6.4327906472780392E-3</v>
      </c>
      <c r="AD40" s="47">
        <v>5.5654150471749074E-9</v>
      </c>
      <c r="AE40" s="47">
        <v>0.99999999645551363</v>
      </c>
      <c r="AF40" s="47">
        <v>5.0596956624460176E-9</v>
      </c>
      <c r="AG40" s="47">
        <v>0.99999999494030434</v>
      </c>
      <c r="AH40" s="47">
        <v>1</v>
      </c>
      <c r="AI40" s="47">
        <v>1.885928027292221E-31</v>
      </c>
      <c r="AJ40" s="47">
        <v>1</v>
      </c>
      <c r="AK40" s="47">
        <v>1.0791074548134779E-30</v>
      </c>
      <c r="AL40" s="47">
        <v>0.98094645180629603</v>
      </c>
      <c r="AM40" s="47">
        <v>2.284636495568472E-2</v>
      </c>
      <c r="AN40" s="47">
        <v>0.97908470271737758</v>
      </c>
      <c r="AO40" s="47">
        <v>2.091529728262238E-2</v>
      </c>
      <c r="AP40" s="38">
        <v>3.361399988478439E-6</v>
      </c>
      <c r="AQ40" s="47">
        <v>0.99999751877976972</v>
      </c>
      <c r="AR40" s="47">
        <v>2.9942538566363201E-6</v>
      </c>
      <c r="AS40" s="47">
        <v>0.99999700574614336</v>
      </c>
      <c r="AT40" s="47">
        <v>1</v>
      </c>
      <c r="AU40" s="47">
        <v>1.077565535617143E-71</v>
      </c>
      <c r="AV40" s="47">
        <v>1</v>
      </c>
      <c r="AW40" s="47">
        <v>1.3576129448265259E-69</v>
      </c>
      <c r="AX40" s="47">
        <v>0.99424414898732705</v>
      </c>
      <c r="AY40" s="47">
        <v>7.1183650161997609E-3</v>
      </c>
      <c r="AZ40" s="47">
        <v>0.99356720935272191</v>
      </c>
      <c r="BA40" s="47">
        <v>6.4327906472780392E-3</v>
      </c>
      <c r="BB40" s="47">
        <v>0.1068727673786477</v>
      </c>
      <c r="BC40" s="47">
        <v>0.90441242068569194</v>
      </c>
      <c r="BD40" s="47">
        <v>0.1011274711774712</v>
      </c>
      <c r="BE40" s="47">
        <v>0.89887252882252877</v>
      </c>
      <c r="BF40" s="47">
        <v>1</v>
      </c>
      <c r="BG40" s="26">
        <v>5.9034508792565296E-25</v>
      </c>
      <c r="BH40" s="26">
        <v>1</v>
      </c>
      <c r="BI40" s="26">
        <v>8.0551780013763992E-25</v>
      </c>
      <c r="BK40" s="27" t="s">
        <v>244</v>
      </c>
    </row>
    <row r="41" spans="1:63" x14ac:dyDescent="0.35">
      <c r="A41" s="26" t="s">
        <v>51</v>
      </c>
      <c r="B41" s="26">
        <v>0.99999999999998801</v>
      </c>
      <c r="C41" s="26">
        <v>2.1659689066834469E-14</v>
      </c>
      <c r="D41" s="26">
        <v>0.99999999999997613</v>
      </c>
      <c r="E41" s="26">
        <v>2.3901309250039109E-14</v>
      </c>
      <c r="F41" s="26">
        <v>0.9869488633312915</v>
      </c>
      <c r="G41" s="26">
        <v>1.5809691752536308E-2</v>
      </c>
      <c r="H41" s="26">
        <v>0.98559063337486219</v>
      </c>
      <c r="I41" s="26">
        <v>1.440936662513778E-2</v>
      </c>
      <c r="J41" s="26">
        <v>1</v>
      </c>
      <c r="K41" s="26">
        <v>5.0459623456448502E-49</v>
      </c>
      <c r="L41" s="26">
        <v>1</v>
      </c>
      <c r="M41" s="26">
        <v>7.9976142288709913E-47</v>
      </c>
      <c r="N41" s="47">
        <v>4.6298355537997774E-3</v>
      </c>
      <c r="O41" s="47">
        <v>0.99629541745891781</v>
      </c>
      <c r="P41" s="47">
        <v>4.1670722889086687E-3</v>
      </c>
      <c r="Q41" s="47">
        <v>0.99583292771109133</v>
      </c>
      <c r="R41" s="38">
        <v>9.3132563399741616E-5</v>
      </c>
      <c r="S41" s="47">
        <v>0.99993127286383343</v>
      </c>
      <c r="T41" s="47">
        <v>8.1986969491132378E-5</v>
      </c>
      <c r="U41" s="47">
        <v>0.99991801303050887</v>
      </c>
      <c r="V41" s="47">
        <v>0.42527252356759487</v>
      </c>
      <c r="W41" s="47">
        <v>0.60403040402144836</v>
      </c>
      <c r="X41" s="47">
        <v>0.41054879177597958</v>
      </c>
      <c r="Y41" s="47">
        <v>0.58945120822402042</v>
      </c>
      <c r="Z41" s="47">
        <v>0.99932957240549158</v>
      </c>
      <c r="AA41" s="47">
        <v>8.6972830393244492E-4</v>
      </c>
      <c r="AB41" s="47">
        <v>0.99922689826145961</v>
      </c>
      <c r="AC41" s="47">
        <v>7.7310173854037219E-4</v>
      </c>
      <c r="AD41" s="38">
        <v>4.6966155646112112E-11</v>
      </c>
      <c r="AE41" s="47">
        <v>0.9999999999717929</v>
      </c>
      <c r="AF41" s="47">
        <v>4.5109360691242273E-11</v>
      </c>
      <c r="AG41" s="47">
        <v>0.99999999995489064</v>
      </c>
      <c r="AH41" s="47">
        <v>1</v>
      </c>
      <c r="AI41" s="47">
        <v>1.213894333138013E-59</v>
      </c>
      <c r="AJ41" s="47">
        <v>1</v>
      </c>
      <c r="AK41" s="47">
        <v>3.225200149802477E-56</v>
      </c>
      <c r="AL41" s="47">
        <v>1</v>
      </c>
      <c r="AM41" s="47">
        <v>8.2873783617900435E-17</v>
      </c>
      <c r="AN41" s="47">
        <v>0.99999999999999989</v>
      </c>
      <c r="AO41" s="47">
        <v>1.050404002378279E-16</v>
      </c>
      <c r="AP41" s="47">
        <v>0.99999999999533828</v>
      </c>
      <c r="AQ41" s="47">
        <v>7.2877092782711453E-12</v>
      </c>
      <c r="AR41" s="47">
        <v>0.99999999999301958</v>
      </c>
      <c r="AS41" s="47">
        <v>6.9803765079068722E-12</v>
      </c>
      <c r="AT41" s="47">
        <v>1</v>
      </c>
      <c r="AU41" s="47">
        <v>4.9318205638109478E-33</v>
      </c>
      <c r="AV41" s="47">
        <v>1</v>
      </c>
      <c r="AW41" s="47">
        <v>1.033341955925331E-32</v>
      </c>
      <c r="AX41" s="47">
        <v>0.99999999443458498</v>
      </c>
      <c r="AY41" s="47">
        <v>8.6880052469512098E-9</v>
      </c>
      <c r="AZ41" s="47">
        <v>0.99999999213191548</v>
      </c>
      <c r="BA41" s="47">
        <v>7.8680844944330399E-9</v>
      </c>
      <c r="BB41" s="47">
        <v>0.99959620799336957</v>
      </c>
      <c r="BC41" s="47">
        <v>5.0765285346146517E-4</v>
      </c>
      <c r="BD41" s="47">
        <v>0.99954243783189878</v>
      </c>
      <c r="BE41" s="47">
        <v>4.5756216810125281E-4</v>
      </c>
      <c r="BF41" s="47">
        <v>1</v>
      </c>
      <c r="BG41" s="26">
        <v>1.872147956441929E-30</v>
      </c>
      <c r="BH41" s="26">
        <v>1</v>
      </c>
      <c r="BI41" s="26">
        <v>3.3659032464868931E-30</v>
      </c>
      <c r="BK41" s="27" t="s">
        <v>244</v>
      </c>
    </row>
    <row r="42" spans="1:63" x14ac:dyDescent="0.35">
      <c r="A42" s="26" t="s">
        <v>52</v>
      </c>
      <c r="B42" s="26">
        <v>2.475632071390249E-24</v>
      </c>
      <c r="C42" s="26">
        <v>1</v>
      </c>
      <c r="D42" s="26">
        <v>0</v>
      </c>
      <c r="E42" s="26">
        <v>1</v>
      </c>
      <c r="F42" s="26">
        <v>0.99999999775569159</v>
      </c>
      <c r="G42" s="26">
        <v>3.5444863431141359E-9</v>
      </c>
      <c r="H42" s="26">
        <v>0.99999999676423978</v>
      </c>
      <c r="I42" s="26">
        <v>3.2357601878493712E-9</v>
      </c>
      <c r="J42" s="26">
        <v>2.425141220284132E-6</v>
      </c>
      <c r="K42" s="26">
        <v>0.99999831688327856</v>
      </c>
      <c r="L42" s="26">
        <v>1.4810834696454829E-6</v>
      </c>
      <c r="M42" s="26">
        <v>0.99999851891653035</v>
      </c>
      <c r="N42" s="47">
        <v>2.66113438101818E-22</v>
      </c>
      <c r="O42" s="47">
        <v>1</v>
      </c>
      <c r="P42" s="47">
        <v>0</v>
      </c>
      <c r="Q42" s="47">
        <v>1</v>
      </c>
      <c r="R42" s="47">
        <v>1</v>
      </c>
      <c r="S42" s="47">
        <v>4.3296064439747961E-17</v>
      </c>
      <c r="T42" s="47">
        <v>0.99999999999999989</v>
      </c>
      <c r="U42" s="47">
        <v>5.5885434417002927E-17</v>
      </c>
      <c r="V42" s="47">
        <v>0.955092866564618</v>
      </c>
      <c r="W42" s="47">
        <v>5.2515725500884958E-2</v>
      </c>
      <c r="X42" s="47">
        <v>0.95137278578049833</v>
      </c>
      <c r="Y42" s="47">
        <v>4.8627214219501641E-2</v>
      </c>
      <c r="Z42" s="47">
        <v>6.5633437089035283E-15</v>
      </c>
      <c r="AA42" s="47">
        <v>0.99999999999999645</v>
      </c>
      <c r="AB42" s="47">
        <v>7.4384942649885488E-15</v>
      </c>
      <c r="AC42" s="47">
        <v>0.99999999999999256</v>
      </c>
      <c r="AD42" s="47">
        <v>1</v>
      </c>
      <c r="AE42" s="47">
        <v>1.378744080652062E-40</v>
      </c>
      <c r="AF42" s="47">
        <v>1</v>
      </c>
      <c r="AG42" s="47">
        <v>3.6055191761920078E-39</v>
      </c>
      <c r="AH42" s="47">
        <v>0.1067839002741523</v>
      </c>
      <c r="AI42" s="47">
        <v>0.90645347017408007</v>
      </c>
      <c r="AJ42" s="47">
        <v>0.1000225272546644</v>
      </c>
      <c r="AK42" s="47">
        <v>0.89997747274533557</v>
      </c>
      <c r="AL42" s="38">
        <v>4.6740756862825874E-41</v>
      </c>
      <c r="AM42" s="47">
        <v>1</v>
      </c>
      <c r="AN42" s="47">
        <v>0</v>
      </c>
      <c r="AO42" s="47">
        <v>1</v>
      </c>
      <c r="AP42" s="47">
        <v>0.98368176731427748</v>
      </c>
      <c r="AQ42" s="47">
        <v>1.909996150581E-2</v>
      </c>
      <c r="AR42" s="47">
        <v>0.98231091401857318</v>
      </c>
      <c r="AS42" s="47">
        <v>1.7689085981426871E-2</v>
      </c>
      <c r="AT42" s="47">
        <v>3.6130202652385502E-7</v>
      </c>
      <c r="AU42" s="47">
        <v>0.99999972049661712</v>
      </c>
      <c r="AV42" s="47">
        <v>3.279811326972748E-7</v>
      </c>
      <c r="AW42" s="47">
        <v>0.9999996720188673</v>
      </c>
      <c r="AX42" s="47">
        <v>2.2664703991124299E-20</v>
      </c>
      <c r="AY42" s="47">
        <v>1</v>
      </c>
      <c r="AZ42" s="47">
        <v>0</v>
      </c>
      <c r="BA42" s="47">
        <v>1</v>
      </c>
      <c r="BB42" s="47">
        <v>0.99999999999999956</v>
      </c>
      <c r="BC42" s="47">
        <v>7.286550271003536E-16</v>
      </c>
      <c r="BD42" s="47">
        <v>0.99999999999999922</v>
      </c>
      <c r="BE42" s="47">
        <v>7.9524273243847475E-16</v>
      </c>
      <c r="BF42" s="47">
        <v>0.83887463348315316</v>
      </c>
      <c r="BG42" s="26">
        <v>0.17351992282908349</v>
      </c>
      <c r="BH42" s="26">
        <v>0.83275219080784302</v>
      </c>
      <c r="BI42" s="26">
        <v>0.16724780919215701</v>
      </c>
      <c r="BK42" s="27" t="s">
        <v>244</v>
      </c>
    </row>
    <row r="43" spans="1:63" x14ac:dyDescent="0.35">
      <c r="A43" s="28" t="s">
        <v>53</v>
      </c>
      <c r="B43" s="28">
        <v>5.8967090318025666E-12</v>
      </c>
      <c r="C43" s="28">
        <v>0.99999999999654177</v>
      </c>
      <c r="D43" s="28">
        <v>5.8444360462317491E-12</v>
      </c>
      <c r="E43" s="28">
        <v>0.99999999999415556</v>
      </c>
      <c r="F43" s="28">
        <v>0.57472747643240507</v>
      </c>
      <c r="G43" s="28">
        <v>0.45499406440791129</v>
      </c>
      <c r="H43" s="28">
        <v>0.55991577254663782</v>
      </c>
      <c r="I43" s="28">
        <v>0.44008422745336218</v>
      </c>
      <c r="J43" s="28">
        <v>0.99999920292038957</v>
      </c>
      <c r="K43" s="28">
        <v>1.161548776651688E-6</v>
      </c>
      <c r="L43" s="28">
        <v>0.999998976882716</v>
      </c>
      <c r="M43" s="28">
        <v>1.0231172839624441E-6</v>
      </c>
      <c r="N43" s="48">
        <v>5.7444478971644066E-23</v>
      </c>
      <c r="O43" s="48">
        <v>1</v>
      </c>
      <c r="P43" s="48">
        <v>0</v>
      </c>
      <c r="Q43" s="48">
        <v>1</v>
      </c>
      <c r="R43" s="48">
        <v>0.99705135870899886</v>
      </c>
      <c r="S43" s="48">
        <v>3.7045825410822238E-3</v>
      </c>
      <c r="T43" s="48">
        <v>0.99667219725852529</v>
      </c>
      <c r="U43" s="48">
        <v>3.3278027414746841E-3</v>
      </c>
      <c r="V43" s="48">
        <v>0.63275715045003333</v>
      </c>
      <c r="W43" s="48">
        <v>0.39596959597855169</v>
      </c>
      <c r="X43" s="48">
        <v>0.61848769972350237</v>
      </c>
      <c r="Y43" s="48">
        <v>0.38151230027649757</v>
      </c>
      <c r="Z43" s="48">
        <v>4.9504061134201882E-6</v>
      </c>
      <c r="AA43" s="48">
        <v>0.99999652535152628</v>
      </c>
      <c r="AB43" s="48">
        <v>4.3479729709972048E-6</v>
      </c>
      <c r="AC43" s="48">
        <v>0.999995652027029</v>
      </c>
      <c r="AD43" s="48">
        <v>0.99999652535152628</v>
      </c>
      <c r="AE43" s="48">
        <v>4.9504061134201882E-6</v>
      </c>
      <c r="AF43" s="48">
        <v>0.999995652027029</v>
      </c>
      <c r="AG43" s="48">
        <v>4.3479729710524754E-6</v>
      </c>
      <c r="AH43" s="48">
        <v>0.19302048399242741</v>
      </c>
      <c r="AI43" s="48">
        <v>0.82695748928708979</v>
      </c>
      <c r="AJ43" s="48">
        <v>0.18285614814075599</v>
      </c>
      <c r="AK43" s="48">
        <v>0.81714385185924399</v>
      </c>
      <c r="AL43" s="48">
        <v>5.2515725500884958E-2</v>
      </c>
      <c r="AM43" s="48">
        <v>0.955092866564618</v>
      </c>
      <c r="AN43" s="48">
        <v>4.8627214219501669E-2</v>
      </c>
      <c r="AO43" s="48">
        <v>0.95137278578049833</v>
      </c>
      <c r="AP43" s="48">
        <v>0.99999999998241096</v>
      </c>
      <c r="AQ43" s="48">
        <v>2.7155024327904059E-11</v>
      </c>
      <c r="AR43" s="48">
        <v>0.99999999997433742</v>
      </c>
      <c r="AS43" s="48">
        <v>2.566260674956086E-11</v>
      </c>
      <c r="AT43" s="48">
        <v>1</v>
      </c>
      <c r="AU43" s="48">
        <v>4.719678862717258E-20</v>
      </c>
      <c r="AV43" s="48">
        <v>1</v>
      </c>
      <c r="AW43" s="48">
        <v>5.338628171789938E-20</v>
      </c>
      <c r="AX43" s="48">
        <v>0.36724284954996672</v>
      </c>
      <c r="AY43" s="48">
        <v>0.66075969318714201</v>
      </c>
      <c r="AZ43" s="48">
        <v>0.35312798105242671</v>
      </c>
      <c r="BA43" s="48">
        <v>0.64687201894757329</v>
      </c>
      <c r="BB43" s="48">
        <v>0.94088585521013635</v>
      </c>
      <c r="BC43" s="48">
        <v>6.700647036474161E-2</v>
      </c>
      <c r="BD43" s="48">
        <v>0.93701441846138467</v>
      </c>
      <c r="BE43" s="48">
        <v>6.2985581538615346E-2</v>
      </c>
      <c r="BF43" s="48">
        <v>0.99987621029087792</v>
      </c>
      <c r="BG43" s="28">
        <v>1.500808089482436E-4</v>
      </c>
      <c r="BH43" s="28">
        <v>0.99986244642008693</v>
      </c>
      <c r="BI43" s="28">
        <v>1.3755357991308931E-4</v>
      </c>
      <c r="BK43" s="29" t="s">
        <v>255</v>
      </c>
    </row>
    <row r="44" spans="1:63" x14ac:dyDescent="0.35">
      <c r="A44" s="28" t="s">
        <v>54</v>
      </c>
      <c r="B44" s="28">
        <v>1.1598697554267099E-17</v>
      </c>
      <c r="C44" s="28">
        <v>1</v>
      </c>
      <c r="D44" s="28">
        <v>0</v>
      </c>
      <c r="E44" s="28">
        <v>1</v>
      </c>
      <c r="F44" s="28">
        <v>0.99999975106193439</v>
      </c>
      <c r="G44" s="28">
        <v>3.6900608683083041E-7</v>
      </c>
      <c r="H44" s="28">
        <v>0.99999967365599507</v>
      </c>
      <c r="I44" s="28">
        <v>3.2634400491955672E-7</v>
      </c>
      <c r="J44" s="28">
        <v>0.99999999911581672</v>
      </c>
      <c r="K44" s="28">
        <v>1.412799308712125E-9</v>
      </c>
      <c r="L44" s="28">
        <v>0.99999999869844014</v>
      </c>
      <c r="M44" s="28">
        <v>1.301559873397955E-9</v>
      </c>
      <c r="N44" s="48">
        <v>2.9522028872401471E-30</v>
      </c>
      <c r="O44" s="48">
        <v>1</v>
      </c>
      <c r="P44" s="48">
        <v>0</v>
      </c>
      <c r="Q44" s="48">
        <v>1</v>
      </c>
      <c r="R44" s="48">
        <v>0.99999999645551363</v>
      </c>
      <c r="S44" s="48">
        <v>5.5654150471749074E-9</v>
      </c>
      <c r="T44" s="48">
        <v>0.99999999494030434</v>
      </c>
      <c r="U44" s="48">
        <v>5.0596957075444564E-9</v>
      </c>
      <c r="V44" s="48">
        <v>4.4907133435382003E-2</v>
      </c>
      <c r="W44" s="48">
        <v>0.96178842758226124</v>
      </c>
      <c r="X44" s="48">
        <v>4.1486530362206182E-2</v>
      </c>
      <c r="Y44" s="48">
        <v>0.95851346963779382</v>
      </c>
      <c r="Z44" s="48">
        <v>1.918859589311014E-19</v>
      </c>
      <c r="AA44" s="48">
        <v>1</v>
      </c>
      <c r="AB44" s="48">
        <v>0</v>
      </c>
      <c r="AC44" s="48">
        <v>1</v>
      </c>
      <c r="AD44" s="48">
        <v>0.99999999999883171</v>
      </c>
      <c r="AE44" s="48">
        <v>2.0160533626992649E-12</v>
      </c>
      <c r="AF44" s="48">
        <v>0.99999999999796541</v>
      </c>
      <c r="AG44" s="48">
        <v>2.0345435644841639E-12</v>
      </c>
      <c r="AH44" s="48">
        <v>6.1112744934414411E-2</v>
      </c>
      <c r="AI44" s="48">
        <v>0.94748427449911499</v>
      </c>
      <c r="AJ44" s="48">
        <v>5.6718190418091563E-2</v>
      </c>
      <c r="AK44" s="48">
        <v>0.94328180958190844</v>
      </c>
      <c r="AL44" s="38">
        <v>2.9112115071309389E-32</v>
      </c>
      <c r="AM44" s="48">
        <v>1</v>
      </c>
      <c r="AN44" s="48">
        <v>0</v>
      </c>
      <c r="AO44" s="48">
        <v>1</v>
      </c>
      <c r="AP44" s="48">
        <v>1</v>
      </c>
      <c r="AQ44" s="48">
        <v>1.3178358356954E-21</v>
      </c>
      <c r="AR44" s="48">
        <v>1</v>
      </c>
      <c r="AS44" s="48">
        <v>1.9339122372967909E-21</v>
      </c>
      <c r="AT44" s="48">
        <v>1</v>
      </c>
      <c r="AU44" s="48">
        <v>5.4772304363935804E-32</v>
      </c>
      <c r="AV44" s="48">
        <v>1</v>
      </c>
      <c r="AW44" s="48">
        <v>1.076619072078553E-31</v>
      </c>
      <c r="AX44" s="38">
        <v>1.5346390564693779E-18</v>
      </c>
      <c r="AY44" s="48">
        <v>1</v>
      </c>
      <c r="AZ44" s="48">
        <v>0</v>
      </c>
      <c r="BA44" s="48">
        <v>1</v>
      </c>
      <c r="BB44" s="48">
        <v>0.94803016540170892</v>
      </c>
      <c r="BC44" s="48">
        <v>5.9114144789863682E-2</v>
      </c>
      <c r="BD44" s="48">
        <v>0.94452546255531133</v>
      </c>
      <c r="BE44" s="48">
        <v>5.5474537444688651E-2</v>
      </c>
      <c r="BF44" s="48">
        <v>0.9999999996091844</v>
      </c>
      <c r="BG44" s="28">
        <v>5.3421488781587088E-10</v>
      </c>
      <c r="BH44" s="28">
        <v>0.99999999950893859</v>
      </c>
      <c r="BI44" s="28">
        <v>4.9106142368441607E-10</v>
      </c>
      <c r="BK44" s="29" t="s">
        <v>255</v>
      </c>
    </row>
    <row r="45" spans="1:63" x14ac:dyDescent="0.35">
      <c r="A45" s="28" t="s">
        <v>55</v>
      </c>
      <c r="B45" s="28">
        <v>0.17304251071291021</v>
      </c>
      <c r="C45" s="28">
        <v>0.84556710823239156</v>
      </c>
      <c r="D45" s="28">
        <v>0.16356481161757741</v>
      </c>
      <c r="E45" s="28">
        <v>0.83643518838242259</v>
      </c>
      <c r="F45" s="28">
        <v>5.5654150471749074E-9</v>
      </c>
      <c r="G45" s="28">
        <v>0.99999999645551363</v>
      </c>
      <c r="H45" s="28">
        <v>5.0596956624460176E-9</v>
      </c>
      <c r="I45" s="28">
        <v>0.99999999494030434</v>
      </c>
      <c r="J45" s="28">
        <v>0.54500593559208865</v>
      </c>
      <c r="K45" s="28">
        <v>0.4849696355118181</v>
      </c>
      <c r="L45" s="28">
        <v>0.53004295338662577</v>
      </c>
      <c r="M45" s="28">
        <v>0.46995704661337417</v>
      </c>
      <c r="N45" s="48">
        <v>0.33924030681285811</v>
      </c>
      <c r="O45" s="48">
        <v>0.68790182259992472</v>
      </c>
      <c r="P45" s="48">
        <v>0.29887292785152092</v>
      </c>
      <c r="Q45" s="48">
        <v>0.70112707214847914</v>
      </c>
      <c r="R45" s="48">
        <v>0.12132136960569349</v>
      </c>
      <c r="S45" s="48">
        <v>0.8932160997258477</v>
      </c>
      <c r="T45" s="48">
        <v>0.11389999699411479</v>
      </c>
      <c r="U45" s="48">
        <v>0.88610000300588521</v>
      </c>
      <c r="V45" s="48">
        <v>0.99999999999000511</v>
      </c>
      <c r="W45" s="48">
        <v>1.6840591736383231E-11</v>
      </c>
      <c r="X45" s="48">
        <v>0.99999999998358124</v>
      </c>
      <c r="Y45" s="48">
        <v>1.6418793249366909E-11</v>
      </c>
      <c r="Z45" s="48">
        <v>0.33924030681285811</v>
      </c>
      <c r="AA45" s="48">
        <v>0.68790182259992472</v>
      </c>
      <c r="AB45" s="48">
        <v>0.32553831703891678</v>
      </c>
      <c r="AC45" s="48">
        <v>0.67446168296108322</v>
      </c>
      <c r="AD45" s="38">
        <v>8.6880052469512098E-9</v>
      </c>
      <c r="AE45" s="48">
        <v>0.99999999443458498</v>
      </c>
      <c r="AF45" s="48">
        <v>7.8680845172485192E-9</v>
      </c>
      <c r="AG45" s="48">
        <v>0.99999999213191548</v>
      </c>
      <c r="AH45" s="38">
        <v>1.3842638494642849E-5</v>
      </c>
      <c r="AI45" s="48">
        <v>0.99999011925657677</v>
      </c>
      <c r="AJ45" s="48">
        <v>1.215248034736049E-5</v>
      </c>
      <c r="AK45" s="48">
        <v>0.99998784751965264</v>
      </c>
      <c r="AL45" s="48">
        <v>3.8211572417738697E-2</v>
      </c>
      <c r="AM45" s="48">
        <v>0.9676470434726987</v>
      </c>
      <c r="AN45" s="48">
        <v>3.5220214636044078E-2</v>
      </c>
      <c r="AO45" s="48">
        <v>0.96477978536395592</v>
      </c>
      <c r="AP45" s="48">
        <v>1.631823268572254E-2</v>
      </c>
      <c r="AQ45" s="48">
        <v>0.98610916945956295</v>
      </c>
      <c r="AR45" s="48">
        <v>1.5088444472732609E-2</v>
      </c>
      <c r="AS45" s="48">
        <v>0.98491155552726739</v>
      </c>
      <c r="AT45" s="48">
        <v>1</v>
      </c>
      <c r="AU45" s="48">
        <v>1.5363105056700481E-38</v>
      </c>
      <c r="AV45" s="48">
        <v>1</v>
      </c>
      <c r="AW45" s="48">
        <v>4.6937153385856459E-38</v>
      </c>
      <c r="AX45" s="48">
        <v>0.84556710823239156</v>
      </c>
      <c r="AY45" s="48">
        <v>0.17304251071291021</v>
      </c>
      <c r="AZ45" s="48">
        <v>0.83643518838242337</v>
      </c>
      <c r="BA45" s="48">
        <v>0.16356481161757661</v>
      </c>
      <c r="BB45" s="48">
        <v>0.16151711141812949</v>
      </c>
      <c r="BC45" s="48">
        <v>0.85360274181912144</v>
      </c>
      <c r="BD45" s="48">
        <v>0.1538351264051647</v>
      </c>
      <c r="BE45" s="48">
        <v>0.84616487359483528</v>
      </c>
      <c r="BF45" s="48">
        <v>1</v>
      </c>
      <c r="BG45" s="28">
        <v>1.8663200391247981E-20</v>
      </c>
      <c r="BH45" s="28">
        <v>1</v>
      </c>
      <c r="BI45" s="28">
        <v>2.1393804087673269E-20</v>
      </c>
      <c r="BK45" s="29" t="s">
        <v>255</v>
      </c>
    </row>
    <row r="46" spans="1:63" x14ac:dyDescent="0.35">
      <c r="A46" s="28" t="s">
        <v>56</v>
      </c>
      <c r="B46" s="28">
        <v>0.99999999999798395</v>
      </c>
      <c r="C46" s="28">
        <v>3.458226107812958E-12</v>
      </c>
      <c r="D46" s="28">
        <v>0.9999999999965421</v>
      </c>
      <c r="E46" s="28">
        <v>3.4579275081758E-12</v>
      </c>
      <c r="F46" s="28">
        <v>9.3132563399741616E-5</v>
      </c>
      <c r="G46" s="28">
        <v>0.99993127286383343</v>
      </c>
      <c r="H46" s="28">
        <v>8.1986969491132378E-5</v>
      </c>
      <c r="I46" s="28">
        <v>0.99991801303050887</v>
      </c>
      <c r="J46" s="28">
        <v>8.7576396766929094E-3</v>
      </c>
      <c r="K46" s="28">
        <v>0.99288163498380022</v>
      </c>
      <c r="L46" s="28">
        <v>7.9306663698865965E-3</v>
      </c>
      <c r="M46" s="28">
        <v>0.9920693336301134</v>
      </c>
      <c r="N46" s="48">
        <v>1</v>
      </c>
      <c r="O46" s="48">
        <v>5.947395794988822E-18</v>
      </c>
      <c r="P46" s="48">
        <v>1</v>
      </c>
      <c r="Q46" s="48">
        <v>8.1379739360316048E-18</v>
      </c>
      <c r="R46" s="48">
        <v>5.7558510126729696E-3</v>
      </c>
      <c r="S46" s="48">
        <v>0.99537016444620019</v>
      </c>
      <c r="T46" s="48">
        <v>5.1908978948508322E-3</v>
      </c>
      <c r="U46" s="48">
        <v>0.99480910210514917</v>
      </c>
      <c r="V46" s="48">
        <v>0.9999999913119948</v>
      </c>
      <c r="W46" s="48">
        <v>1.348421393509673E-8</v>
      </c>
      <c r="X46" s="48">
        <v>0.99999998783221156</v>
      </c>
      <c r="Y46" s="48">
        <v>1.2167788454856519E-8</v>
      </c>
      <c r="Z46" s="48">
        <v>0.99999831688327856</v>
      </c>
      <c r="AA46" s="48">
        <v>2.425141220284132E-6</v>
      </c>
      <c r="AB46" s="48">
        <v>0.99999786766127818</v>
      </c>
      <c r="AC46" s="48">
        <v>2.1323387218256759E-6</v>
      </c>
      <c r="AD46" s="48">
        <v>8.7576396766929094E-3</v>
      </c>
      <c r="AE46" s="48">
        <v>0.99288163498380022</v>
      </c>
      <c r="AF46" s="48">
        <v>7.9306663698865965E-3</v>
      </c>
      <c r="AG46" s="48">
        <v>0.9920693336301134</v>
      </c>
      <c r="AH46" s="48">
        <v>7.7224614927399764E-19</v>
      </c>
      <c r="AI46" s="48">
        <v>1</v>
      </c>
      <c r="AJ46" s="48">
        <v>0</v>
      </c>
      <c r="AK46" s="48">
        <v>1</v>
      </c>
      <c r="AL46" s="48">
        <v>0.99997328140396202</v>
      </c>
      <c r="AM46" s="48">
        <v>3.6812046908991251E-5</v>
      </c>
      <c r="AN46" s="48">
        <v>0.99996765632974705</v>
      </c>
      <c r="AO46" s="48">
        <v>3.2343670252948268E-5</v>
      </c>
      <c r="AP46" s="38">
        <v>5.2904122347699522E-29</v>
      </c>
      <c r="AQ46" s="48">
        <v>1</v>
      </c>
      <c r="AR46" s="48">
        <v>0</v>
      </c>
      <c r="AS46" s="48">
        <v>1</v>
      </c>
      <c r="AT46" s="48">
        <v>0.99999999979237009</v>
      </c>
      <c r="AU46" s="48">
        <v>2.8520920080195801E-10</v>
      </c>
      <c r="AV46" s="48">
        <v>0.99999999973721487</v>
      </c>
      <c r="AW46" s="48">
        <v>2.627850973028444E-10</v>
      </c>
      <c r="AX46" s="48">
        <v>0.99999999965971842</v>
      </c>
      <c r="AY46" s="48">
        <v>5.5012734621003682E-10</v>
      </c>
      <c r="AZ46" s="48">
        <v>0.99999999948793916</v>
      </c>
      <c r="BA46" s="48">
        <v>5.1206087656329149E-10</v>
      </c>
      <c r="BB46" s="48">
        <v>1.478956200573578E-16</v>
      </c>
      <c r="BC46" s="48">
        <v>0.99999999999999989</v>
      </c>
      <c r="BD46" s="48">
        <v>1.110223024625157E-16</v>
      </c>
      <c r="BE46" s="48">
        <v>0.99999999999999989</v>
      </c>
      <c r="BF46" s="48">
        <v>0.99999347680462847</v>
      </c>
      <c r="BG46" s="28">
        <v>8.1740739180695412E-6</v>
      </c>
      <c r="BH46" s="28">
        <v>0.9999925637712187</v>
      </c>
      <c r="BI46" s="28">
        <v>7.4362287813518399E-6</v>
      </c>
      <c r="BK46" s="29" t="s">
        <v>255</v>
      </c>
    </row>
    <row r="47" spans="1:63" x14ac:dyDescent="0.35">
      <c r="A47" s="28" t="s">
        <v>57</v>
      </c>
      <c r="B47" s="28">
        <v>1.9276980083773721E-46</v>
      </c>
      <c r="C47" s="28">
        <v>1</v>
      </c>
      <c r="D47" s="28">
        <v>0</v>
      </c>
      <c r="E47" s="28">
        <v>1</v>
      </c>
      <c r="F47" s="28">
        <v>8.8418329764702732E-10</v>
      </c>
      <c r="G47" s="28">
        <v>0.99999999944987261</v>
      </c>
      <c r="H47" s="28">
        <v>8.1864826029232063E-10</v>
      </c>
      <c r="I47" s="28">
        <v>0.99999999918135174</v>
      </c>
      <c r="J47" s="28">
        <v>0.99855974075723575</v>
      </c>
      <c r="K47" s="28">
        <v>1.838572134761929E-3</v>
      </c>
      <c r="L47" s="28">
        <v>0.99835753791918813</v>
      </c>
      <c r="M47" s="28">
        <v>1.642462080811845E-3</v>
      </c>
      <c r="N47" s="38">
        <v>3.837347498761025E-65</v>
      </c>
      <c r="O47" s="48">
        <v>1</v>
      </c>
      <c r="P47" s="48">
        <v>0</v>
      </c>
      <c r="Q47" s="48">
        <v>1</v>
      </c>
      <c r="R47" s="48">
        <v>1</v>
      </c>
      <c r="S47" s="48">
        <v>1.240409552897812E-22</v>
      </c>
      <c r="T47" s="48">
        <v>1</v>
      </c>
      <c r="U47" s="48">
        <v>2.4973315511776192E-22</v>
      </c>
      <c r="V47" s="48">
        <v>0.1371961135641718</v>
      </c>
      <c r="W47" s="48">
        <v>0.87867863039430649</v>
      </c>
      <c r="X47" s="48">
        <v>0.12909752379197201</v>
      </c>
      <c r="Y47" s="48">
        <v>0.87090247620802796</v>
      </c>
      <c r="Z47" s="38">
        <v>1.1679391231761289E-62</v>
      </c>
      <c r="AA47" s="48">
        <v>1</v>
      </c>
      <c r="AB47" s="48">
        <v>0</v>
      </c>
      <c r="AC47" s="48">
        <v>1</v>
      </c>
      <c r="AD47" s="48">
        <v>6.1112744934414411E-2</v>
      </c>
      <c r="AE47" s="48">
        <v>0.94748427449911499</v>
      </c>
      <c r="AF47" s="48">
        <v>5.6718190418091563E-2</v>
      </c>
      <c r="AG47" s="48">
        <v>0.94328180958190844</v>
      </c>
      <c r="AH47" s="48">
        <v>0.71406108938773216</v>
      </c>
      <c r="AI47" s="48">
        <v>0.31209817740007528</v>
      </c>
      <c r="AJ47" s="48">
        <v>0.70112707214848013</v>
      </c>
      <c r="AK47" s="48">
        <v>0.29887292785151992</v>
      </c>
      <c r="AL47" s="48">
        <v>7.773941077768152E-11</v>
      </c>
      <c r="AM47" s="48">
        <v>0.99999999995303379</v>
      </c>
      <c r="AN47" s="48">
        <v>7.414890923485018E-11</v>
      </c>
      <c r="AO47" s="48">
        <v>0.99999999992585109</v>
      </c>
      <c r="AP47" s="48">
        <v>4.0569702675854434E-3</v>
      </c>
      <c r="AQ47" s="48">
        <v>0.99664758972954359</v>
      </c>
      <c r="AR47" s="48">
        <v>3.7051272013021159E-3</v>
      </c>
      <c r="AS47" s="48">
        <v>0.99629487279869788</v>
      </c>
      <c r="AT47" s="48">
        <v>0.91710320520539457</v>
      </c>
      <c r="AU47" s="48">
        <v>9.071853013336878E-2</v>
      </c>
      <c r="AV47" s="48">
        <v>0.91324883580213156</v>
      </c>
      <c r="AW47" s="48">
        <v>8.6751164197868491E-2</v>
      </c>
      <c r="AX47" s="48">
        <v>7.7754249024820046E-38</v>
      </c>
      <c r="AY47" s="48">
        <v>1</v>
      </c>
      <c r="AZ47" s="48">
        <v>0</v>
      </c>
      <c r="BA47" s="48">
        <v>1</v>
      </c>
      <c r="BB47" s="38">
        <v>6.4465813507665597E-40</v>
      </c>
      <c r="BC47" s="48">
        <v>1</v>
      </c>
      <c r="BD47" s="48">
        <v>0</v>
      </c>
      <c r="BE47" s="48">
        <v>1</v>
      </c>
      <c r="BF47" s="48">
        <v>1</v>
      </c>
      <c r="BG47" s="28">
        <v>4.0448883537246782E-37</v>
      </c>
      <c r="BH47" s="28">
        <v>1</v>
      </c>
      <c r="BI47" s="28">
        <v>1.113889377366257E-36</v>
      </c>
      <c r="BK47" s="29" t="s">
        <v>255</v>
      </c>
    </row>
    <row r="48" spans="1:63" x14ac:dyDescent="0.35">
      <c r="A48" s="30" t="s">
        <v>58</v>
      </c>
      <c r="B48" s="30">
        <v>1.161278070274943E-73</v>
      </c>
      <c r="C48" s="30">
        <v>1</v>
      </c>
      <c r="D48" s="30">
        <v>0</v>
      </c>
      <c r="E48" s="30">
        <v>1</v>
      </c>
      <c r="F48" s="30">
        <v>1.305113666870847E-2</v>
      </c>
      <c r="G48" s="30">
        <v>0.98928135886028723</v>
      </c>
      <c r="H48" s="30">
        <v>1.186925762502733E-2</v>
      </c>
      <c r="I48" s="30">
        <v>0.98813074237497267</v>
      </c>
      <c r="J48" s="30">
        <v>1.412799308712125E-9</v>
      </c>
      <c r="K48" s="30">
        <v>0.99999999911581672</v>
      </c>
      <c r="L48" s="30">
        <v>1.301559859889778E-9</v>
      </c>
      <c r="M48" s="30">
        <v>0.99999999869844014</v>
      </c>
      <c r="N48" s="38">
        <v>1.173198000799468E-39</v>
      </c>
      <c r="O48" s="49">
        <v>1</v>
      </c>
      <c r="P48" s="49">
        <v>0</v>
      </c>
      <c r="Q48" s="49">
        <v>1</v>
      </c>
      <c r="R48" s="49">
        <v>0.99999999999993028</v>
      </c>
      <c r="S48" s="49">
        <v>1.240624711943028E-13</v>
      </c>
      <c r="T48" s="49">
        <v>0.99999999999986811</v>
      </c>
      <c r="U48" s="49">
        <v>1.319407581265117E-13</v>
      </c>
      <c r="V48" s="49">
        <v>0.99999999999999989</v>
      </c>
      <c r="W48" s="49">
        <v>2.9804535640973499E-16</v>
      </c>
      <c r="X48" s="49">
        <v>0.99999999999999967</v>
      </c>
      <c r="Y48" s="49">
        <v>3.648972880327134E-16</v>
      </c>
      <c r="Z48" s="49">
        <v>2.527851327681256E-21</v>
      </c>
      <c r="AA48" s="49">
        <v>1</v>
      </c>
      <c r="AB48" s="49">
        <v>0</v>
      </c>
      <c r="AC48" s="49">
        <v>1</v>
      </c>
      <c r="AD48" s="49">
        <v>0.99999999999000511</v>
      </c>
      <c r="AE48" s="49">
        <v>1.6840591736383231E-11</v>
      </c>
      <c r="AF48" s="49">
        <v>0.99999999998358124</v>
      </c>
      <c r="AG48" s="49">
        <v>1.6418793249366909E-11</v>
      </c>
      <c r="AH48" s="49">
        <v>4.4907133435382003E-2</v>
      </c>
      <c r="AI48" s="49">
        <v>0.96178842758226124</v>
      </c>
      <c r="AJ48" s="49">
        <v>4.1486530362206182E-2</v>
      </c>
      <c r="AK48" s="49">
        <v>0.95851346963779382</v>
      </c>
      <c r="AL48" s="49">
        <v>4.586218185315306E-36</v>
      </c>
      <c r="AM48" s="49">
        <v>1</v>
      </c>
      <c r="AN48" s="49">
        <v>0</v>
      </c>
      <c r="AO48" s="49">
        <v>1</v>
      </c>
      <c r="AP48" s="49">
        <v>0.16151711141812949</v>
      </c>
      <c r="AQ48" s="49">
        <v>0.85360274181912144</v>
      </c>
      <c r="AR48" s="49">
        <v>0.1538351264051647</v>
      </c>
      <c r="AS48" s="49">
        <v>0.84616487359483528</v>
      </c>
      <c r="AT48" s="49">
        <v>7.7139783622012847E-24</v>
      </c>
      <c r="AU48" s="49">
        <v>1</v>
      </c>
      <c r="AV48" s="49">
        <v>0</v>
      </c>
      <c r="AW48" s="49">
        <v>1</v>
      </c>
      <c r="AX48" s="49">
        <v>1.741043016652972E-42</v>
      </c>
      <c r="AY48" s="49">
        <v>1</v>
      </c>
      <c r="AZ48" s="49">
        <v>0</v>
      </c>
      <c r="BA48" s="49">
        <v>1</v>
      </c>
      <c r="BB48" s="49">
        <v>9.5587579314308072E-2</v>
      </c>
      <c r="BC48" s="49">
        <v>0.91479567364157521</v>
      </c>
      <c r="BD48" s="49">
        <v>9.0299808246961932E-2</v>
      </c>
      <c r="BE48" s="49">
        <v>0.90970019175303807</v>
      </c>
      <c r="BF48" s="49">
        <v>0.9987372854509583</v>
      </c>
      <c r="BG48" s="30">
        <v>1.485512638275696E-3</v>
      </c>
      <c r="BH48" s="30">
        <v>0.99862452909263699</v>
      </c>
      <c r="BI48" s="30">
        <v>1.375470907363034E-3</v>
      </c>
      <c r="BK48" s="31" t="s">
        <v>266</v>
      </c>
    </row>
    <row r="49" spans="1:63" x14ac:dyDescent="0.35">
      <c r="A49" s="30" t="s">
        <v>59</v>
      </c>
      <c r="B49" s="30">
        <v>1.3944129081349429E-94</v>
      </c>
      <c r="C49" s="30">
        <v>1</v>
      </c>
      <c r="D49" s="30">
        <v>0</v>
      </c>
      <c r="E49" s="30">
        <v>1</v>
      </c>
      <c r="F49" s="30">
        <v>0.9999999913119948</v>
      </c>
      <c r="G49" s="30">
        <v>1.348421393509673E-8</v>
      </c>
      <c r="H49" s="30">
        <v>0.99999998783221156</v>
      </c>
      <c r="I49" s="30">
        <v>1.2167788454856519E-8</v>
      </c>
      <c r="J49" s="30">
        <v>2.0160533626992649E-12</v>
      </c>
      <c r="K49" s="30">
        <v>0.99999999999883171</v>
      </c>
      <c r="L49" s="30">
        <v>2.0345947149280619E-12</v>
      </c>
      <c r="M49" s="30">
        <v>0.99999999999796541</v>
      </c>
      <c r="N49" s="49">
        <v>1.672935226012477E-36</v>
      </c>
      <c r="O49" s="49">
        <v>1</v>
      </c>
      <c r="P49" s="49">
        <v>0</v>
      </c>
      <c r="Q49" s="49">
        <v>1</v>
      </c>
      <c r="R49" s="49">
        <v>0.99999999999993028</v>
      </c>
      <c r="S49" s="49">
        <v>1.240624711943028E-13</v>
      </c>
      <c r="T49" s="49">
        <v>0.99999999999986811</v>
      </c>
      <c r="U49" s="49">
        <v>1.319407581265117E-13</v>
      </c>
      <c r="V49" s="49">
        <v>0.21434594520575251</v>
      </c>
      <c r="W49" s="49">
        <v>0.80697951600757256</v>
      </c>
      <c r="X49" s="49">
        <v>0.20350801363568721</v>
      </c>
      <c r="Y49" s="49">
        <v>0.79649198636431284</v>
      </c>
      <c r="Z49" s="38">
        <v>2.1086597790866719E-84</v>
      </c>
      <c r="AA49" s="49">
        <v>1</v>
      </c>
      <c r="AB49" s="49">
        <v>0</v>
      </c>
      <c r="AC49" s="49">
        <v>1</v>
      </c>
      <c r="AD49" s="49">
        <v>1</v>
      </c>
      <c r="AE49" s="49">
        <v>7.7444877599609219E-61</v>
      </c>
      <c r="AF49" s="49">
        <v>1</v>
      </c>
      <c r="AG49" s="49">
        <v>2.9381118074175331E-57</v>
      </c>
      <c r="AH49" s="49">
        <v>2.820711655906156E-11</v>
      </c>
      <c r="AI49" s="49">
        <v>0.99999999998315936</v>
      </c>
      <c r="AJ49" s="49">
        <v>2.7290614212915901E-11</v>
      </c>
      <c r="AK49" s="49">
        <v>0.99999999997270939</v>
      </c>
      <c r="AL49" s="49">
        <v>5.5638477973692838E-73</v>
      </c>
      <c r="AM49" s="49">
        <v>1</v>
      </c>
      <c r="AN49" s="49">
        <v>0</v>
      </c>
      <c r="AO49" s="49">
        <v>1</v>
      </c>
      <c r="AP49" s="49">
        <v>0.9999954643317559</v>
      </c>
      <c r="AQ49" s="49">
        <v>6.0958071557261596E-6</v>
      </c>
      <c r="AR49" s="49">
        <v>0.9999945694520268</v>
      </c>
      <c r="AS49" s="49">
        <v>5.4305479732201839E-6</v>
      </c>
      <c r="AT49" s="38">
        <v>9.0480276144684775E-46</v>
      </c>
      <c r="AU49" s="49">
        <v>1</v>
      </c>
      <c r="AV49" s="49">
        <v>0</v>
      </c>
      <c r="AW49" s="49">
        <v>1</v>
      </c>
      <c r="AX49" s="38">
        <v>1.945343773751816E-81</v>
      </c>
      <c r="AY49" s="49">
        <v>1</v>
      </c>
      <c r="AZ49" s="49">
        <v>0</v>
      </c>
      <c r="BA49" s="49">
        <v>1</v>
      </c>
      <c r="BB49" s="49">
        <v>1</v>
      </c>
      <c r="BC49" s="49">
        <v>1.3452860879497699E-25</v>
      </c>
      <c r="BD49" s="49">
        <v>1</v>
      </c>
      <c r="BE49" s="49">
        <v>2.61203959012838E-25</v>
      </c>
      <c r="BF49" s="49">
        <v>0.14932314264485841</v>
      </c>
      <c r="BG49" s="30">
        <v>0.86188756165359359</v>
      </c>
      <c r="BH49" s="30">
        <v>0.1436456292654669</v>
      </c>
      <c r="BI49" s="30">
        <v>0.85635437073453313</v>
      </c>
      <c r="BK49" s="31" t="s">
        <v>266</v>
      </c>
    </row>
    <row r="50" spans="1:63" x14ac:dyDescent="0.35">
      <c r="A50" s="30" t="s">
        <v>60</v>
      </c>
      <c r="B50" s="30">
        <v>1</v>
      </c>
      <c r="C50" s="30">
        <v>2.178335365085946E-37</v>
      </c>
      <c r="D50" s="30">
        <v>1</v>
      </c>
      <c r="E50" s="30">
        <v>3.180377913453164E-36</v>
      </c>
      <c r="F50" s="30">
        <v>4.9411160066861492E-25</v>
      </c>
      <c r="G50" s="30">
        <v>1</v>
      </c>
      <c r="H50" s="30">
        <v>0</v>
      </c>
      <c r="I50" s="30">
        <v>1</v>
      </c>
      <c r="J50" s="30">
        <v>0.99983177687150404</v>
      </c>
      <c r="K50" s="30">
        <v>2.2423766932352069E-4</v>
      </c>
      <c r="L50" s="30">
        <v>0.99980201728178342</v>
      </c>
      <c r="M50" s="30">
        <v>1.979827182166197E-4</v>
      </c>
      <c r="N50" s="49">
        <v>0.26086961327395092</v>
      </c>
      <c r="O50" s="49">
        <v>0.76301913543624389</v>
      </c>
      <c r="P50" s="49">
        <v>0.2487588880649938</v>
      </c>
      <c r="Q50" s="49">
        <v>0.7512411119350062</v>
      </c>
      <c r="R50" s="49">
        <v>1.838572134761929E-3</v>
      </c>
      <c r="S50" s="49">
        <v>0.99855974075723575</v>
      </c>
      <c r="T50" s="49">
        <v>1.642462080811868E-3</v>
      </c>
      <c r="U50" s="49">
        <v>0.99835753791918813</v>
      </c>
      <c r="V50" s="49">
        <v>0.99999999443458498</v>
      </c>
      <c r="W50" s="49">
        <v>8.6880052469512098E-9</v>
      </c>
      <c r="X50" s="49">
        <v>0.99999999213191548</v>
      </c>
      <c r="Y50" s="49">
        <v>7.8680844944330399E-9</v>
      </c>
      <c r="Z50" s="49">
        <v>0.9869488633312915</v>
      </c>
      <c r="AA50" s="49">
        <v>1.5809691752536308E-2</v>
      </c>
      <c r="AB50" s="49">
        <v>0.98559063337486219</v>
      </c>
      <c r="AC50" s="49">
        <v>1.440936662513778E-2</v>
      </c>
      <c r="AD50" s="38">
        <v>1.173198000799468E-39</v>
      </c>
      <c r="AE50" s="49">
        <v>1</v>
      </c>
      <c r="AF50" s="49">
        <v>0</v>
      </c>
      <c r="AG50" s="49">
        <v>1</v>
      </c>
      <c r="AH50" s="49">
        <v>1.348421393509673E-8</v>
      </c>
      <c r="AI50" s="49">
        <v>0.9999999913119948</v>
      </c>
      <c r="AJ50" s="49">
        <v>1.216778844348454E-8</v>
      </c>
      <c r="AK50" s="49">
        <v>0.99999998783221156</v>
      </c>
      <c r="AL50" s="49">
        <v>0.99999999999999645</v>
      </c>
      <c r="AM50" s="49">
        <v>6.5633437089035283E-15</v>
      </c>
      <c r="AN50" s="49">
        <v>0.99999999999998668</v>
      </c>
      <c r="AO50" s="49">
        <v>1.3373566472415501E-14</v>
      </c>
      <c r="AP50" s="38">
        <v>4.9172353737614231E-57</v>
      </c>
      <c r="AQ50" s="49">
        <v>1</v>
      </c>
      <c r="AR50" s="49">
        <v>0</v>
      </c>
      <c r="AS50" s="49">
        <v>1</v>
      </c>
      <c r="AT50" s="49">
        <v>0.34608177385215699</v>
      </c>
      <c r="AU50" s="49">
        <v>0.67198887317150136</v>
      </c>
      <c r="AV50" s="49">
        <v>0.31911461974557059</v>
      </c>
      <c r="AW50" s="49">
        <v>0.68088538025442935</v>
      </c>
      <c r="AX50" s="49">
        <v>0.99999999911581672</v>
      </c>
      <c r="AY50" s="49">
        <v>1.412799308712125E-9</v>
      </c>
      <c r="AZ50" s="49">
        <v>0.99999999869844014</v>
      </c>
      <c r="BA50" s="49">
        <v>1.301559873397955E-9</v>
      </c>
      <c r="BB50" s="38">
        <v>1.8390390166130869E-43</v>
      </c>
      <c r="BC50" s="49">
        <v>1</v>
      </c>
      <c r="BD50" s="49">
        <v>0</v>
      </c>
      <c r="BE50" s="49">
        <v>1</v>
      </c>
      <c r="BF50" s="49">
        <v>1</v>
      </c>
      <c r="BG50" s="30">
        <v>5.4738095358341312E-17</v>
      </c>
      <c r="BH50" s="30">
        <v>0.99999999999999989</v>
      </c>
      <c r="BI50" s="30">
        <v>5.6649828381912867E-17</v>
      </c>
      <c r="BK50" s="31" t="s">
        <v>266</v>
      </c>
    </row>
    <row r="51" spans="1:63" x14ac:dyDescent="0.35">
      <c r="A51" s="30" t="s">
        <v>61</v>
      </c>
      <c r="B51" s="30">
        <v>1</v>
      </c>
      <c r="C51" s="30">
        <v>4.6487864535216721E-20</v>
      </c>
      <c r="D51" s="30">
        <v>1</v>
      </c>
      <c r="E51" s="30">
        <v>7.4599831984933769E-20</v>
      </c>
      <c r="F51" s="30">
        <v>1</v>
      </c>
      <c r="G51" s="30">
        <v>1.885928027292221E-31</v>
      </c>
      <c r="H51" s="30">
        <v>1</v>
      </c>
      <c r="I51" s="30">
        <v>1.0791074548134779E-30</v>
      </c>
      <c r="J51" s="30">
        <v>1</v>
      </c>
      <c r="K51" s="30">
        <v>2.178335365085946E-37</v>
      </c>
      <c r="L51" s="30">
        <v>1</v>
      </c>
      <c r="M51" s="30">
        <v>3.180377913453164E-36</v>
      </c>
      <c r="N51" s="49">
        <v>4.3296064439747961E-17</v>
      </c>
      <c r="O51" s="49">
        <v>1</v>
      </c>
      <c r="P51" s="49">
        <v>1.110223024625157E-16</v>
      </c>
      <c r="Q51" s="49">
        <v>0.99999999999999989</v>
      </c>
      <c r="R51" s="49">
        <v>1</v>
      </c>
      <c r="S51" s="49">
        <v>1.6755297730258412E-33</v>
      </c>
      <c r="T51" s="49">
        <v>1</v>
      </c>
      <c r="U51" s="49">
        <v>3.17624928716035E-32</v>
      </c>
      <c r="V51" s="49">
        <v>1</v>
      </c>
      <c r="W51" s="49">
        <v>1.869928608147261E-43</v>
      </c>
      <c r="X51" s="49">
        <v>1</v>
      </c>
      <c r="Y51" s="49">
        <v>8.6408752887271399E-42</v>
      </c>
      <c r="Z51" s="49">
        <v>9.3132563399741616E-5</v>
      </c>
      <c r="AA51" s="49">
        <v>0.99993127286383343</v>
      </c>
      <c r="AB51" s="49">
        <v>8.1986969491132378E-5</v>
      </c>
      <c r="AC51" s="49">
        <v>0.99991801303050887</v>
      </c>
      <c r="AD51" s="49">
        <v>0.99948598562048263</v>
      </c>
      <c r="AE51" s="49">
        <v>6.7042759450837246E-4</v>
      </c>
      <c r="AF51" s="49">
        <v>0.9994049598082726</v>
      </c>
      <c r="AG51" s="49">
        <v>5.9504019172738302E-4</v>
      </c>
      <c r="AH51" s="49">
        <v>7.0771444478710852E-2</v>
      </c>
      <c r="AI51" s="49">
        <v>0.93888725506558557</v>
      </c>
      <c r="AJ51" s="49">
        <v>6.583400801140693E-2</v>
      </c>
      <c r="AK51" s="49">
        <v>0.93416599198859307</v>
      </c>
      <c r="AL51" s="49">
        <v>1</v>
      </c>
      <c r="AM51" s="49">
        <v>3.7963523261952142E-56</v>
      </c>
      <c r="AN51" s="49">
        <v>1</v>
      </c>
      <c r="AO51" s="49">
        <v>3.7242237622475958E-53</v>
      </c>
      <c r="AP51" s="49">
        <v>1</v>
      </c>
      <c r="AQ51" s="49">
        <v>1.9797325263251729E-22</v>
      </c>
      <c r="AR51" s="49">
        <v>1</v>
      </c>
      <c r="AS51" s="49">
        <v>3.0627435977526589E-22</v>
      </c>
      <c r="AT51" s="49">
        <v>1</v>
      </c>
      <c r="AU51" s="49">
        <v>9.3972742957142358E-66</v>
      </c>
      <c r="AV51" s="49">
        <v>1</v>
      </c>
      <c r="AW51" s="49">
        <v>5.0627481815493907E-64</v>
      </c>
      <c r="AX51" s="49">
        <v>0.99999999999997835</v>
      </c>
      <c r="AY51" s="49">
        <v>3.8989699383371863E-14</v>
      </c>
      <c r="AZ51" s="49">
        <v>0.99999999999995748</v>
      </c>
      <c r="BA51" s="49">
        <v>4.2478382908461559E-14</v>
      </c>
      <c r="BB51" s="49">
        <v>1</v>
      </c>
      <c r="BC51" s="49">
        <v>1.6591028541597021E-45</v>
      </c>
      <c r="BD51" s="49">
        <v>1</v>
      </c>
      <c r="BE51" s="49">
        <v>3.2039016499712532E-44</v>
      </c>
      <c r="BF51" s="49">
        <v>1</v>
      </c>
      <c r="BG51" s="30">
        <v>1.456006177647091E-95</v>
      </c>
      <c r="BH51" s="30">
        <v>1</v>
      </c>
      <c r="BI51" s="30">
        <v>1.256053082694641E-91</v>
      </c>
      <c r="BK51" s="31" t="s">
        <v>266</v>
      </c>
    </row>
    <row r="52" spans="1:63" x14ac:dyDescent="0.35">
      <c r="A52" s="30" t="s">
        <v>62</v>
      </c>
      <c r="B52" s="30">
        <v>2.6580516062331328E-70</v>
      </c>
      <c r="C52" s="30">
        <v>1</v>
      </c>
      <c r="D52" s="30">
        <v>0</v>
      </c>
      <c r="E52" s="30">
        <v>1</v>
      </c>
      <c r="F52" s="30">
        <v>0.99999995130455599</v>
      </c>
      <c r="G52" s="30">
        <v>7.3853968232725039E-8</v>
      </c>
      <c r="H52" s="30">
        <v>0.99999993414425803</v>
      </c>
      <c r="I52" s="30">
        <v>6.5855741945611969E-8</v>
      </c>
      <c r="J52" s="30">
        <v>4.3442945899577279E-29</v>
      </c>
      <c r="K52" s="30">
        <v>1</v>
      </c>
      <c r="L52" s="30">
        <v>0</v>
      </c>
      <c r="M52" s="30">
        <v>1</v>
      </c>
      <c r="N52" s="49">
        <v>2.527851327681256E-21</v>
      </c>
      <c r="O52" s="49">
        <v>1</v>
      </c>
      <c r="P52" s="49">
        <v>0</v>
      </c>
      <c r="Q52" s="49">
        <v>1</v>
      </c>
      <c r="R52" s="49">
        <v>1</v>
      </c>
      <c r="S52" s="49">
        <v>1.240409552897812E-22</v>
      </c>
      <c r="T52" s="49">
        <v>1</v>
      </c>
      <c r="U52" s="49">
        <v>2.4973315511776192E-22</v>
      </c>
      <c r="V52" s="38">
        <v>1.2013044069375279E-21</v>
      </c>
      <c r="W52" s="49">
        <v>1</v>
      </c>
      <c r="X52" s="49">
        <v>0</v>
      </c>
      <c r="Y52" s="49">
        <v>1</v>
      </c>
      <c r="Z52" s="49">
        <v>2.454723128522135E-68</v>
      </c>
      <c r="AA52" s="49">
        <v>1</v>
      </c>
      <c r="AB52" s="49">
        <v>0</v>
      </c>
      <c r="AC52" s="49">
        <v>1</v>
      </c>
      <c r="AD52" s="49">
        <v>1</v>
      </c>
      <c r="AE52" s="49">
        <v>1.948076402871339E-44</v>
      </c>
      <c r="AF52" s="49">
        <v>1</v>
      </c>
      <c r="AG52" s="49">
        <v>1.1052324561334901E-42</v>
      </c>
      <c r="AH52" s="38">
        <v>1.240624711943028E-13</v>
      </c>
      <c r="AI52" s="49">
        <v>0.99999999999993028</v>
      </c>
      <c r="AJ52" s="49">
        <v>1.318944953254686E-13</v>
      </c>
      <c r="AK52" s="49">
        <v>0.99999999999986811</v>
      </c>
      <c r="AL52" s="38">
        <v>9.8573896760042079E-99</v>
      </c>
      <c r="AM52" s="49">
        <v>1</v>
      </c>
      <c r="AN52" s="49">
        <v>0</v>
      </c>
      <c r="AO52" s="49">
        <v>1</v>
      </c>
      <c r="AP52" s="49">
        <v>0.96025424856792696</v>
      </c>
      <c r="AQ52" s="49">
        <v>4.5528921742181858E-2</v>
      </c>
      <c r="AR52" s="49">
        <v>0.95741604705802219</v>
      </c>
      <c r="AS52" s="49">
        <v>4.2583952941977823E-2</v>
      </c>
      <c r="AT52" s="49">
        <v>4.6653417237740486E-118</v>
      </c>
      <c r="AU52" s="49">
        <v>1</v>
      </c>
      <c r="AV52" s="49">
        <v>0</v>
      </c>
      <c r="AW52" s="49">
        <v>1</v>
      </c>
      <c r="AX52" s="49">
        <v>1.043564636923742E-80</v>
      </c>
      <c r="AY52" s="49">
        <v>1</v>
      </c>
      <c r="AZ52" s="49">
        <v>0</v>
      </c>
      <c r="BA52" s="49">
        <v>1</v>
      </c>
      <c r="BB52" s="49">
        <v>1</v>
      </c>
      <c r="BC52" s="49">
        <v>1.5210096663140131E-68</v>
      </c>
      <c r="BD52" s="49">
        <v>1</v>
      </c>
      <c r="BE52" s="49">
        <v>2.7586645094094632E-65</v>
      </c>
      <c r="BF52" s="38">
        <v>6.3856831919058721E-101</v>
      </c>
      <c r="BG52" s="30">
        <v>1</v>
      </c>
      <c r="BH52" s="30">
        <v>0</v>
      </c>
      <c r="BI52" s="30">
        <v>1</v>
      </c>
      <c r="BK52" s="31" t="s">
        <v>266</v>
      </c>
    </row>
    <row r="53" spans="1:63" x14ac:dyDescent="0.35">
      <c r="A53" s="14" t="s">
        <v>63</v>
      </c>
      <c r="B53" s="14">
        <v>6.0586065370963564E-37</v>
      </c>
      <c r="C53" s="14">
        <v>1</v>
      </c>
      <c r="D53" s="14">
        <v>0</v>
      </c>
      <c r="E53" s="14">
        <v>1</v>
      </c>
      <c r="F53" s="14">
        <v>0.99999999998315936</v>
      </c>
      <c r="G53" s="14">
        <v>2.820711655906156E-11</v>
      </c>
      <c r="H53" s="14">
        <v>0.99999999997270939</v>
      </c>
      <c r="I53" s="14">
        <v>2.7290559768363851E-11</v>
      </c>
      <c r="J53" s="14">
        <v>8.6972830393244492E-4</v>
      </c>
      <c r="K53" s="14">
        <v>0.99932957240549158</v>
      </c>
      <c r="L53" s="14">
        <v>7.7310173854039377E-4</v>
      </c>
      <c r="M53" s="14">
        <v>0.99922689826145961</v>
      </c>
      <c r="N53" s="40">
        <v>9.4747657568744627E-20</v>
      </c>
      <c r="O53" s="40">
        <v>1</v>
      </c>
      <c r="P53" s="40">
        <v>0</v>
      </c>
      <c r="Q53" s="40">
        <v>1</v>
      </c>
      <c r="R53" s="40">
        <v>0.99124236032330704</v>
      </c>
      <c r="S53" s="40">
        <v>1.07186411397128E-2</v>
      </c>
      <c r="T53" s="40">
        <v>0.99027294186738102</v>
      </c>
      <c r="U53" s="40">
        <v>9.7270581326189907E-3</v>
      </c>
      <c r="V53" s="40">
        <v>4.3442945899577279E-29</v>
      </c>
      <c r="W53" s="40">
        <v>1</v>
      </c>
      <c r="X53" s="40">
        <v>0</v>
      </c>
      <c r="Y53" s="40">
        <v>1</v>
      </c>
      <c r="Z53" s="40">
        <v>2.4113559914503591E-34</v>
      </c>
      <c r="AA53" s="40">
        <v>1</v>
      </c>
      <c r="AB53" s="40">
        <v>0</v>
      </c>
      <c r="AC53" s="40">
        <v>1</v>
      </c>
      <c r="AD53" s="40">
        <v>0.999999999999999</v>
      </c>
      <c r="AE53" s="40">
        <v>1.9408233207544449E-15</v>
      </c>
      <c r="AF53" s="40">
        <v>0.99999999999999778</v>
      </c>
      <c r="AG53" s="40">
        <v>2.2654156712888781E-15</v>
      </c>
      <c r="AH53" s="38">
        <v>1.161548776651688E-6</v>
      </c>
      <c r="AI53" s="40">
        <v>0.99999920292038957</v>
      </c>
      <c r="AJ53" s="40">
        <v>1.023117284004726E-6</v>
      </c>
      <c r="AK53" s="40">
        <v>0.999998976882716</v>
      </c>
      <c r="AL53" s="40">
        <v>4.6966155646112112E-11</v>
      </c>
      <c r="AM53" s="40">
        <v>0.9999999999717929</v>
      </c>
      <c r="AN53" s="40">
        <v>4.5109360691242273E-11</v>
      </c>
      <c r="AO53" s="40">
        <v>0.99999999995489064</v>
      </c>
      <c r="AP53" s="40">
        <v>1</v>
      </c>
      <c r="AQ53" s="40">
        <v>2.293503273485017E-28</v>
      </c>
      <c r="AR53" s="40">
        <v>1</v>
      </c>
      <c r="AS53" s="40">
        <v>5.6028568237205951E-28</v>
      </c>
      <c r="AT53" s="40">
        <v>4.2342124969112131E-26</v>
      </c>
      <c r="AU53" s="40">
        <v>1</v>
      </c>
      <c r="AV53" s="40">
        <v>0</v>
      </c>
      <c r="AW53" s="40">
        <v>1</v>
      </c>
      <c r="AX53" s="40">
        <v>3.0901002623633379E-52</v>
      </c>
      <c r="AY53" s="40">
        <v>1</v>
      </c>
      <c r="AZ53" s="40">
        <v>0</v>
      </c>
      <c r="BA53" s="40">
        <v>1</v>
      </c>
      <c r="BB53" s="40">
        <v>1</v>
      </c>
      <c r="BC53" s="40">
        <v>5.4239885053764207E-18</v>
      </c>
      <c r="BD53" s="40">
        <v>1</v>
      </c>
      <c r="BE53" s="40">
        <v>6.5092502548255929E-18</v>
      </c>
      <c r="BF53" s="40">
        <v>3.2423801973958432E-15</v>
      </c>
      <c r="BG53" s="14">
        <v>0.99999999999999778</v>
      </c>
      <c r="BH53" s="14">
        <v>3.219646771412954E-15</v>
      </c>
      <c r="BI53" s="14">
        <v>0.99999999999999678</v>
      </c>
      <c r="BK53" s="15" t="s">
        <v>277</v>
      </c>
    </row>
    <row r="54" spans="1:63" x14ac:dyDescent="0.35">
      <c r="A54" s="14" t="s">
        <v>64</v>
      </c>
      <c r="B54" s="14">
        <v>0.8932160997258477</v>
      </c>
      <c r="C54" s="14">
        <v>0.12132136960569349</v>
      </c>
      <c r="D54" s="14">
        <v>0.88610000300588521</v>
      </c>
      <c r="E54" s="14">
        <v>0.1138999969941147</v>
      </c>
      <c r="F54" s="14">
        <v>1</v>
      </c>
      <c r="G54" s="14">
        <v>4.0368089073880516E-40</v>
      </c>
      <c r="H54" s="14">
        <v>1</v>
      </c>
      <c r="I54" s="14">
        <v>9.6630554405166921E-39</v>
      </c>
      <c r="J54" s="14">
        <v>0.99999999858720068</v>
      </c>
      <c r="K54" s="14">
        <v>2.2443084356065412E-9</v>
      </c>
      <c r="L54" s="14">
        <v>0.99999999794210426</v>
      </c>
      <c r="M54" s="14">
        <v>2.057895758847207E-9</v>
      </c>
      <c r="N54" s="40">
        <v>9.3132563399741616E-5</v>
      </c>
      <c r="O54" s="40">
        <v>0.99993127286383343</v>
      </c>
      <c r="P54" s="40">
        <v>8.1986969491132378E-5</v>
      </c>
      <c r="Q54" s="40">
        <v>0.99991801303050887</v>
      </c>
      <c r="R54" s="40">
        <v>1</v>
      </c>
      <c r="S54" s="40">
        <v>5.1856979116479421E-55</v>
      </c>
      <c r="T54" s="40">
        <v>1</v>
      </c>
      <c r="U54" s="40">
        <v>3.7342438086888599E-52</v>
      </c>
      <c r="V54" s="40">
        <v>7.9707961039300455E-7</v>
      </c>
      <c r="W54" s="40">
        <v>0.99999945612132479</v>
      </c>
      <c r="X54" s="40">
        <v>7.028967590194668E-7</v>
      </c>
      <c r="Y54" s="40">
        <v>0.99999929710324098</v>
      </c>
      <c r="Z54" s="40">
        <v>7.9707961039300455E-7</v>
      </c>
      <c r="AA54" s="40">
        <v>0.99999945612132479</v>
      </c>
      <c r="AB54" s="40">
        <v>7.028967590194668E-7</v>
      </c>
      <c r="AC54" s="40">
        <v>0.99999929710324098</v>
      </c>
      <c r="AD54" s="40">
        <v>1</v>
      </c>
      <c r="AE54" s="40">
        <v>4.3442945899577279E-29</v>
      </c>
      <c r="AF54" s="40">
        <v>1</v>
      </c>
      <c r="AG54" s="40">
        <v>4.1521906153856739E-28</v>
      </c>
      <c r="AH54" s="40">
        <v>1.9053548193704001E-2</v>
      </c>
      <c r="AI54" s="40">
        <v>0.98419030824746367</v>
      </c>
      <c r="AJ54" s="40">
        <v>1.440936662513792E-2</v>
      </c>
      <c r="AK54" s="40">
        <v>0.98559063337486208</v>
      </c>
      <c r="AL54" s="40">
        <v>0.96178842758226124</v>
      </c>
      <c r="AM54" s="40">
        <v>4.4907133435382003E-2</v>
      </c>
      <c r="AN54" s="40">
        <v>0.9585134696377936</v>
      </c>
      <c r="AO54" s="40">
        <v>4.1486530362206432E-2</v>
      </c>
      <c r="AP54" s="40">
        <v>1</v>
      </c>
      <c r="AQ54" s="40">
        <v>2.6400965477779032E-72</v>
      </c>
      <c r="AR54" s="40">
        <v>1</v>
      </c>
      <c r="AS54" s="40">
        <v>1.2209622226072819E-68</v>
      </c>
      <c r="AT54" s="40">
        <v>0.99999999999996669</v>
      </c>
      <c r="AU54" s="40">
        <v>4.8624237484994682E-14</v>
      </c>
      <c r="AV54" s="40">
        <v>0.99999999999995282</v>
      </c>
      <c r="AW54" s="40">
        <v>4.7175616965351608E-14</v>
      </c>
      <c r="AX54" s="40">
        <v>1.838572134761929E-3</v>
      </c>
      <c r="AY54" s="40">
        <v>0.99855974075723575</v>
      </c>
      <c r="AZ54" s="40">
        <v>1.284415763511348E-3</v>
      </c>
      <c r="BA54" s="40">
        <v>0.99871558423648865</v>
      </c>
      <c r="BB54" s="40">
        <v>1</v>
      </c>
      <c r="BC54" s="40">
        <v>1.8142314102217739E-78</v>
      </c>
      <c r="BD54" s="40">
        <v>1</v>
      </c>
      <c r="BE54" s="40">
        <v>4.3844557123923438E-74</v>
      </c>
      <c r="BF54" s="40">
        <v>0.99999999999462763</v>
      </c>
      <c r="BG54" s="14">
        <v>7.5824048762299441E-12</v>
      </c>
      <c r="BH54" s="14">
        <v>0.99999999999289202</v>
      </c>
      <c r="BI54" s="14">
        <v>7.107974522321198E-12</v>
      </c>
      <c r="BK54" s="15" t="s">
        <v>277</v>
      </c>
    </row>
    <row r="55" spans="1:63" x14ac:dyDescent="0.35">
      <c r="A55" s="14" t="s">
        <v>65</v>
      </c>
      <c r="B55" s="14">
        <v>1.9285241824994172E-5</v>
      </c>
      <c r="C55" s="14">
        <v>0.99998615736150531</v>
      </c>
      <c r="D55" s="14">
        <v>1.6932870656627411E-5</v>
      </c>
      <c r="E55" s="14">
        <v>0.99998306712934337</v>
      </c>
      <c r="F55" s="14">
        <v>1</v>
      </c>
      <c r="G55" s="14">
        <v>1.7849653315840999E-29</v>
      </c>
      <c r="H55" s="14">
        <v>1</v>
      </c>
      <c r="I55" s="14">
        <v>7.7962965122216599E-29</v>
      </c>
      <c r="J55" s="14">
        <v>0.45499406440791129</v>
      </c>
      <c r="K55" s="14">
        <v>0.57472747643240507</v>
      </c>
      <c r="L55" s="14">
        <v>0.4400842274533634</v>
      </c>
      <c r="M55" s="14">
        <v>0.5599157725466366</v>
      </c>
      <c r="N55" s="40">
        <v>1.213894333138013E-59</v>
      </c>
      <c r="O55" s="40">
        <v>1</v>
      </c>
      <c r="P55" s="40">
        <v>0</v>
      </c>
      <c r="Q55" s="40">
        <v>1</v>
      </c>
      <c r="R55" s="40">
        <v>1</v>
      </c>
      <c r="S55" s="40">
        <v>5.9628957811031605E-47</v>
      </c>
      <c r="T55" s="40">
        <v>1</v>
      </c>
      <c r="U55" s="40">
        <v>5.857781257806386E-45</v>
      </c>
      <c r="V55" s="40">
        <v>1.050152150140678E-28</v>
      </c>
      <c r="W55" s="40">
        <v>1</v>
      </c>
      <c r="X55" s="40">
        <v>0</v>
      </c>
      <c r="Y55" s="40">
        <v>1</v>
      </c>
      <c r="Z55" s="40">
        <v>1.412799308712125E-9</v>
      </c>
      <c r="AA55" s="40">
        <v>0.99999999911581672</v>
      </c>
      <c r="AB55" s="40">
        <v>1.301559859889778E-9</v>
      </c>
      <c r="AC55" s="40">
        <v>0.99999999869844014</v>
      </c>
      <c r="AD55" s="40">
        <v>1</v>
      </c>
      <c r="AE55" s="40">
        <v>7.4354863343056346E-32</v>
      </c>
      <c r="AF55" s="40">
        <v>1</v>
      </c>
      <c r="AG55" s="40">
        <v>4.5076699615079748E-31</v>
      </c>
      <c r="AH55" s="40">
        <v>0.9727441946983314</v>
      </c>
      <c r="AI55" s="40">
        <v>3.2352956527301337E-2</v>
      </c>
      <c r="AJ55" s="40">
        <v>0.97024765717978512</v>
      </c>
      <c r="AK55" s="40">
        <v>2.9752342820214911E-2</v>
      </c>
      <c r="AL55" s="40">
        <v>5.5012734621003682E-10</v>
      </c>
      <c r="AM55" s="40">
        <v>0.99999999965971842</v>
      </c>
      <c r="AN55" s="40">
        <v>5.1206083817589843E-10</v>
      </c>
      <c r="AO55" s="40">
        <v>0.99999999948793916</v>
      </c>
      <c r="AP55" s="40">
        <v>0.9999954643317559</v>
      </c>
      <c r="AQ55" s="40">
        <v>6.0958071557261596E-6</v>
      </c>
      <c r="AR55" s="40">
        <v>0.9999945694520268</v>
      </c>
      <c r="AS55" s="40">
        <v>5.4305479732201839E-6</v>
      </c>
      <c r="AT55" s="40">
        <v>2.385267667127133E-2</v>
      </c>
      <c r="AU55" s="40">
        <v>0.9787965056724921</v>
      </c>
      <c r="AV55" s="40">
        <v>2.2511754206333671E-2</v>
      </c>
      <c r="AW55" s="40">
        <v>0.97748824579366633</v>
      </c>
      <c r="AX55" s="40">
        <v>3.3845026632262342E-39</v>
      </c>
      <c r="AY55" s="40">
        <v>1</v>
      </c>
      <c r="AZ55" s="40">
        <v>0</v>
      </c>
      <c r="BA55" s="40">
        <v>1</v>
      </c>
      <c r="BB55" s="40">
        <v>1</v>
      </c>
      <c r="BC55" s="40">
        <v>2.436258105863215E-46</v>
      </c>
      <c r="BD55" s="40">
        <v>1</v>
      </c>
      <c r="BE55" s="40">
        <v>5.3517601604816148E-45</v>
      </c>
      <c r="BF55" s="40">
        <v>0.99999999999999956</v>
      </c>
      <c r="BG55" s="14">
        <v>6.5303714115702355E-16</v>
      </c>
      <c r="BH55" s="14">
        <v>0.99999999999999933</v>
      </c>
      <c r="BI55" s="14">
        <v>6.5850831045583286E-16</v>
      </c>
      <c r="BK55" s="15" t="s">
        <v>277</v>
      </c>
    </row>
    <row r="56" spans="1:63" x14ac:dyDescent="0.35">
      <c r="A56" s="14" t="s">
        <v>66</v>
      </c>
      <c r="B56" s="14">
        <v>5.4387867517963772E-7</v>
      </c>
      <c r="C56" s="14">
        <v>0.9999996309939132</v>
      </c>
      <c r="D56" s="14">
        <v>4.8025916721261552E-7</v>
      </c>
      <c r="E56" s="14">
        <v>0.99999951974083279</v>
      </c>
      <c r="F56" s="14">
        <v>1</v>
      </c>
      <c r="G56" s="14">
        <v>9.4747657568744627E-20</v>
      </c>
      <c r="H56" s="14">
        <v>1</v>
      </c>
      <c r="I56" s="14">
        <v>1.4830770024941601E-19</v>
      </c>
      <c r="J56" s="14">
        <v>2.9727623726529142E-4</v>
      </c>
      <c r="K56" s="14">
        <v>0.99977576233067644</v>
      </c>
      <c r="L56" s="14">
        <v>2.6277871913638062E-4</v>
      </c>
      <c r="M56" s="14">
        <v>0.99973722128086362</v>
      </c>
      <c r="N56" s="40">
        <v>5.1856979116479421E-55</v>
      </c>
      <c r="O56" s="40">
        <v>1</v>
      </c>
      <c r="P56" s="40">
        <v>0</v>
      </c>
      <c r="Q56" s="40">
        <v>1</v>
      </c>
      <c r="R56" s="40">
        <v>0.99999995130455599</v>
      </c>
      <c r="S56" s="40">
        <v>7.3853968232725039E-8</v>
      </c>
      <c r="T56" s="40">
        <v>0.99999993414425803</v>
      </c>
      <c r="U56" s="40">
        <v>6.5855741945611969E-8</v>
      </c>
      <c r="V56" s="38">
        <v>5.5638477973692838E-73</v>
      </c>
      <c r="W56" s="40">
        <v>1</v>
      </c>
      <c r="X56" s="40">
        <v>0</v>
      </c>
      <c r="Y56" s="40">
        <v>1</v>
      </c>
      <c r="Z56" s="40">
        <v>4.7504017313034421E-31</v>
      </c>
      <c r="AA56" s="40">
        <v>1</v>
      </c>
      <c r="AB56" s="40">
        <v>0</v>
      </c>
      <c r="AC56" s="40">
        <v>1</v>
      </c>
      <c r="AD56" s="40">
        <v>0.99887778140824413</v>
      </c>
      <c r="AE56" s="40">
        <v>1.440259242764247E-3</v>
      </c>
      <c r="AF56" s="40">
        <v>0.99871558423648865</v>
      </c>
      <c r="AG56" s="40">
        <v>1.284415763511356E-3</v>
      </c>
      <c r="AH56" s="40">
        <v>0.33924030681285811</v>
      </c>
      <c r="AI56" s="40">
        <v>0.68790182259992472</v>
      </c>
      <c r="AJ56" s="40">
        <v>0.32553831703891678</v>
      </c>
      <c r="AK56" s="40">
        <v>0.67446168296108322</v>
      </c>
      <c r="AL56" s="40">
        <v>1.240624711943028E-13</v>
      </c>
      <c r="AM56" s="40">
        <v>0.99999999999993028</v>
      </c>
      <c r="AN56" s="40">
        <v>1.318944953254686E-13</v>
      </c>
      <c r="AO56" s="40">
        <v>0.99999999999986811</v>
      </c>
      <c r="AP56" s="40">
        <v>1</v>
      </c>
      <c r="AQ56" s="40">
        <v>5.4017712735869157E-33</v>
      </c>
      <c r="AR56" s="40">
        <v>1</v>
      </c>
      <c r="AS56" s="40">
        <v>2.066845076287369E-32</v>
      </c>
      <c r="AT56" s="40">
        <v>6.8790755145647128E-2</v>
      </c>
      <c r="AU56" s="40">
        <v>0.9375300235870816</v>
      </c>
      <c r="AV56" s="40">
        <v>6.5583918823462817E-2</v>
      </c>
      <c r="AW56" s="40">
        <v>0.93441608117653718</v>
      </c>
      <c r="AX56" s="40">
        <v>3.458226107812958E-12</v>
      </c>
      <c r="AY56" s="40">
        <v>0.99999999999798395</v>
      </c>
      <c r="AZ56" s="40">
        <v>3.457900632497513E-12</v>
      </c>
      <c r="BA56" s="40">
        <v>0.9999999999965421</v>
      </c>
      <c r="BB56" s="40">
        <v>1</v>
      </c>
      <c r="BC56" s="40">
        <v>2.670228053538328E-25</v>
      </c>
      <c r="BD56" s="40">
        <v>1</v>
      </c>
      <c r="BE56" s="40">
        <v>5.0668319244272754E-25</v>
      </c>
      <c r="BF56" s="40">
        <v>1.2578713111848019E-6</v>
      </c>
      <c r="BG56" s="14">
        <v>0.99999901515765666</v>
      </c>
      <c r="BH56" s="14">
        <v>1.142076476390308E-6</v>
      </c>
      <c r="BI56" s="14">
        <v>0.99999885792352361</v>
      </c>
      <c r="BK56" s="15" t="s">
        <v>277</v>
      </c>
    </row>
    <row r="57" spans="1:63" x14ac:dyDescent="0.35">
      <c r="A57" s="14" t="s">
        <v>67</v>
      </c>
      <c r="B57" s="14">
        <v>6.2158512455527271E-45</v>
      </c>
      <c r="C57" s="14">
        <v>1</v>
      </c>
      <c r="D57" s="14">
        <v>0</v>
      </c>
      <c r="E57" s="14">
        <v>1</v>
      </c>
      <c r="F57" s="14">
        <v>0.63275715045003333</v>
      </c>
      <c r="G57" s="14">
        <v>0.39596959597855169</v>
      </c>
      <c r="H57" s="14">
        <v>0.61848769972350237</v>
      </c>
      <c r="I57" s="14">
        <v>0.38151230027649757</v>
      </c>
      <c r="J57" s="14">
        <v>4.7835258005936953E-67</v>
      </c>
      <c r="K57" s="14">
        <v>1</v>
      </c>
      <c r="L57" s="14">
        <v>0</v>
      </c>
      <c r="M57" s="14">
        <v>1</v>
      </c>
      <c r="N57" s="38">
        <v>2.6395519188984468E-72</v>
      </c>
      <c r="O57" s="40">
        <v>1</v>
      </c>
      <c r="P57" s="40">
        <v>0</v>
      </c>
      <c r="Q57" s="40">
        <v>1</v>
      </c>
      <c r="R57" s="40">
        <v>1</v>
      </c>
      <c r="S57" s="40">
        <v>1.208205309470976E-23</v>
      </c>
      <c r="T57" s="40">
        <v>1</v>
      </c>
      <c r="U57" s="40">
        <v>2.6850976645161533E-23</v>
      </c>
      <c r="V57" s="40">
        <v>0.92922855552128913</v>
      </c>
      <c r="W57" s="40">
        <v>8.1561343068735734E-2</v>
      </c>
      <c r="X57" s="40">
        <v>0.92395368375921005</v>
      </c>
      <c r="Y57" s="40">
        <v>7.6046316240789988E-2</v>
      </c>
      <c r="Z57" s="38">
        <v>2.3998560594315532E-74</v>
      </c>
      <c r="AA57" s="40">
        <v>1</v>
      </c>
      <c r="AB57" s="40">
        <v>0</v>
      </c>
      <c r="AC57" s="40">
        <v>1</v>
      </c>
      <c r="AD57" s="40">
        <v>0.99999997919254269</v>
      </c>
      <c r="AE57" s="40">
        <v>3.1923094571434119E-8</v>
      </c>
      <c r="AF57" s="40">
        <v>0.99999997137818786</v>
      </c>
      <c r="AG57" s="40">
        <v>2.8621812133695279E-8</v>
      </c>
      <c r="AH57" s="40">
        <v>4.3702351109743023E-33</v>
      </c>
      <c r="AI57" s="40">
        <v>1</v>
      </c>
      <c r="AJ57" s="40">
        <v>0</v>
      </c>
      <c r="AK57" s="40">
        <v>1</v>
      </c>
      <c r="AL57" s="38">
        <v>7.7444877599609219E-61</v>
      </c>
      <c r="AM57" s="40">
        <v>1</v>
      </c>
      <c r="AN57" s="40">
        <v>0</v>
      </c>
      <c r="AO57" s="40">
        <v>1</v>
      </c>
      <c r="AP57" s="40">
        <v>0.99980146178356266</v>
      </c>
      <c r="AQ57" s="40">
        <v>2.5252241958683542E-4</v>
      </c>
      <c r="AR57" s="40">
        <v>0.99977312589297829</v>
      </c>
      <c r="AS57" s="40">
        <v>2.2687410702172279E-4</v>
      </c>
      <c r="AT57" s="38">
        <v>7.90464948905811E-45</v>
      </c>
      <c r="AU57" s="40">
        <v>1</v>
      </c>
      <c r="AV57" s="40">
        <v>0</v>
      </c>
      <c r="AW57" s="40">
        <v>1</v>
      </c>
      <c r="AX57" s="38">
        <v>2.7496109338662921E-133</v>
      </c>
      <c r="AY57" s="40">
        <v>1</v>
      </c>
      <c r="AZ57" s="40">
        <v>0</v>
      </c>
      <c r="BA57" s="40">
        <v>1</v>
      </c>
      <c r="BB57" s="40">
        <v>0.51271458465071473</v>
      </c>
      <c r="BC57" s="40">
        <v>0.51271458465071473</v>
      </c>
      <c r="BD57" s="40">
        <v>0.47458159152542212</v>
      </c>
      <c r="BE57" s="40">
        <v>0.52541840847457788</v>
      </c>
      <c r="BF57" s="38">
        <v>1.1281427841989241E-42</v>
      </c>
      <c r="BG57" s="14">
        <v>1</v>
      </c>
      <c r="BH57" s="14">
        <v>0</v>
      </c>
      <c r="BI57" s="14">
        <v>1</v>
      </c>
      <c r="BK57" s="15" t="s">
        <v>277</v>
      </c>
    </row>
    <row r="58" spans="1:63" x14ac:dyDescent="0.35">
      <c r="A58" s="32" t="s">
        <v>68</v>
      </c>
      <c r="B58" s="32">
        <v>2.2479212144743419E-17</v>
      </c>
      <c r="C58" s="32">
        <v>1</v>
      </c>
      <c r="D58" s="32">
        <v>0</v>
      </c>
      <c r="E58" s="32">
        <v>1</v>
      </c>
      <c r="F58" s="32">
        <v>9.8807434232840573E-6</v>
      </c>
      <c r="G58" s="32">
        <v>0.99999298654494129</v>
      </c>
      <c r="H58" s="32">
        <v>8.6743644028830502E-6</v>
      </c>
      <c r="I58" s="32">
        <v>0.99999132563559712</v>
      </c>
      <c r="J58" s="32">
        <v>2.2423766932352069E-4</v>
      </c>
      <c r="K58" s="32">
        <v>0.99983177687150404</v>
      </c>
      <c r="L58" s="32">
        <v>1.9798271821658281E-4</v>
      </c>
      <c r="M58" s="32">
        <v>0.99980201728178342</v>
      </c>
      <c r="N58" s="50">
        <v>5.140143795173258E-4</v>
      </c>
      <c r="O58" s="50">
        <v>0.99960803532611964</v>
      </c>
      <c r="P58" s="50">
        <v>4.555594385768913E-4</v>
      </c>
      <c r="Q58" s="50">
        <v>0.99954444056142311</v>
      </c>
      <c r="R58" s="50">
        <v>0.99999999999999989</v>
      </c>
      <c r="S58" s="50">
        <v>1.576497202618777E-16</v>
      </c>
      <c r="T58" s="50">
        <v>0.99999999999999978</v>
      </c>
      <c r="U58" s="50">
        <v>1.9632706630690171E-16</v>
      </c>
      <c r="V58" s="50">
        <v>0.9999999913119948</v>
      </c>
      <c r="W58" s="50">
        <v>1.348421393509673E-8</v>
      </c>
      <c r="X58" s="50">
        <v>0.99999998783221156</v>
      </c>
      <c r="Y58" s="50">
        <v>1.2167788454856519E-8</v>
      </c>
      <c r="Z58" s="50">
        <v>0.99977576233067644</v>
      </c>
      <c r="AA58" s="50">
        <v>2.9727623726529142E-4</v>
      </c>
      <c r="AB58" s="50">
        <v>0.99973722128086362</v>
      </c>
      <c r="AC58" s="50">
        <v>2.627787191364202E-4</v>
      </c>
      <c r="AD58" s="50">
        <v>0.99855974075723575</v>
      </c>
      <c r="AE58" s="50">
        <v>1.838572134761929E-3</v>
      </c>
      <c r="AF58" s="50">
        <v>0.99835753791918813</v>
      </c>
      <c r="AG58" s="50">
        <v>1.642462080811845E-3</v>
      </c>
      <c r="AH58" s="50">
        <v>0.99537016444620019</v>
      </c>
      <c r="AI58" s="50">
        <v>5.7558510126729696E-3</v>
      </c>
      <c r="AJ58" s="50">
        <v>0.99480910210514906</v>
      </c>
      <c r="AK58" s="50">
        <v>5.1908978948508964E-3</v>
      </c>
      <c r="AL58" s="50">
        <v>1.4242880456734839E-27</v>
      </c>
      <c r="AM58" s="50">
        <v>1</v>
      </c>
      <c r="AN58" s="50">
        <v>0</v>
      </c>
      <c r="AO58" s="50">
        <v>1</v>
      </c>
      <c r="AP58" s="50">
        <v>5.0765285346146517E-4</v>
      </c>
      <c r="AQ58" s="50">
        <v>0.99959620799336957</v>
      </c>
      <c r="AR58" s="50">
        <v>4.5756216810122208E-4</v>
      </c>
      <c r="AS58" s="50">
        <v>0.99954243783189878</v>
      </c>
      <c r="AT58" s="50">
        <v>3.2349585525299558E-3</v>
      </c>
      <c r="AU58" s="50">
        <v>0.99721871533267858</v>
      </c>
      <c r="AV58" s="50">
        <v>3.0088257719597111E-3</v>
      </c>
      <c r="AW58" s="50">
        <v>0.99699117422804029</v>
      </c>
      <c r="AX58" s="50">
        <v>6.9760701953280878E-14</v>
      </c>
      <c r="AY58" s="50">
        <v>0.99999999999996103</v>
      </c>
      <c r="AZ58" s="50">
        <v>7.5051076464660582E-14</v>
      </c>
      <c r="BA58" s="50">
        <v>0.99999999999992495</v>
      </c>
      <c r="BB58" s="50">
        <v>1.5051032699417129E-3</v>
      </c>
      <c r="BC58" s="50">
        <v>0.99877962679942434</v>
      </c>
      <c r="BD58" s="50">
        <v>1.3649961565889159E-3</v>
      </c>
      <c r="BE58" s="50">
        <v>0.99863500384341108</v>
      </c>
      <c r="BF58" s="50">
        <v>1</v>
      </c>
      <c r="BG58" s="32">
        <v>1.1281427841989241E-42</v>
      </c>
      <c r="BH58" s="32">
        <v>1</v>
      </c>
      <c r="BI58" s="32">
        <v>4.7855454177246101E-42</v>
      </c>
      <c r="BK58" s="33" t="s">
        <v>288</v>
      </c>
    </row>
    <row r="59" spans="1:63" x14ac:dyDescent="0.35">
      <c r="A59" s="32" t="s">
        <v>69</v>
      </c>
      <c r="B59" s="32">
        <v>4.6298355537997774E-3</v>
      </c>
      <c r="C59" s="32">
        <v>0.99629541745891781</v>
      </c>
      <c r="D59" s="32">
        <v>4.1670722889086687E-3</v>
      </c>
      <c r="E59" s="32">
        <v>0.99583292771109133</v>
      </c>
      <c r="F59" s="32">
        <v>1</v>
      </c>
      <c r="G59" s="32">
        <v>1.378744080652062E-40</v>
      </c>
      <c r="H59" s="32">
        <v>1</v>
      </c>
      <c r="I59" s="32">
        <v>3.6055191761920078E-39</v>
      </c>
      <c r="J59" s="32">
        <v>3.1923094571434119E-8</v>
      </c>
      <c r="K59" s="32">
        <v>0.99999997919254269</v>
      </c>
      <c r="L59" s="32">
        <v>1.87134486795415E-8</v>
      </c>
      <c r="M59" s="32">
        <v>0.99999998128655132</v>
      </c>
      <c r="N59" s="50">
        <v>0.99999757485877971</v>
      </c>
      <c r="O59" s="50">
        <v>3.4746484737434672E-6</v>
      </c>
      <c r="P59" s="50">
        <v>0.99999694678212048</v>
      </c>
      <c r="Q59" s="50">
        <v>3.0532178795044568E-6</v>
      </c>
      <c r="R59" s="50">
        <v>1</v>
      </c>
      <c r="S59" s="50">
        <v>5.727499916965907E-43</v>
      </c>
      <c r="T59" s="50">
        <v>1</v>
      </c>
      <c r="U59" s="50">
        <v>2.3956757544421009E-41</v>
      </c>
      <c r="V59" s="50">
        <v>1</v>
      </c>
      <c r="W59" s="50">
        <v>1.869928608147261E-43</v>
      </c>
      <c r="X59" s="50">
        <v>1</v>
      </c>
      <c r="Y59" s="50">
        <v>8.6408752887271399E-42</v>
      </c>
      <c r="Z59" s="50">
        <v>0.51503036448818196</v>
      </c>
      <c r="AA59" s="50">
        <v>0.51503036448818196</v>
      </c>
      <c r="AB59" s="50">
        <v>0.5</v>
      </c>
      <c r="AC59" s="50">
        <v>0.5</v>
      </c>
      <c r="AD59" s="50">
        <v>1</v>
      </c>
      <c r="AE59" s="50">
        <v>5.0459623456448502E-49</v>
      </c>
      <c r="AF59" s="50">
        <v>1</v>
      </c>
      <c r="AG59" s="50">
        <v>7.9976142288709913E-47</v>
      </c>
      <c r="AH59" s="50">
        <v>2.1930268365218381E-13</v>
      </c>
      <c r="AI59" s="50">
        <v>0.99999999999987599</v>
      </c>
      <c r="AJ59" s="50">
        <v>2.3059332221464501E-13</v>
      </c>
      <c r="AK59" s="50">
        <v>0.99999999999976941</v>
      </c>
      <c r="AL59" s="50">
        <v>2.9804535640973499E-16</v>
      </c>
      <c r="AM59" s="50">
        <v>0.99999999999999989</v>
      </c>
      <c r="AN59" s="50">
        <v>3.3306690738754701E-16</v>
      </c>
      <c r="AO59" s="50">
        <v>0.99999999999999967</v>
      </c>
      <c r="AP59" s="50">
        <v>1</v>
      </c>
      <c r="AQ59" s="50">
        <v>9.7620402540357762E-28</v>
      </c>
      <c r="AR59" s="50">
        <v>1</v>
      </c>
      <c r="AS59" s="50">
        <v>2.2577707079099098E-27</v>
      </c>
      <c r="AT59" s="50">
        <v>0.1174486078157065</v>
      </c>
      <c r="AU59" s="50">
        <v>0.89201935346415062</v>
      </c>
      <c r="AV59" s="50">
        <v>0.1034651244321636</v>
      </c>
      <c r="AW59" s="50">
        <v>0.8965348755678364</v>
      </c>
      <c r="AX59" s="50">
        <v>2.0160533626992649E-12</v>
      </c>
      <c r="AY59" s="50">
        <v>0.99999999999883171</v>
      </c>
      <c r="AZ59" s="50">
        <v>2.0345947149280619E-12</v>
      </c>
      <c r="BA59" s="50">
        <v>0.99999999999796541</v>
      </c>
      <c r="BB59" s="50">
        <v>1</v>
      </c>
      <c r="BC59" s="50">
        <v>4.2965263759612453E-56</v>
      </c>
      <c r="BD59" s="50">
        <v>1</v>
      </c>
      <c r="BE59" s="50">
        <v>5.1950533597932512E-54</v>
      </c>
      <c r="BF59" s="50">
        <v>1</v>
      </c>
      <c r="BG59" s="32">
        <v>8.0799967021120247E-157</v>
      </c>
      <c r="BH59" s="32">
        <v>1</v>
      </c>
      <c r="BI59" s="32">
        <v>1.564550939021654E-145</v>
      </c>
      <c r="BK59" s="33" t="s">
        <v>288</v>
      </c>
    </row>
    <row r="60" spans="1:63" x14ac:dyDescent="0.35">
      <c r="A60" s="32" t="s">
        <v>70</v>
      </c>
      <c r="B60" s="32">
        <v>0.99999999999999989</v>
      </c>
      <c r="C60" s="32">
        <v>1.576497202618777E-16</v>
      </c>
      <c r="D60" s="32">
        <v>0.99999999999999978</v>
      </c>
      <c r="E60" s="32">
        <v>1.9632706630690171E-16</v>
      </c>
      <c r="F60" s="32">
        <v>5.2525601200730668E-42</v>
      </c>
      <c r="G60" s="32">
        <v>1</v>
      </c>
      <c r="H60" s="32">
        <v>0</v>
      </c>
      <c r="I60" s="32">
        <v>1</v>
      </c>
      <c r="J60" s="32">
        <v>0.99999998651578603</v>
      </c>
      <c r="K60" s="32">
        <v>2.080745730839368E-8</v>
      </c>
      <c r="L60" s="32">
        <v>0.99999998128655132</v>
      </c>
      <c r="M60" s="32">
        <v>1.8713448634302529E-8</v>
      </c>
      <c r="N60" s="50">
        <v>0.99994956179441508</v>
      </c>
      <c r="O60" s="50">
        <v>6.8727136166595653E-5</v>
      </c>
      <c r="P60" s="50">
        <v>0.99993954399936102</v>
      </c>
      <c r="Q60" s="50">
        <v>6.0456000639001708E-5</v>
      </c>
      <c r="R60" s="50">
        <v>0.80697951600757256</v>
      </c>
      <c r="S60" s="50">
        <v>0.21434594520575251</v>
      </c>
      <c r="T60" s="50">
        <v>0.79649198636431284</v>
      </c>
      <c r="U60" s="50">
        <v>0.20350801363568721</v>
      </c>
      <c r="V60" s="50">
        <v>1</v>
      </c>
      <c r="W60" s="50">
        <v>6.5456300674276173E-83</v>
      </c>
      <c r="X60" s="50">
        <v>1</v>
      </c>
      <c r="Y60" s="50">
        <v>7.5859967229968314E-76</v>
      </c>
      <c r="Z60" s="50">
        <v>1</v>
      </c>
      <c r="AA60" s="50">
        <v>3.3733096401047361E-35</v>
      </c>
      <c r="AB60" s="50">
        <v>1</v>
      </c>
      <c r="AC60" s="50">
        <v>3.410672294450207E-34</v>
      </c>
      <c r="AD60" s="38">
        <v>3.3845026632262342E-39</v>
      </c>
      <c r="AE60" s="50">
        <v>1</v>
      </c>
      <c r="AF60" s="50">
        <v>0</v>
      </c>
      <c r="AG60" s="50">
        <v>1</v>
      </c>
      <c r="AH60" s="50">
        <v>0.99766543951883324</v>
      </c>
      <c r="AI60" s="50">
        <v>2.9486412910011898E-3</v>
      </c>
      <c r="AJ60" s="50">
        <v>0.99735628298165491</v>
      </c>
      <c r="AK60" s="50">
        <v>2.6437170183450541E-3</v>
      </c>
      <c r="AL60" s="50">
        <v>0.4849696355118181</v>
      </c>
      <c r="AM60" s="50">
        <v>0.54500593559208865</v>
      </c>
      <c r="AN60" s="50">
        <v>0.46995704661337301</v>
      </c>
      <c r="AO60" s="50">
        <v>0.53004295338662699</v>
      </c>
      <c r="AP60" s="50">
        <v>1.8581545442298041E-35</v>
      </c>
      <c r="AQ60" s="50">
        <v>1</v>
      </c>
      <c r="AR60" s="50">
        <v>0</v>
      </c>
      <c r="AS60" s="50">
        <v>1</v>
      </c>
      <c r="AT60" s="50">
        <v>1</v>
      </c>
      <c r="AU60" s="50">
        <v>2.0521211298825431E-103</v>
      </c>
      <c r="AV60" s="50">
        <v>1</v>
      </c>
      <c r="AW60" s="50">
        <v>9.4686055278211524E-99</v>
      </c>
      <c r="AX60" s="50">
        <v>1.3842638494642849E-5</v>
      </c>
      <c r="AY60" s="50">
        <v>0.99999011925657677</v>
      </c>
      <c r="AZ60" s="50">
        <v>1.215248034736049E-5</v>
      </c>
      <c r="BA60" s="50">
        <v>0.99998784751965264</v>
      </c>
      <c r="BB60" s="38">
        <v>1.8286385994450381E-58</v>
      </c>
      <c r="BC60" s="50">
        <v>1</v>
      </c>
      <c r="BD60" s="50">
        <v>0</v>
      </c>
      <c r="BE60" s="50">
        <v>1</v>
      </c>
      <c r="BF60" s="50">
        <v>0.99999999999907563</v>
      </c>
      <c r="BG60" s="32">
        <v>1.3208770367791271E-12</v>
      </c>
      <c r="BH60" s="32">
        <v>0.99999999999874867</v>
      </c>
      <c r="BI60" s="32">
        <v>1.2513654473605399E-12</v>
      </c>
      <c r="BK60" s="33" t="s">
        <v>288</v>
      </c>
    </row>
    <row r="61" spans="1:63" x14ac:dyDescent="0.35">
      <c r="A61" s="32" t="s">
        <v>71</v>
      </c>
      <c r="B61" s="32">
        <v>1</v>
      </c>
      <c r="C61" s="32">
        <v>7.8319155503437783E-27</v>
      </c>
      <c r="D61" s="32">
        <v>1</v>
      </c>
      <c r="E61" s="32">
        <v>2.4627260062334011E-26</v>
      </c>
      <c r="F61" s="32">
        <v>0.42527252356759487</v>
      </c>
      <c r="G61" s="32">
        <v>0.60403040402144836</v>
      </c>
      <c r="H61" s="32">
        <v>0.41054879177597958</v>
      </c>
      <c r="I61" s="32">
        <v>0.58945120822402042</v>
      </c>
      <c r="J61" s="32">
        <v>0.93888725506558557</v>
      </c>
      <c r="K61" s="32">
        <v>7.0771444478710852E-2</v>
      </c>
      <c r="L61" s="32">
        <v>0.93416599198859274</v>
      </c>
      <c r="M61" s="32">
        <v>6.5834008011407277E-2</v>
      </c>
      <c r="N61" s="50">
        <v>1</v>
      </c>
      <c r="O61" s="50">
        <v>6.0128866720584896E-28</v>
      </c>
      <c r="P61" s="50">
        <v>1</v>
      </c>
      <c r="Q61" s="50">
        <v>2.162094319784073E-27</v>
      </c>
      <c r="R61" s="38">
        <v>6.7296703835153783E-13</v>
      </c>
      <c r="S61" s="50">
        <v>0.99999999999961464</v>
      </c>
      <c r="T61" s="50">
        <v>6.9266814506363517E-13</v>
      </c>
      <c r="U61" s="50">
        <v>0.99999999999930733</v>
      </c>
      <c r="V61" s="50">
        <v>0.99999945612132479</v>
      </c>
      <c r="W61" s="50">
        <v>7.9707961039300455E-7</v>
      </c>
      <c r="X61" s="50">
        <v>0.99999929710324098</v>
      </c>
      <c r="Y61" s="50">
        <v>7.0289675904892766E-7</v>
      </c>
      <c r="Z61" s="50">
        <v>1</v>
      </c>
      <c r="AA61" s="50">
        <v>4.3296064439747961E-17</v>
      </c>
      <c r="AB61" s="50">
        <v>0.99999999999999989</v>
      </c>
      <c r="AC61" s="50">
        <v>5.5885434417002927E-17</v>
      </c>
      <c r="AD61" s="50">
        <v>5.0438205584933382E-5</v>
      </c>
      <c r="AE61" s="50">
        <v>0.99996318795309103</v>
      </c>
      <c r="AF61" s="50">
        <v>4.4339291497941247E-5</v>
      </c>
      <c r="AG61" s="50">
        <v>0.99995566070850206</v>
      </c>
      <c r="AH61" s="50">
        <v>5.0454549307334114E-103</v>
      </c>
      <c r="AI61" s="50">
        <v>1</v>
      </c>
      <c r="AJ61" s="50">
        <v>0</v>
      </c>
      <c r="AK61" s="50">
        <v>1</v>
      </c>
      <c r="AL61" s="50">
        <v>1</v>
      </c>
      <c r="AM61" s="50">
        <v>7.0562677454433879E-58</v>
      </c>
      <c r="AN61" s="50">
        <v>1</v>
      </c>
      <c r="AO61" s="50">
        <v>1.124230567259635E-54</v>
      </c>
      <c r="AP61" s="50">
        <v>1</v>
      </c>
      <c r="AQ61" s="50">
        <v>3.3686473783027312E-26</v>
      </c>
      <c r="AR61" s="50">
        <v>1</v>
      </c>
      <c r="AS61" s="50">
        <v>6.8583061131524297E-26</v>
      </c>
      <c r="AT61" s="50">
        <v>1</v>
      </c>
      <c r="AU61" s="50">
        <v>1.22431171462495E-25</v>
      </c>
      <c r="AV61" s="50">
        <v>1</v>
      </c>
      <c r="AW61" s="50">
        <v>1.7223278806016381E-25</v>
      </c>
      <c r="AX61" s="50">
        <v>0.99996318795309103</v>
      </c>
      <c r="AY61" s="50">
        <v>5.0438205584933382E-5</v>
      </c>
      <c r="AZ61" s="50">
        <v>0.99995566070850206</v>
      </c>
      <c r="BA61" s="50">
        <v>4.4339291497947962E-5</v>
      </c>
      <c r="BB61" s="50">
        <v>1.5217922657198371E-36</v>
      </c>
      <c r="BC61" s="50">
        <v>1</v>
      </c>
      <c r="BD61" s="50">
        <v>0</v>
      </c>
      <c r="BE61" s="50">
        <v>1</v>
      </c>
      <c r="BF61" s="50">
        <v>1</v>
      </c>
      <c r="BG61" s="32">
        <v>2.089835919530123E-39</v>
      </c>
      <c r="BH61" s="32">
        <v>1</v>
      </c>
      <c r="BI61" s="32">
        <v>6.817593512011257E-39</v>
      </c>
      <c r="BK61" s="33" t="s">
        <v>288</v>
      </c>
    </row>
    <row r="62" spans="1:63" x14ac:dyDescent="0.35">
      <c r="A62" s="32" t="s">
        <v>72</v>
      </c>
      <c r="B62" s="32">
        <v>1.814955626850813E-185</v>
      </c>
      <c r="C62" s="32">
        <v>1</v>
      </c>
      <c r="D62" s="32">
        <v>0</v>
      </c>
      <c r="E62" s="32">
        <v>1</v>
      </c>
      <c r="F62" s="32">
        <v>0.98094645180629603</v>
      </c>
      <c r="G62" s="32">
        <v>2.284636495568472E-2</v>
      </c>
      <c r="H62" s="32">
        <v>0.97908470271737758</v>
      </c>
      <c r="I62" s="32">
        <v>2.091529728262238E-2</v>
      </c>
      <c r="J62" s="32">
        <v>1.1881822289344749E-212</v>
      </c>
      <c r="K62" s="32">
        <v>1</v>
      </c>
      <c r="L62" s="32">
        <v>0</v>
      </c>
      <c r="M62" s="32">
        <v>1</v>
      </c>
      <c r="N62" s="38">
        <v>9.6049905137288658E-26</v>
      </c>
      <c r="O62" s="50">
        <v>1</v>
      </c>
      <c r="P62" s="50">
        <v>0</v>
      </c>
      <c r="Q62" s="50">
        <v>1</v>
      </c>
      <c r="R62" s="50">
        <v>1</v>
      </c>
      <c r="S62" s="50">
        <v>4.6487864535216721E-20</v>
      </c>
      <c r="T62" s="50">
        <v>1</v>
      </c>
      <c r="U62" s="50">
        <v>7.4599831984933769E-20</v>
      </c>
      <c r="V62" s="38">
        <v>2.66113438101818E-22</v>
      </c>
      <c r="W62" s="50">
        <v>1</v>
      </c>
      <c r="X62" s="50">
        <v>0</v>
      </c>
      <c r="Y62" s="50">
        <v>1</v>
      </c>
      <c r="Z62" s="38">
        <v>1.045738419167208E-15</v>
      </c>
      <c r="AA62" s="50">
        <v>0.99999999999999944</v>
      </c>
      <c r="AB62" s="50">
        <v>6.6613381477509392E-16</v>
      </c>
      <c r="AC62" s="50">
        <v>0.99999999999999933</v>
      </c>
      <c r="AD62" s="50">
        <v>0.99999998651578603</v>
      </c>
      <c r="AE62" s="50">
        <v>2.080745730839368E-8</v>
      </c>
      <c r="AF62" s="50">
        <v>0.99999998128655132</v>
      </c>
      <c r="AG62" s="50">
        <v>1.8713448634302529E-8</v>
      </c>
      <c r="AH62" s="38">
        <v>4.1331458457931039E-182</v>
      </c>
      <c r="AI62" s="50">
        <v>1</v>
      </c>
      <c r="AJ62" s="50">
        <v>0</v>
      </c>
      <c r="AK62" s="50">
        <v>1</v>
      </c>
      <c r="AL62" s="38">
        <v>1.405935159882604E-149</v>
      </c>
      <c r="AM62" s="50">
        <v>1</v>
      </c>
      <c r="AN62" s="50">
        <v>0</v>
      </c>
      <c r="AO62" s="50">
        <v>1</v>
      </c>
      <c r="AP62" s="38">
        <v>3.8512221625519637E-70</v>
      </c>
      <c r="AQ62" s="50">
        <v>1</v>
      </c>
      <c r="AR62" s="50">
        <v>0</v>
      </c>
      <c r="AS62" s="50">
        <v>1</v>
      </c>
      <c r="AT62" s="50">
        <v>0</v>
      </c>
      <c r="AU62" s="50">
        <v>1</v>
      </c>
      <c r="AV62" s="50">
        <v>0</v>
      </c>
      <c r="AW62" s="50">
        <v>1</v>
      </c>
      <c r="AX62" s="38">
        <v>1.98356930329381E-198</v>
      </c>
      <c r="AY62" s="50">
        <v>1</v>
      </c>
      <c r="AZ62" s="50">
        <v>0</v>
      </c>
      <c r="BA62" s="50">
        <v>1</v>
      </c>
      <c r="BB62" s="50">
        <v>1</v>
      </c>
      <c r="BC62" s="50">
        <v>3.169311550167285E-257</v>
      </c>
      <c r="BD62" s="50">
        <v>1</v>
      </c>
      <c r="BE62" s="50">
        <v>4.2922628698790149E-200</v>
      </c>
      <c r="BF62" s="38">
        <v>1.670416643036798E-233</v>
      </c>
      <c r="BG62" s="32">
        <v>1</v>
      </c>
      <c r="BH62" s="32">
        <v>0</v>
      </c>
      <c r="BI62" s="32">
        <v>1</v>
      </c>
      <c r="BK62" s="33" t="s">
        <v>288</v>
      </c>
    </row>
    <row r="63" spans="1:63" x14ac:dyDescent="0.35">
      <c r="A63" s="10" t="s">
        <v>73</v>
      </c>
      <c r="B63" s="10">
        <v>9.3163432430796114E-191</v>
      </c>
      <c r="C63" s="10">
        <v>1</v>
      </c>
      <c r="D63" s="10">
        <v>0</v>
      </c>
      <c r="E63" s="10">
        <v>1</v>
      </c>
      <c r="F63" s="10">
        <v>3.0305948869746912E-18</v>
      </c>
      <c r="G63" s="10">
        <v>1</v>
      </c>
      <c r="H63" s="10">
        <v>0</v>
      </c>
      <c r="I63" s="10">
        <v>1</v>
      </c>
      <c r="J63" s="10">
        <v>4.421793809532649E-152</v>
      </c>
      <c r="K63" s="10">
        <v>1</v>
      </c>
      <c r="L63" s="10">
        <v>0</v>
      </c>
      <c r="M63" s="10">
        <v>1</v>
      </c>
      <c r="N63" s="38">
        <v>2.404943654208772E-148</v>
      </c>
      <c r="O63" s="37">
        <v>1</v>
      </c>
      <c r="P63" s="37">
        <v>0</v>
      </c>
      <c r="Q63" s="37">
        <v>1</v>
      </c>
      <c r="R63" s="37">
        <v>1</v>
      </c>
      <c r="S63" s="37">
        <v>9.6669904004877135E-138</v>
      </c>
      <c r="T63" s="37">
        <v>1</v>
      </c>
      <c r="U63" s="37">
        <v>9.2953176714590746E-116</v>
      </c>
      <c r="V63" s="37">
        <v>0.99983177687150404</v>
      </c>
      <c r="W63" s="37">
        <v>2.2423766932352069E-4</v>
      </c>
      <c r="X63" s="37">
        <v>0.99980201728178342</v>
      </c>
      <c r="Y63" s="37">
        <v>1.979827182166197E-4</v>
      </c>
      <c r="Z63" s="37">
        <v>3.7045825410822238E-3</v>
      </c>
      <c r="AA63" s="37">
        <v>0.99705135870899886</v>
      </c>
      <c r="AB63" s="37">
        <v>3.3278027414747058E-3</v>
      </c>
      <c r="AC63" s="37">
        <v>0.99667219725852529</v>
      </c>
      <c r="AD63" s="37">
        <v>6.1112744934414411E-2</v>
      </c>
      <c r="AE63" s="37">
        <v>0.94748427449911499</v>
      </c>
      <c r="AF63" s="37">
        <v>5.6718190418091563E-2</v>
      </c>
      <c r="AG63" s="37">
        <v>0.94328180958190844</v>
      </c>
      <c r="AH63" s="38">
        <v>5.0271216826926082E-140</v>
      </c>
      <c r="AI63" s="37">
        <v>1</v>
      </c>
      <c r="AJ63" s="37">
        <v>0</v>
      </c>
      <c r="AK63" s="37">
        <v>1</v>
      </c>
      <c r="AL63" s="38">
        <v>1.1881822289344749E-212</v>
      </c>
      <c r="AM63" s="37">
        <v>1</v>
      </c>
      <c r="AN63" s="37">
        <v>0</v>
      </c>
      <c r="AO63" s="37">
        <v>1</v>
      </c>
      <c r="AP63" s="38">
        <v>1.226504790306943E-203</v>
      </c>
      <c r="AQ63" s="37">
        <v>1</v>
      </c>
      <c r="AR63" s="37">
        <v>0</v>
      </c>
      <c r="AS63" s="37">
        <v>1</v>
      </c>
      <c r="AT63" s="37">
        <v>0</v>
      </c>
      <c r="AU63" s="37">
        <v>1</v>
      </c>
      <c r="AV63" s="37">
        <v>0</v>
      </c>
      <c r="AW63" s="37">
        <v>1</v>
      </c>
      <c r="AX63" s="38">
        <v>5.8864815922639292E-189</v>
      </c>
      <c r="AY63" s="37">
        <v>1</v>
      </c>
      <c r="AZ63" s="37">
        <v>0</v>
      </c>
      <c r="BA63" s="37">
        <v>1</v>
      </c>
      <c r="BB63" s="37">
        <v>1</v>
      </c>
      <c r="BC63" s="37">
        <v>2.876284721396155E-98</v>
      </c>
      <c r="BD63" s="37">
        <v>1</v>
      </c>
      <c r="BE63" s="37">
        <v>3.9028253483067048E-91</v>
      </c>
      <c r="BF63" s="37">
        <v>0</v>
      </c>
      <c r="BG63" s="10">
        <v>1</v>
      </c>
      <c r="BH63" s="10">
        <v>0</v>
      </c>
      <c r="BI63" s="10">
        <v>1</v>
      </c>
      <c r="BK63" s="11" t="s">
        <v>299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mnet_v3_large_Class_0_all</vt:lpstr>
      <vt:lpstr>mnet_v3_large_Class_1_all</vt:lpstr>
      <vt:lpstr>mnet_v3_large_Class_2_all</vt:lpstr>
      <vt:lpstr>mnet_v3_large_Class_0_bg</vt:lpstr>
      <vt:lpstr>mnet_v3_large_Class_1_bg</vt:lpstr>
      <vt:lpstr>mnet_v3_large_Class_2_bg</vt:lpstr>
      <vt:lpstr>mnet_v3_large_Class_0_coat</vt:lpstr>
      <vt:lpstr>mnet_v3_large_Class_1_coat</vt:lpstr>
      <vt:lpstr>mnet_v3_large_Class_2_coat</vt:lpstr>
      <vt:lpstr>mnet_v3_large_Class_0_face</vt:lpstr>
      <vt:lpstr>mnet_v3_large_Class_1_face</vt:lpstr>
      <vt:lpstr>mnet_v3_large_Class_2_face</vt:lpstr>
      <vt:lpstr>mnet_v3_large_Class_0_legs</vt:lpstr>
      <vt:lpstr>mnet_v3_large_Class_1_legs</vt:lpstr>
      <vt:lpstr>mnet_v3_large_Class_2_legs</vt:lpstr>
      <vt:lpstr>Summary</vt:lpstr>
      <vt:lpstr>PValue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Srinivasan, Srikanth Kaniyanoor</cp:lastModifiedBy>
  <dcterms:created xsi:type="dcterms:W3CDTF">2026-02-01T13:51:15Z</dcterms:created>
  <dcterms:modified xsi:type="dcterms:W3CDTF">2026-02-19T06:40:46Z</dcterms:modified>
</cp:coreProperties>
</file>