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nt1\Downloads\results\sensitivity_summmary\Updatedsummary\mnetsmall\"/>
    </mc:Choice>
  </mc:AlternateContent>
  <xr:revisionPtr revIDLastSave="0" documentId="8_{00608E7E-D1F5-4199-A5AF-B81B9FE2ABAE}" xr6:coauthVersionLast="47" xr6:coauthVersionMax="47" xr10:uidLastSave="{00000000-0000-0000-0000-000000000000}"/>
  <bookViews>
    <workbookView xWindow="-110" yWindow="-110" windowWidth="19420" windowHeight="11500" firstSheet="6" activeTab="6" xr2:uid="{7EA4F15A-D9B7-4270-9CD5-7AC1D7B4622E}"/>
  </bookViews>
  <sheets>
    <sheet name="RNet50" sheetId="1" r:id="rId1"/>
    <sheet name="RNet_NegSensitivity_Summary" sheetId="8" r:id="rId2"/>
    <sheet name="MNet_L" sheetId="4" r:id="rId3"/>
    <sheet name="MNet_L_NetSensitivity_Summary" sheetId="9" r:id="rId4"/>
    <sheet name="MNet_S" sheetId="2" r:id="rId5"/>
    <sheet name="MNet_S_NetSensitivity_Summary" sheetId="10" r:id="rId6"/>
    <sheet name="IV3" sheetId="5" r:id="rId7"/>
    <sheet name="IV3_NetSensitivity_Summary" sheetId="11" r:id="rId8"/>
    <sheet name="VGG16" sheetId="6" r:id="rId9"/>
    <sheet name="VGG_NetSensitivity_Summary" sheetId="12" r:id="rId10"/>
    <sheet name="CSI _CPeet1" sheetId="7" r:id="rId11"/>
    <sheet name="NeuronPertubation" sheetId="13" r:id="rId12"/>
  </sheets>
  <definedNames>
    <definedName name="_xlnm._FilterDatabase" localSheetId="2" hidden="1">MNet_L!$A$1:$AC$63</definedName>
    <definedName name="_xlnm._FilterDatabase" localSheetId="4" hidden="1">MNet_S!$A$2:$AB$54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" i="7" l="1"/>
  <c r="F96" i="7"/>
  <c r="F95" i="7"/>
  <c r="F94" i="7"/>
  <c r="F93" i="7"/>
  <c r="F92" i="7"/>
  <c r="F91" i="7"/>
  <c r="F90" i="7"/>
  <c r="F89" i="7"/>
  <c r="F88" i="7"/>
  <c r="F87" i="7"/>
  <c r="F86" i="7"/>
  <c r="AD97" i="7"/>
  <c r="AD96" i="7"/>
  <c r="AD95" i="7"/>
  <c r="AD94" i="7"/>
  <c r="AD93" i="7"/>
  <c r="AD92" i="7"/>
  <c r="AD91" i="7"/>
  <c r="AD90" i="7"/>
  <c r="AD89" i="7"/>
  <c r="AD88" i="7"/>
  <c r="AD87" i="7"/>
  <c r="AD86" i="7"/>
  <c r="X97" i="7"/>
  <c r="X96" i="7"/>
  <c r="X95" i="7"/>
  <c r="X94" i="7"/>
  <c r="X93" i="7"/>
  <c r="X92" i="7"/>
  <c r="X91" i="7"/>
  <c r="X90" i="7"/>
  <c r="X89" i="7"/>
  <c r="X88" i="7"/>
  <c r="X87" i="7"/>
  <c r="X86" i="7"/>
  <c r="R97" i="7"/>
  <c r="R96" i="7"/>
  <c r="R95" i="7"/>
  <c r="R94" i="7"/>
  <c r="R93" i="7"/>
  <c r="R92" i="7"/>
  <c r="R91" i="7"/>
  <c r="R90" i="7"/>
  <c r="R89" i="7"/>
  <c r="R88" i="7"/>
  <c r="R87" i="7"/>
  <c r="R86" i="7"/>
  <c r="L97" i="7"/>
  <c r="L96" i="7"/>
  <c r="L95" i="7"/>
  <c r="L94" i="7"/>
  <c r="L93" i="7"/>
  <c r="L92" i="7"/>
  <c r="L91" i="7"/>
  <c r="L90" i="7"/>
  <c r="L89" i="7"/>
  <c r="L88" i="7"/>
  <c r="L87" i="7"/>
  <c r="L86" i="7"/>
  <c r="E97" i="7"/>
  <c r="E96" i="7"/>
  <c r="E95" i="7"/>
  <c r="E94" i="7"/>
  <c r="E93" i="7"/>
  <c r="E92" i="7"/>
  <c r="E91" i="7"/>
  <c r="E90" i="7"/>
  <c r="E89" i="7"/>
  <c r="E88" i="7"/>
  <c r="E87" i="7"/>
  <c r="E86" i="7"/>
  <c r="AC97" i="7"/>
  <c r="AC96" i="7"/>
  <c r="AC95" i="7"/>
  <c r="AC94" i="7"/>
  <c r="AC93" i="7"/>
  <c r="AC92" i="7"/>
  <c r="AC91" i="7"/>
  <c r="AC90" i="7"/>
  <c r="AC89" i="7"/>
  <c r="AC88" i="7"/>
  <c r="AC87" i="7"/>
  <c r="AC86" i="7"/>
  <c r="W97" i="7"/>
  <c r="W96" i="7"/>
  <c r="W95" i="7"/>
  <c r="W94" i="7"/>
  <c r="W93" i="7"/>
  <c r="W92" i="7"/>
  <c r="W91" i="7"/>
  <c r="W90" i="7"/>
  <c r="W89" i="7"/>
  <c r="W88" i="7"/>
  <c r="W87" i="7"/>
  <c r="W86" i="7"/>
  <c r="Q97" i="7"/>
  <c r="Q96" i="7"/>
  <c r="Q95" i="7"/>
  <c r="Q94" i="7"/>
  <c r="Q93" i="7"/>
  <c r="Q92" i="7"/>
  <c r="Q91" i="7"/>
  <c r="Q90" i="7"/>
  <c r="Q89" i="7"/>
  <c r="Q88" i="7"/>
  <c r="Q87" i="7"/>
  <c r="Q86" i="7"/>
  <c r="K97" i="7"/>
  <c r="K96" i="7"/>
  <c r="K95" i="7"/>
  <c r="K94" i="7"/>
  <c r="K93" i="7"/>
  <c r="K92" i="7"/>
  <c r="K91" i="7"/>
  <c r="K90" i="7"/>
  <c r="K89" i="7"/>
  <c r="K88" i="7"/>
  <c r="K87" i="7"/>
  <c r="K86" i="7"/>
  <c r="E31" i="8" l="1"/>
  <c r="U90" i="7" l="1"/>
  <c r="U89" i="7"/>
  <c r="U88" i="7"/>
  <c r="U87" i="7"/>
  <c r="U86" i="7"/>
  <c r="Q52" i="7" l="1"/>
  <c r="O52" i="7"/>
  <c r="Q51" i="7"/>
  <c r="Q50" i="7"/>
  <c r="O51" i="7"/>
  <c r="O50" i="7"/>
  <c r="N50" i="7"/>
  <c r="AB48" i="2" l="1"/>
  <c r="AA48" i="2"/>
  <c r="Z48" i="2"/>
  <c r="Y48" i="2"/>
  <c r="X48" i="2"/>
  <c r="W48" i="2"/>
  <c r="V48" i="2"/>
  <c r="U48" i="2"/>
  <c r="T48" i="2"/>
  <c r="S48" i="2"/>
  <c r="R48" i="2"/>
  <c r="AB47" i="2"/>
  <c r="AA47" i="2"/>
  <c r="Z47" i="2"/>
  <c r="Y47" i="2"/>
  <c r="X47" i="2"/>
  <c r="W47" i="2"/>
  <c r="V47" i="2"/>
  <c r="U47" i="2"/>
  <c r="T47" i="2"/>
  <c r="S47" i="2"/>
  <c r="R47" i="2"/>
  <c r="AB46" i="2"/>
  <c r="AA46" i="2"/>
  <c r="Z46" i="2"/>
  <c r="Y46" i="2"/>
  <c r="X46" i="2"/>
  <c r="W46" i="2"/>
  <c r="V46" i="2"/>
  <c r="U46" i="2"/>
  <c r="T46" i="2"/>
  <c r="S46" i="2"/>
  <c r="R46" i="2"/>
  <c r="AB45" i="2"/>
  <c r="AA45" i="2"/>
  <c r="Z45" i="2"/>
  <c r="Y45" i="2"/>
  <c r="X45" i="2"/>
  <c r="W45" i="2"/>
  <c r="V45" i="2"/>
  <c r="U45" i="2"/>
  <c r="T45" i="2"/>
  <c r="S45" i="2"/>
  <c r="R45" i="2"/>
  <c r="AB44" i="2"/>
  <c r="AA44" i="2"/>
  <c r="Z44" i="2"/>
  <c r="Y44" i="2"/>
  <c r="X44" i="2"/>
  <c r="W44" i="2"/>
  <c r="V44" i="2"/>
  <c r="U44" i="2"/>
  <c r="T44" i="2"/>
  <c r="S44" i="2"/>
  <c r="R44" i="2"/>
  <c r="AB43" i="2"/>
  <c r="AA43" i="2"/>
  <c r="Z43" i="2"/>
  <c r="Y43" i="2"/>
  <c r="X43" i="2"/>
  <c r="W43" i="2"/>
  <c r="V43" i="2"/>
  <c r="U43" i="2"/>
  <c r="T43" i="2"/>
  <c r="S43" i="2"/>
  <c r="R43" i="2"/>
  <c r="AB42" i="2"/>
  <c r="AA42" i="2"/>
  <c r="Z42" i="2"/>
  <c r="Y42" i="2"/>
  <c r="X42" i="2"/>
  <c r="W42" i="2"/>
  <c r="V42" i="2"/>
  <c r="U42" i="2"/>
  <c r="T42" i="2"/>
  <c r="S42" i="2"/>
  <c r="R42" i="2"/>
  <c r="AB41" i="2"/>
  <c r="AA41" i="2"/>
  <c r="Z41" i="2"/>
  <c r="Y41" i="2"/>
  <c r="X41" i="2"/>
  <c r="W41" i="2"/>
  <c r="V41" i="2"/>
  <c r="U41" i="2"/>
  <c r="T41" i="2"/>
  <c r="S41" i="2"/>
  <c r="R41" i="2"/>
  <c r="AB40" i="2"/>
  <c r="AA40" i="2"/>
  <c r="Z40" i="2"/>
  <c r="Y40" i="2"/>
  <c r="X40" i="2"/>
  <c r="W40" i="2"/>
  <c r="V40" i="2"/>
  <c r="U40" i="2"/>
  <c r="T40" i="2"/>
  <c r="S40" i="2"/>
  <c r="R40" i="2"/>
  <c r="AB39" i="2"/>
  <c r="AA39" i="2"/>
  <c r="Z39" i="2"/>
  <c r="Y39" i="2"/>
  <c r="X39" i="2"/>
  <c r="W39" i="2"/>
  <c r="V39" i="2"/>
  <c r="U39" i="2"/>
  <c r="T39" i="2"/>
  <c r="S39" i="2"/>
  <c r="R39" i="2"/>
  <c r="AB38" i="2"/>
  <c r="AA38" i="2"/>
  <c r="Z38" i="2"/>
  <c r="Y38" i="2"/>
  <c r="X38" i="2"/>
  <c r="W38" i="2"/>
  <c r="V38" i="2"/>
  <c r="U38" i="2"/>
  <c r="T38" i="2"/>
  <c r="S38" i="2"/>
  <c r="R38" i="2"/>
  <c r="AB37" i="2"/>
  <c r="AA37" i="2"/>
  <c r="Z37" i="2"/>
  <c r="Y37" i="2"/>
  <c r="X37" i="2"/>
  <c r="W37" i="2"/>
  <c r="V37" i="2"/>
  <c r="U37" i="2"/>
  <c r="T37" i="2"/>
  <c r="S37" i="2"/>
  <c r="R37" i="2"/>
  <c r="AB36" i="2"/>
  <c r="AA36" i="2"/>
  <c r="Z36" i="2"/>
  <c r="Y36" i="2"/>
  <c r="X36" i="2"/>
  <c r="W36" i="2"/>
  <c r="V36" i="2"/>
  <c r="U36" i="2"/>
  <c r="T36" i="2"/>
  <c r="S36" i="2"/>
  <c r="R36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AC60" i="4"/>
  <c r="AB60" i="4"/>
  <c r="AA60" i="4"/>
  <c r="Z60" i="4"/>
  <c r="Y60" i="4"/>
  <c r="X60" i="4"/>
  <c r="W60" i="4"/>
  <c r="V60" i="4"/>
  <c r="U60" i="4"/>
  <c r="T60" i="4"/>
  <c r="S60" i="4"/>
  <c r="R60" i="4"/>
  <c r="AC59" i="4"/>
  <c r="AB59" i="4"/>
  <c r="AA59" i="4"/>
  <c r="Z59" i="4"/>
  <c r="Y59" i="4"/>
  <c r="X59" i="4"/>
  <c r="W59" i="4"/>
  <c r="V59" i="4"/>
  <c r="U59" i="4"/>
  <c r="T59" i="4"/>
  <c r="S59" i="4"/>
  <c r="R59" i="4"/>
  <c r="AC58" i="4"/>
  <c r="AB58" i="4"/>
  <c r="AA58" i="4"/>
  <c r="Z58" i="4"/>
  <c r="Y58" i="4"/>
  <c r="X58" i="4"/>
  <c r="W58" i="4"/>
  <c r="V58" i="4"/>
  <c r="U58" i="4"/>
  <c r="T58" i="4"/>
  <c r="S58" i="4"/>
  <c r="R58" i="4"/>
  <c r="AC57" i="4"/>
  <c r="AB57" i="4"/>
  <c r="AA57" i="4"/>
  <c r="Z57" i="4"/>
  <c r="Y57" i="4"/>
  <c r="X57" i="4"/>
  <c r="W57" i="4"/>
  <c r="V57" i="4"/>
  <c r="U57" i="4"/>
  <c r="T57" i="4"/>
  <c r="S57" i="4"/>
  <c r="R57" i="4"/>
  <c r="AC56" i="4"/>
  <c r="AB56" i="4"/>
  <c r="AA56" i="4"/>
  <c r="Z56" i="4"/>
  <c r="Y56" i="4"/>
  <c r="X56" i="4"/>
  <c r="W56" i="4"/>
  <c r="V56" i="4"/>
  <c r="U56" i="4"/>
  <c r="T56" i="4"/>
  <c r="S56" i="4"/>
  <c r="R56" i="4"/>
  <c r="AC55" i="4"/>
  <c r="AB55" i="4"/>
  <c r="AA55" i="4"/>
  <c r="Z55" i="4"/>
  <c r="Y55" i="4"/>
  <c r="X55" i="4"/>
  <c r="W55" i="4"/>
  <c r="V55" i="4"/>
  <c r="U55" i="4"/>
  <c r="T55" i="4"/>
  <c r="S55" i="4"/>
  <c r="R55" i="4"/>
  <c r="AC54" i="4"/>
  <c r="AB54" i="4"/>
  <c r="AA54" i="4"/>
  <c r="Z54" i="4"/>
  <c r="Y54" i="4"/>
  <c r="X54" i="4"/>
  <c r="W54" i="4"/>
  <c r="V54" i="4"/>
  <c r="U54" i="4"/>
  <c r="T54" i="4"/>
  <c r="S54" i="4"/>
  <c r="R54" i="4"/>
  <c r="AC53" i="4"/>
  <c r="AB53" i="4"/>
  <c r="AA53" i="4"/>
  <c r="Z53" i="4"/>
  <c r="Y53" i="4"/>
  <c r="X53" i="4"/>
  <c r="W53" i="4"/>
  <c r="V53" i="4"/>
  <c r="U53" i="4"/>
  <c r="T53" i="4"/>
  <c r="S53" i="4"/>
  <c r="R53" i="4"/>
  <c r="AC52" i="4"/>
  <c r="AB52" i="4"/>
  <c r="AA52" i="4"/>
  <c r="Z52" i="4"/>
  <c r="Y52" i="4"/>
  <c r="X52" i="4"/>
  <c r="W52" i="4"/>
  <c r="V52" i="4"/>
  <c r="U52" i="4"/>
  <c r="T52" i="4"/>
  <c r="S52" i="4"/>
  <c r="R52" i="4"/>
  <c r="AC51" i="4"/>
  <c r="AB51" i="4"/>
  <c r="AA51" i="4"/>
  <c r="Z51" i="4"/>
  <c r="Y51" i="4"/>
  <c r="X51" i="4"/>
  <c r="W51" i="4"/>
  <c r="V51" i="4"/>
  <c r="U51" i="4"/>
  <c r="T51" i="4"/>
  <c r="S51" i="4"/>
  <c r="R51" i="4"/>
  <c r="AC50" i="4"/>
  <c r="AB50" i="4"/>
  <c r="AA50" i="4"/>
  <c r="Z50" i="4"/>
  <c r="Y50" i="4"/>
  <c r="X50" i="4"/>
  <c r="W50" i="4"/>
  <c r="V50" i="4"/>
  <c r="U50" i="4"/>
  <c r="T50" i="4"/>
  <c r="S50" i="4"/>
  <c r="R50" i="4"/>
  <c r="AC49" i="4"/>
  <c r="AB49" i="4"/>
  <c r="AA49" i="4"/>
  <c r="Z49" i="4"/>
  <c r="Y49" i="4"/>
  <c r="X49" i="4"/>
  <c r="W49" i="4"/>
  <c r="V49" i="4"/>
  <c r="U49" i="4"/>
  <c r="T49" i="4"/>
  <c r="S49" i="4"/>
  <c r="R49" i="4"/>
  <c r="AC48" i="4"/>
  <c r="AB48" i="4"/>
  <c r="AA48" i="4"/>
  <c r="Z48" i="4"/>
  <c r="Y48" i="4"/>
  <c r="X48" i="4"/>
  <c r="W48" i="4"/>
  <c r="V48" i="4"/>
  <c r="U48" i="4"/>
  <c r="T48" i="4"/>
  <c r="S48" i="4"/>
  <c r="R48" i="4"/>
  <c r="AC47" i="4"/>
  <c r="AB47" i="4"/>
  <c r="AA47" i="4"/>
  <c r="Z47" i="4"/>
  <c r="Y47" i="4"/>
  <c r="X47" i="4"/>
  <c r="W47" i="4"/>
  <c r="V47" i="4"/>
  <c r="U47" i="4"/>
  <c r="T47" i="4"/>
  <c r="S47" i="4"/>
  <c r="R47" i="4"/>
  <c r="AC46" i="4"/>
  <c r="AB46" i="4"/>
  <c r="AA46" i="4"/>
  <c r="Z46" i="4"/>
  <c r="Y46" i="4"/>
  <c r="X46" i="4"/>
  <c r="W46" i="4"/>
  <c r="V46" i="4"/>
  <c r="U46" i="4"/>
  <c r="T46" i="4"/>
  <c r="S46" i="4"/>
  <c r="R46" i="4"/>
  <c r="AC45" i="4"/>
  <c r="AB45" i="4"/>
  <c r="AA45" i="4"/>
  <c r="Z45" i="4"/>
  <c r="Y45" i="4"/>
  <c r="X45" i="4"/>
  <c r="W45" i="4"/>
  <c r="V45" i="4"/>
  <c r="U45" i="4"/>
  <c r="T45" i="4"/>
  <c r="S45" i="4"/>
  <c r="R45" i="4"/>
  <c r="AC44" i="4"/>
  <c r="AB44" i="4"/>
  <c r="AA44" i="4"/>
  <c r="Z44" i="4"/>
  <c r="Y44" i="4"/>
  <c r="X44" i="4"/>
  <c r="W44" i="4"/>
  <c r="V44" i="4"/>
  <c r="U44" i="4"/>
  <c r="T44" i="4"/>
  <c r="S44" i="4"/>
  <c r="R44" i="4"/>
  <c r="AC10" i="4"/>
  <c r="AB10" i="4"/>
  <c r="AA10" i="4"/>
  <c r="Z10" i="4"/>
  <c r="Y10" i="4"/>
  <c r="X10" i="4"/>
  <c r="W10" i="4"/>
  <c r="V10" i="4"/>
  <c r="U10" i="4"/>
  <c r="T10" i="4"/>
  <c r="S10" i="4"/>
  <c r="R10" i="4"/>
  <c r="R9" i="4"/>
  <c r="AC18" i="4"/>
  <c r="AB18" i="4"/>
  <c r="AA18" i="4"/>
  <c r="Z18" i="4"/>
  <c r="Y18" i="4"/>
  <c r="X18" i="4"/>
  <c r="W18" i="4"/>
  <c r="V18" i="4"/>
  <c r="U18" i="4"/>
  <c r="T18" i="4"/>
  <c r="S18" i="4"/>
  <c r="AC17" i="4"/>
  <c r="AB17" i="4"/>
  <c r="AA17" i="4"/>
  <c r="Z17" i="4"/>
  <c r="Y17" i="4"/>
  <c r="X17" i="4"/>
  <c r="W17" i="4"/>
  <c r="V17" i="4"/>
  <c r="U17" i="4"/>
  <c r="T17" i="4"/>
  <c r="S17" i="4"/>
  <c r="AC16" i="4"/>
  <c r="AB16" i="4"/>
  <c r="AA16" i="4"/>
  <c r="Z16" i="4"/>
  <c r="Y16" i="4"/>
  <c r="X16" i="4"/>
  <c r="W16" i="4"/>
  <c r="V16" i="4"/>
  <c r="U16" i="4"/>
  <c r="T16" i="4"/>
  <c r="S16" i="4"/>
  <c r="AC15" i="4"/>
  <c r="AB15" i="4"/>
  <c r="AA15" i="4"/>
  <c r="Z15" i="4"/>
  <c r="Y15" i="4"/>
  <c r="X15" i="4"/>
  <c r="W15" i="4"/>
  <c r="V15" i="4"/>
  <c r="U15" i="4"/>
  <c r="T15" i="4"/>
  <c r="S15" i="4"/>
  <c r="AC14" i="4"/>
  <c r="AB14" i="4"/>
  <c r="AA14" i="4"/>
  <c r="Z14" i="4"/>
  <c r="Y14" i="4"/>
  <c r="X14" i="4"/>
  <c r="W14" i="4"/>
  <c r="V14" i="4"/>
  <c r="U14" i="4"/>
  <c r="T14" i="4"/>
  <c r="S14" i="4"/>
  <c r="AC13" i="4"/>
  <c r="AB13" i="4"/>
  <c r="AA13" i="4"/>
  <c r="Z13" i="4"/>
  <c r="Y13" i="4"/>
  <c r="X13" i="4"/>
  <c r="W13" i="4"/>
  <c r="V13" i="4"/>
  <c r="U13" i="4"/>
  <c r="T13" i="4"/>
  <c r="S13" i="4"/>
  <c r="AC12" i="4"/>
  <c r="AB12" i="4"/>
  <c r="AA12" i="4"/>
  <c r="Z12" i="4"/>
  <c r="Y12" i="4"/>
  <c r="X12" i="4"/>
  <c r="W12" i="4"/>
  <c r="V12" i="4"/>
  <c r="U12" i="4"/>
  <c r="T12" i="4"/>
  <c r="S12" i="4"/>
  <c r="AC11" i="4"/>
  <c r="AB11" i="4"/>
  <c r="AA11" i="4"/>
  <c r="Z11" i="4"/>
  <c r="Y11" i="4"/>
  <c r="X11" i="4"/>
  <c r="W11" i="4"/>
  <c r="V11" i="4"/>
  <c r="U11" i="4"/>
  <c r="T11" i="4"/>
  <c r="S11" i="4"/>
  <c r="AC9" i="4"/>
  <c r="AB9" i="4"/>
  <c r="AA9" i="4"/>
  <c r="Z9" i="4"/>
  <c r="Y9" i="4"/>
  <c r="X9" i="4"/>
  <c r="W9" i="4"/>
  <c r="V9" i="4"/>
  <c r="U9" i="4"/>
  <c r="T9" i="4"/>
  <c r="S9" i="4"/>
  <c r="AC8" i="4"/>
  <c r="AB8" i="4"/>
  <c r="AA8" i="4"/>
  <c r="Z8" i="4"/>
  <c r="Y8" i="4"/>
  <c r="X8" i="4"/>
  <c r="W8" i="4"/>
  <c r="V8" i="4"/>
  <c r="U8" i="4"/>
  <c r="T8" i="4"/>
  <c r="S8" i="4"/>
  <c r="AC7" i="4"/>
  <c r="AB7" i="4"/>
  <c r="AA7" i="4"/>
  <c r="Z7" i="4"/>
  <c r="Y7" i="4"/>
  <c r="X7" i="4"/>
  <c r="W7" i="4"/>
  <c r="V7" i="4"/>
  <c r="U7" i="4"/>
  <c r="T7" i="4"/>
  <c r="S7" i="4"/>
  <c r="AC6" i="4"/>
  <c r="AB6" i="4"/>
  <c r="AA6" i="4"/>
  <c r="Z6" i="4"/>
  <c r="Y6" i="4"/>
  <c r="X6" i="4"/>
  <c r="W6" i="4"/>
  <c r="V6" i="4"/>
  <c r="U6" i="4"/>
  <c r="T6" i="4"/>
  <c r="S6" i="4"/>
  <c r="AC5" i="4"/>
  <c r="AB5" i="4"/>
  <c r="AA5" i="4"/>
  <c r="Z5" i="4"/>
  <c r="Y5" i="4"/>
  <c r="X5" i="4"/>
  <c r="W5" i="4"/>
  <c r="V5" i="4"/>
  <c r="U5" i="4"/>
  <c r="T5" i="4"/>
  <c r="S5" i="4"/>
  <c r="AC4" i="4"/>
  <c r="AB4" i="4"/>
  <c r="AA4" i="4"/>
  <c r="Z4" i="4"/>
  <c r="Y4" i="4"/>
  <c r="X4" i="4"/>
  <c r="W4" i="4"/>
  <c r="V4" i="4"/>
  <c r="U4" i="4"/>
  <c r="T4" i="4"/>
  <c r="S4" i="4"/>
  <c r="AC3" i="4"/>
  <c r="AB3" i="4"/>
  <c r="AA3" i="4"/>
  <c r="Z3" i="4"/>
  <c r="Y3" i="4"/>
  <c r="X3" i="4"/>
  <c r="W3" i="4"/>
  <c r="V3" i="4"/>
  <c r="U3" i="4"/>
  <c r="T3" i="4"/>
  <c r="S3" i="4"/>
  <c r="R18" i="4"/>
  <c r="R17" i="4"/>
  <c r="R16" i="4"/>
  <c r="R15" i="4"/>
  <c r="R14" i="4"/>
  <c r="R12" i="4"/>
  <c r="R11" i="4"/>
  <c r="R8" i="4"/>
  <c r="R6" i="4"/>
  <c r="R5" i="4"/>
  <c r="R4" i="4"/>
  <c r="R3" i="4"/>
  <c r="N23" i="1"/>
  <c r="M23" i="1"/>
  <c r="L23" i="1"/>
  <c r="K23" i="1"/>
  <c r="J23" i="1"/>
  <c r="I23" i="1"/>
  <c r="H23" i="1"/>
  <c r="G23" i="1"/>
  <c r="F23" i="1"/>
  <c r="E23" i="1"/>
  <c r="N22" i="1"/>
  <c r="M22" i="1"/>
  <c r="L22" i="1"/>
  <c r="K22" i="1"/>
  <c r="J22" i="1"/>
  <c r="I22" i="1"/>
  <c r="H22" i="1"/>
  <c r="G22" i="1"/>
  <c r="F22" i="1"/>
  <c r="E22" i="1"/>
  <c r="N21" i="1"/>
  <c r="M21" i="1"/>
  <c r="L21" i="1"/>
  <c r="K21" i="1"/>
  <c r="J21" i="1"/>
  <c r="I21" i="1"/>
  <c r="H21" i="1"/>
  <c r="G21" i="1"/>
  <c r="F21" i="1"/>
  <c r="E21" i="1"/>
  <c r="N20" i="1"/>
  <c r="M20" i="1"/>
  <c r="L20" i="1"/>
  <c r="K20" i="1"/>
  <c r="J20" i="1"/>
  <c r="I20" i="1"/>
  <c r="H20" i="1"/>
  <c r="G20" i="1"/>
  <c r="F20" i="1"/>
  <c r="E20" i="1"/>
  <c r="N19" i="1"/>
  <c r="M19" i="1"/>
  <c r="L19" i="1"/>
  <c r="K19" i="1"/>
  <c r="J19" i="1"/>
  <c r="I19" i="1"/>
  <c r="H19" i="1"/>
  <c r="G19" i="1"/>
  <c r="F19" i="1"/>
  <c r="E19" i="1"/>
  <c r="D23" i="1"/>
  <c r="D22" i="1"/>
  <c r="D21" i="1"/>
  <c r="D20" i="1"/>
  <c r="D19" i="1"/>
  <c r="C23" i="1"/>
  <c r="C22" i="1"/>
  <c r="C21" i="1"/>
  <c r="C20" i="1"/>
  <c r="C19" i="1"/>
  <c r="AB38" i="5"/>
  <c r="AA38" i="5"/>
  <c r="Z38" i="5"/>
  <c r="Y38" i="5"/>
  <c r="X38" i="5"/>
  <c r="W38" i="5"/>
  <c r="V38" i="5"/>
  <c r="U38" i="5"/>
  <c r="T38" i="5"/>
  <c r="S38" i="5"/>
  <c r="R38" i="5"/>
  <c r="Q38" i="5"/>
  <c r="AB37" i="5"/>
  <c r="AA37" i="5"/>
  <c r="Z37" i="5"/>
  <c r="Y37" i="5"/>
  <c r="X37" i="5"/>
  <c r="W37" i="5"/>
  <c r="V37" i="5"/>
  <c r="U37" i="5"/>
  <c r="T37" i="5"/>
  <c r="S37" i="5"/>
  <c r="R37" i="5"/>
  <c r="Q37" i="5"/>
  <c r="AB36" i="5"/>
  <c r="AA36" i="5"/>
  <c r="Z36" i="5"/>
  <c r="Y36" i="5"/>
  <c r="X36" i="5"/>
  <c r="W36" i="5"/>
  <c r="V36" i="5"/>
  <c r="U36" i="5"/>
  <c r="T36" i="5"/>
  <c r="S36" i="5"/>
  <c r="R36" i="5"/>
  <c r="Q36" i="5"/>
  <c r="AB35" i="5"/>
  <c r="AA35" i="5"/>
  <c r="Z35" i="5"/>
  <c r="Y35" i="5"/>
  <c r="X35" i="5"/>
  <c r="W35" i="5"/>
  <c r="V35" i="5"/>
  <c r="U35" i="5"/>
  <c r="T35" i="5"/>
  <c r="S35" i="5"/>
  <c r="R35" i="5"/>
  <c r="Q35" i="5"/>
  <c r="AB34" i="5"/>
  <c r="AA34" i="5"/>
  <c r="Z34" i="5"/>
  <c r="Y34" i="5"/>
  <c r="X34" i="5"/>
  <c r="W34" i="5"/>
  <c r="V34" i="5"/>
  <c r="U34" i="5"/>
  <c r="T34" i="5"/>
  <c r="S34" i="5"/>
  <c r="R34" i="5"/>
  <c r="Q34" i="5"/>
  <c r="AB33" i="5"/>
  <c r="AA33" i="5"/>
  <c r="Z33" i="5"/>
  <c r="Y33" i="5"/>
  <c r="X33" i="5"/>
  <c r="W33" i="5"/>
  <c r="V33" i="5"/>
  <c r="U33" i="5"/>
  <c r="T33" i="5"/>
  <c r="S33" i="5"/>
  <c r="R33" i="5"/>
  <c r="Q33" i="5"/>
  <c r="Y6" i="5" l="1"/>
  <c r="AB5" i="5"/>
  <c r="AA5" i="5"/>
  <c r="Z5" i="5"/>
  <c r="Y5" i="5"/>
  <c r="X5" i="5"/>
  <c r="W5" i="5"/>
  <c r="V5" i="5"/>
  <c r="U5" i="5"/>
  <c r="T5" i="5"/>
  <c r="S5" i="5"/>
  <c r="R5" i="5"/>
  <c r="Q5" i="5"/>
  <c r="AB8" i="5"/>
  <c r="AA8" i="5"/>
  <c r="Z8" i="5"/>
  <c r="Y8" i="5"/>
  <c r="X8" i="5"/>
  <c r="W8" i="5"/>
  <c r="V8" i="5"/>
  <c r="U8" i="5"/>
  <c r="T8" i="5"/>
  <c r="S8" i="5"/>
  <c r="R8" i="5"/>
  <c r="AB7" i="5"/>
  <c r="AA7" i="5"/>
  <c r="Z7" i="5"/>
  <c r="Y7" i="5"/>
  <c r="X7" i="5"/>
  <c r="W7" i="5"/>
  <c r="V7" i="5"/>
  <c r="U7" i="5"/>
  <c r="T7" i="5"/>
  <c r="S7" i="5"/>
  <c r="R7" i="5"/>
  <c r="AB6" i="5"/>
  <c r="AA6" i="5"/>
  <c r="Z6" i="5"/>
  <c r="X6" i="5"/>
  <c r="W6" i="5"/>
  <c r="V6" i="5"/>
  <c r="U6" i="5"/>
  <c r="T6" i="5"/>
  <c r="S6" i="5"/>
  <c r="R6" i="5"/>
  <c r="AB4" i="5"/>
  <c r="AA4" i="5"/>
  <c r="Z4" i="5"/>
  <c r="Y4" i="5"/>
  <c r="X4" i="5"/>
  <c r="W4" i="5"/>
  <c r="V4" i="5"/>
  <c r="U4" i="5"/>
  <c r="T4" i="5"/>
  <c r="S4" i="5"/>
  <c r="R4" i="5"/>
  <c r="AB3" i="5"/>
  <c r="AA3" i="5"/>
  <c r="Z3" i="5"/>
  <c r="Y3" i="5"/>
  <c r="X3" i="5"/>
  <c r="W3" i="5"/>
  <c r="V3" i="5"/>
  <c r="U3" i="5"/>
  <c r="T3" i="5"/>
  <c r="S3" i="5"/>
  <c r="R3" i="5"/>
  <c r="Q8" i="5"/>
  <c r="Q7" i="5"/>
  <c r="Q6" i="5"/>
  <c r="Q4" i="5"/>
  <c r="Q3" i="5"/>
  <c r="P3" i="5" a="1"/>
  <c r="P3" i="5" s="1"/>
  <c r="R13" i="4" l="1"/>
  <c r="R7" i="4"/>
  <c r="P2" i="4" a="1"/>
  <c r="P2" i="4" s="1"/>
  <c r="P3" i="2" a="1"/>
  <c r="P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tc={7AFD1499-04C5-4A7B-81E3-EB6C838D4C6D}</author>
    <author>tc={E84B88BA-C2AB-4086-BA44-44FCCFB5A758}</author>
    <author>tc={7414FEEA-8EBE-4689-A841-5C39E5E8AF15}</author>
    <author>tc={F98FDB1F-9786-4A01-B71F-BC432CF4934A}</author>
    <author>tc={CD03148B-E93D-4705-82CC-C2C7757A1CDF}</author>
  </authors>
  <commentList>
    <comment ref="F85" authorId="0" shapeId="0" xr:uid="{7AFD1499-04C5-4A7B-81E3-EB6C838D4C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  <comment ref="L85" authorId="1" shapeId="0" xr:uid="{E84B88BA-C2AB-4086-BA44-44FCCFB5A758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  <comment ref="R85" authorId="2" shapeId="0" xr:uid="{7414FEEA-8EBE-4689-A841-5C39E5E8AF15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  <comment ref="X85" authorId="3" shapeId="0" xr:uid="{F98FDB1F-9786-4A01-B71F-BC432CF4934A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  <comment ref="AD85" authorId="4" shapeId="0" xr:uid="{CD03148B-E93D-4705-82CC-C2C7757A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Descending CSI
Low rank means poor CSI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<sst xmlns="http://schemas.openxmlformats.org/spreadsheetml/2006/main" count="3270" uniqueCount="429">
  <si>
    <t>Statge1</t>
  </si>
  <si>
    <t>Stage2</t>
  </si>
  <si>
    <t>Stage4</t>
  </si>
  <si>
    <t>Stage5</t>
  </si>
  <si>
    <t>Class0</t>
  </si>
  <si>
    <t>Class1</t>
  </si>
  <si>
    <t>Class2</t>
  </si>
  <si>
    <t>BG</t>
  </si>
  <si>
    <t>Face</t>
  </si>
  <si>
    <t>Coat</t>
  </si>
  <si>
    <t>Legs</t>
  </si>
  <si>
    <t>None</t>
  </si>
  <si>
    <t>layer1.2.conv3</t>
  </si>
  <si>
    <t>layer4.2.conv3</t>
  </si>
  <si>
    <t>layer3.0.conv1</t>
  </si>
  <si>
    <t>layer2.0.conv3</t>
  </si>
  <si>
    <t>Stage3</t>
  </si>
  <si>
    <t>maxpool</t>
  </si>
  <si>
    <t>layer1.0.conv1</t>
  </si>
  <si>
    <t>layer2.0.conv2</t>
  </si>
  <si>
    <t>layer3.5.conv2</t>
  </si>
  <si>
    <t>NA</t>
  </si>
  <si>
    <t>layer3.0.downsample.0</t>
  </si>
  <si>
    <t>layer1.0.downsample.0</t>
  </si>
  <si>
    <t>layer3.5.conv3</t>
  </si>
  <si>
    <t>layer3.0.conv2</t>
  </si>
  <si>
    <t>layer4.2.conv2</t>
  </si>
  <si>
    <t>layer1.0.conv3</t>
  </si>
  <si>
    <t>layer4.0.conv2</t>
  </si>
  <si>
    <t>layer1.1.conv1</t>
  </si>
  <si>
    <t>layer2.0.downsample.0</t>
  </si>
  <si>
    <t>layer2.3.conv3</t>
  </si>
  <si>
    <t>Stem</t>
  </si>
  <si>
    <t>Inverted Residue 1</t>
  </si>
  <si>
    <t>Inverted Residue 2</t>
  </si>
  <si>
    <t>Inverted Residue 3</t>
  </si>
  <si>
    <t>Inverted Residue .4</t>
  </si>
  <si>
    <t>Inverted Residue .5</t>
  </si>
  <si>
    <t>Inverted Residue .6</t>
  </si>
  <si>
    <t>Inverted Residue .7</t>
  </si>
  <si>
    <t>Inverted Residue .8</t>
  </si>
  <si>
    <t>Inverted Residue .9</t>
  </si>
  <si>
    <t>Inverted Residue .10</t>
  </si>
  <si>
    <t>Inverted Residue .11</t>
  </si>
  <si>
    <t>Inverted Residue .12</t>
  </si>
  <si>
    <t>Filter</t>
  </si>
  <si>
    <t>features.0.0</t>
  </si>
  <si>
    <t>features.1.block.0.0</t>
  </si>
  <si>
    <t>features.1.block.1.fc1</t>
  </si>
  <si>
    <t>features.1.block.1.fc2</t>
  </si>
  <si>
    <t>features.1.block.2.0</t>
  </si>
  <si>
    <t>features.2.block.0.0</t>
  </si>
  <si>
    <t>features.2.block.1.0</t>
  </si>
  <si>
    <t>features.2.block.2.0</t>
  </si>
  <si>
    <t>features.3.block.0.0</t>
  </si>
  <si>
    <t>features.3.block.1.0</t>
  </si>
  <si>
    <t>features.3.block.2.0</t>
  </si>
  <si>
    <t>features.4.block.0.0</t>
  </si>
  <si>
    <t>features.4.block.1.0</t>
  </si>
  <si>
    <t>features.4.block.2.fc1</t>
  </si>
  <si>
    <t>features.4.block.2.fc2</t>
  </si>
  <si>
    <t>features.4.block.3.0</t>
  </si>
  <si>
    <t>features.5.block.0.0</t>
  </si>
  <si>
    <t>features.5.block.1.0</t>
  </si>
  <si>
    <t>features.5.block.2.fc1</t>
  </si>
  <si>
    <t>features.5.block.2.fc2</t>
  </si>
  <si>
    <t>features.5.block.3.0</t>
  </si>
  <si>
    <t>features.6.block.0.0</t>
  </si>
  <si>
    <t>features.6.block.1.0</t>
  </si>
  <si>
    <t>features.6.block.2.fc1</t>
  </si>
  <si>
    <t>features.6.block.2.fc2</t>
  </si>
  <si>
    <t>features.6.block.3.0</t>
  </si>
  <si>
    <t>features.7.block.0.0</t>
  </si>
  <si>
    <t>features.7.block.1.0</t>
  </si>
  <si>
    <t>features.7.block.2.fc1</t>
  </si>
  <si>
    <t>features.7.block.2.fc2</t>
  </si>
  <si>
    <t>features.7.block.3.0</t>
  </si>
  <si>
    <t>features.8.block.0.0</t>
  </si>
  <si>
    <t>features.8.block.1.0</t>
  </si>
  <si>
    <t>features.8.block.2.fc1</t>
  </si>
  <si>
    <t>features.8.block.2.fc2</t>
  </si>
  <si>
    <t>features.8.block.3.0</t>
  </si>
  <si>
    <t>features.9.block.0.0</t>
  </si>
  <si>
    <t>features.9.block.1.0</t>
  </si>
  <si>
    <t>features.9.block.2.fc1</t>
  </si>
  <si>
    <t>features.9.block.2.fc2</t>
  </si>
  <si>
    <t>features.9.block.3.0</t>
  </si>
  <si>
    <t>features.10.block.0.0</t>
  </si>
  <si>
    <t>features.10.block.1.0</t>
  </si>
  <si>
    <t>features.10.block.2.fc1</t>
  </si>
  <si>
    <t>features.10.block.2.fc2</t>
  </si>
  <si>
    <t>features.10.block.3.0</t>
  </si>
  <si>
    <t>features.11.block.0.0</t>
  </si>
  <si>
    <t>features.11.block.1.0</t>
  </si>
  <si>
    <t>features.11.block.2.fc1</t>
  </si>
  <si>
    <t>features.11.block.2.fc2</t>
  </si>
  <si>
    <t>features.11.block.3.0</t>
  </si>
  <si>
    <t>features.12.0</t>
  </si>
  <si>
    <t>Layer</t>
  </si>
  <si>
    <t>Class_0_bg_Binomial P-value (Positive)</t>
  </si>
  <si>
    <t>Class_1_bg_Binomial P-value (Positive)</t>
  </si>
  <si>
    <t>Class_2_bg_Binomial P-value (Positive)</t>
  </si>
  <si>
    <t>Class_0_coat_Binomial P-value (Positive)</t>
  </si>
  <si>
    <t>Class_1_coat_Binomial P-value (Positive)</t>
  </si>
  <si>
    <t>Class_2_coat_Binomial P-value (Positive)</t>
  </si>
  <si>
    <t>Class_0_face_Binomial P-value (Positive)</t>
  </si>
  <si>
    <t>Class_1_face_Binomial P-value (Positive)</t>
  </si>
  <si>
    <t>Class_2_face_Binomial P-value (Positive)</t>
  </si>
  <si>
    <t>Class_0_legs_Binomial P-value (Positive)</t>
  </si>
  <si>
    <t>Class_1_legs_Binomial P-value (Positive)</t>
  </si>
  <si>
    <t>Class_2_legs_Binomial P-value (Positive)</t>
  </si>
  <si>
    <t>features.1.block.1.0</t>
  </si>
  <si>
    <t>features.7.block.2.0</t>
  </si>
  <si>
    <t>features.8.block.2.0</t>
  </si>
  <si>
    <t>features.9.block.2.0</t>
  </si>
  <si>
    <t>features.10.block.2.0</t>
  </si>
  <si>
    <t>features.12.block.0.0</t>
  </si>
  <si>
    <t>features.12.block.1.0</t>
  </si>
  <si>
    <t>features.12.block.2.fc1</t>
  </si>
  <si>
    <t>features.12.block.2.fc2</t>
  </si>
  <si>
    <t>features.12.block.3.0</t>
  </si>
  <si>
    <t>features.13.block.0.0</t>
  </si>
  <si>
    <t>features.13.block.1.0</t>
  </si>
  <si>
    <t>features.13.block.2.fc1</t>
  </si>
  <si>
    <t>features.13.block.2.fc2</t>
  </si>
  <si>
    <t>features.13.block.3.0</t>
  </si>
  <si>
    <t>features.14.block.0.0</t>
  </si>
  <si>
    <t>features.14.block.1.0</t>
  </si>
  <si>
    <t>features.14.block.2.fc1</t>
  </si>
  <si>
    <t>features.14.block.2.fc2</t>
  </si>
  <si>
    <t>features.14.block.3.0</t>
  </si>
  <si>
    <t>features.15.block.0.0</t>
  </si>
  <si>
    <t>features.15.block.1.0</t>
  </si>
  <si>
    <t>features.15.block.2.fc1</t>
  </si>
  <si>
    <t>features.15.block.2.fc2</t>
  </si>
  <si>
    <t>features.15.block.3.0</t>
  </si>
  <si>
    <t>features.16.0</t>
  </si>
  <si>
    <t>Inverted Residue1</t>
  </si>
  <si>
    <t>Inverted Residue2</t>
  </si>
  <si>
    <t>Inverted Residue3</t>
  </si>
  <si>
    <t>Inverted Residue4</t>
  </si>
  <si>
    <t>Inverted Residue5</t>
  </si>
  <si>
    <t>Inverted Residue6</t>
  </si>
  <si>
    <t>Inverted Residue7</t>
  </si>
  <si>
    <t>Inverted Residue8</t>
  </si>
  <si>
    <t>Inverted Residue9</t>
  </si>
  <si>
    <t>Inverted Residue10</t>
  </si>
  <si>
    <t>Inverted Residue11</t>
  </si>
  <si>
    <t>Inverted Residue12</t>
  </si>
  <si>
    <t>Inverted Residue13</t>
  </si>
  <si>
    <t>Inverted Residue14</t>
  </si>
  <si>
    <t>Inverted Residue15</t>
  </si>
  <si>
    <t>Inverted Residue16</t>
  </si>
  <si>
    <t>BG0</t>
  </si>
  <si>
    <t>BG1</t>
  </si>
  <si>
    <t>BG2</t>
  </si>
  <si>
    <t>Coat0</t>
  </si>
  <si>
    <t>Coat1</t>
  </si>
  <si>
    <t>Coat2</t>
  </si>
  <si>
    <t>Face0</t>
  </si>
  <si>
    <t>Face1</t>
  </si>
  <si>
    <t>Face2</t>
  </si>
  <si>
    <t>Legs0</t>
  </si>
  <si>
    <t>Legs1</t>
  </si>
  <si>
    <t>Legs2</t>
  </si>
  <si>
    <t>Unique</t>
  </si>
  <si>
    <t>Conv2d_1a_3x3.conv</t>
  </si>
  <si>
    <t>Conv2d_2a_3x3.conv</t>
  </si>
  <si>
    <t>Conv2d_2b_3x3.conv</t>
  </si>
  <si>
    <t>maxpool1</t>
  </si>
  <si>
    <t>Conv2d_3b_1x1.conv</t>
  </si>
  <si>
    <t>Conv2d_4a_3x3.conv</t>
  </si>
  <si>
    <t>maxpool2</t>
  </si>
  <si>
    <t>Mixed_5b.branch1x1.conv</t>
  </si>
  <si>
    <t>InceptionA</t>
  </si>
  <si>
    <t>Mixed_5b.branch5x5_1.conv</t>
  </si>
  <si>
    <t>Mixed_5b.branch5x5_2.conv</t>
  </si>
  <si>
    <t>Mixed_5b.branch3x3dbl_1.conv</t>
  </si>
  <si>
    <t>Mixed_5b.branch3x3dbl_2.conv</t>
  </si>
  <si>
    <t>Mixed_5b.branch3x3dbl_3.conv</t>
  </si>
  <si>
    <t>Mixed_5b.branch_pool.conv</t>
  </si>
  <si>
    <t>Mixed_5c.branch1x1.conv</t>
  </si>
  <si>
    <t>Mixed_5c.branch5x5_1.conv</t>
  </si>
  <si>
    <t>Mixed_5c.branch5x5_2.conv</t>
  </si>
  <si>
    <t>Mixed_5c.branch3x3dbl_1.conv</t>
  </si>
  <si>
    <t>Mixed_5c.branch3x3dbl_2.conv</t>
  </si>
  <si>
    <t>Mixed_5c.branch3x3dbl_3.conv</t>
  </si>
  <si>
    <t>Mixed_5c.branch_pool.conv</t>
  </si>
  <si>
    <t>Mixed_5d.branch1x1.conv</t>
  </si>
  <si>
    <t>Mixed_5d.branch5x5_1.conv</t>
  </si>
  <si>
    <t>Mixed_5d.branch5x5_2.conv</t>
  </si>
  <si>
    <t>Mixed_5d.branch3x3dbl_1.conv</t>
  </si>
  <si>
    <t>Mixed_5d.branch3x3dbl_2.conv</t>
  </si>
  <si>
    <t>Mixed_5d.branch3x3dbl_3.conv</t>
  </si>
  <si>
    <t>Mixed_5d.branch_pool.conv</t>
  </si>
  <si>
    <t>Mixed_6a.branch3x3.conv</t>
  </si>
  <si>
    <t>ReducitonA</t>
  </si>
  <si>
    <t>Mixed_6a.branch3x3dbl_1.conv</t>
  </si>
  <si>
    <t>Mixed_6a.branch3x3dbl_2.conv</t>
  </si>
  <si>
    <t>Mixed_6a.branch3x3dbl_3.conv</t>
  </si>
  <si>
    <t>Mixed_6b.branch1x1.conv</t>
  </si>
  <si>
    <t>InceptionB</t>
  </si>
  <si>
    <t>Mixed_6b.branch7x7_1.conv</t>
  </si>
  <si>
    <t>Mixed_6b.branch7x7_2.conv</t>
  </si>
  <si>
    <t>Mixed_6b.branch7x7_3.conv</t>
  </si>
  <si>
    <t>Mixed_6b.branch7x7dbl_1.conv</t>
  </si>
  <si>
    <t>Mixed_6b.branch7x7dbl_2.conv</t>
  </si>
  <si>
    <t>Mixed_6b.branch7x7dbl_3.conv</t>
  </si>
  <si>
    <t>Mixed_6b.branch7x7dbl_4.conv</t>
  </si>
  <si>
    <t>Mixed_6b.branch7x7dbl_5.conv</t>
  </si>
  <si>
    <t>Mixed_6b.branch_pool.conv</t>
  </si>
  <si>
    <t>Mixed_6c.branch1x1.conv</t>
  </si>
  <si>
    <t>Mixed_6c.branch7x7_1.conv</t>
  </si>
  <si>
    <t>Mixed_6c.branch7x7_2.conv</t>
  </si>
  <si>
    <t>Mixed_6c.branch7x7_3.conv</t>
  </si>
  <si>
    <t>Mixed_6c.branch7x7dbl_1.conv</t>
  </si>
  <si>
    <t>Mixed_6c.branch7x7dbl_2.conv</t>
  </si>
  <si>
    <t>Mixed_6c.branch7x7dbl_3.conv</t>
  </si>
  <si>
    <t>Mixed_6c.branch7x7dbl_4.conv</t>
  </si>
  <si>
    <t>Mixed_6c.branch7x7dbl_5.conv</t>
  </si>
  <si>
    <t>Mixed_6c.branch_pool.conv</t>
  </si>
  <si>
    <t>Mixed_6d.branch1x1.conv</t>
  </si>
  <si>
    <t>Mixed_6d.branch7x7_1.conv</t>
  </si>
  <si>
    <t>Mixed_6d.branch7x7_2.conv</t>
  </si>
  <si>
    <t>Mixed_6d.branch7x7_3.conv</t>
  </si>
  <si>
    <t>Mixed_6d.branch7x7dbl_1.conv</t>
  </si>
  <si>
    <t>Mixed_6d.branch7x7dbl_2.conv</t>
  </si>
  <si>
    <t>Mixed_6d.branch7x7dbl_3.conv</t>
  </si>
  <si>
    <t>Mixed_6d.branch7x7dbl_4.conv</t>
  </si>
  <si>
    <t>Mixed_6d.branch7x7dbl_5.conv</t>
  </si>
  <si>
    <t>Mixed_6d.branch_pool.conv</t>
  </si>
  <si>
    <t>Mixed_6e.branch1x1.conv</t>
  </si>
  <si>
    <t>Mixed_6e.branch7x7_1.conv</t>
  </si>
  <si>
    <t>Mixed_6e.branch7x7_2.conv</t>
  </si>
  <si>
    <t>Mixed_6e.branch7x7_3.conv</t>
  </si>
  <si>
    <t>Mixed_6e.branch7x7dbl_1.conv</t>
  </si>
  <si>
    <t>Mixed_6e.branch7x7dbl_2.conv</t>
  </si>
  <si>
    <t>Mixed_6e.branch7x7dbl_3.conv</t>
  </si>
  <si>
    <t>Mixed_6e.branch7x7dbl_4.conv</t>
  </si>
  <si>
    <t>Mixed_6e.branch7x7dbl_5.conv</t>
  </si>
  <si>
    <t>Mixed_6e.branch_pool.conv</t>
  </si>
  <si>
    <t>Mixed_7a.branch3x3_1.conv</t>
  </si>
  <si>
    <t>ReductionB</t>
  </si>
  <si>
    <t>Mixed_7a.branch3x3_2.conv</t>
  </si>
  <si>
    <t>Mixed_7a.branch7x7x3_1.conv</t>
  </si>
  <si>
    <t>Mixed_7a.branch7x7x3_2.conv</t>
  </si>
  <si>
    <t>Mixed_7a.branch7x7x3_3.conv</t>
  </si>
  <si>
    <t>Mixed_7a.branch7x7x3_4.conv</t>
  </si>
  <si>
    <t>Mixed_7b.branch1x1.conv</t>
  </si>
  <si>
    <t>InceptionC</t>
  </si>
  <si>
    <t>Mixed_7b.branch3x3_1.conv</t>
  </si>
  <si>
    <t>Mixed_7b.branch3x3_2a.conv</t>
  </si>
  <si>
    <t>Mixed_7b.branch3x3_2b.conv</t>
  </si>
  <si>
    <t>Mixed_7b.branch3x3dbl_1.conv</t>
  </si>
  <si>
    <t>Mixed_7b.branch3x3dbl_2.conv</t>
  </si>
  <si>
    <t>Mixed_7b.branch3x3dbl_3a.conv</t>
  </si>
  <si>
    <t>Mixed_7b.branch3x3dbl_3b.conv</t>
  </si>
  <si>
    <t>Mixed_7b.branch_pool.conv</t>
  </si>
  <si>
    <t>Mixed_7c.branch1x1.conv</t>
  </si>
  <si>
    <t>Mixed_7c.branch3x3_1.conv</t>
  </si>
  <si>
    <t>Mixed_7c.branch3x3_2a.conv</t>
  </si>
  <si>
    <t>Mixed_7c.branch3x3_2b.conv</t>
  </si>
  <si>
    <t>Mixed_7c.branch3x3dbl_1.conv</t>
  </si>
  <si>
    <t>Mixed_7c.branch3x3dbl_2.conv</t>
  </si>
  <si>
    <t>Mixed_7c.branch3x3dbl_3a.conv</t>
  </si>
  <si>
    <t>Mixed_7c.branch3x3dbl_3b.conv</t>
  </si>
  <si>
    <t>Mixed_7c.branch_pool.conv</t>
  </si>
  <si>
    <t>Unique values</t>
  </si>
  <si>
    <t>features.0</t>
  </si>
  <si>
    <t>features.2</t>
  </si>
  <si>
    <t>features.4</t>
  </si>
  <si>
    <t>features.5</t>
  </si>
  <si>
    <t>features.7</t>
  </si>
  <si>
    <t>features.9</t>
  </si>
  <si>
    <t>features.10</t>
  </si>
  <si>
    <t>features.12</t>
  </si>
  <si>
    <t>features.14</t>
  </si>
  <si>
    <t>features.16</t>
  </si>
  <si>
    <t>features.17</t>
  </si>
  <si>
    <t>features.19</t>
  </si>
  <si>
    <t>features.21</t>
  </si>
  <si>
    <t>features.23</t>
  </si>
  <si>
    <t>features.24</t>
  </si>
  <si>
    <t>features.26</t>
  </si>
  <si>
    <t>features.28</t>
  </si>
  <si>
    <t>features.30</t>
  </si>
  <si>
    <t>features.0
9.47E-20</t>
  </si>
  <si>
    <t>features.9
1.04E-80</t>
  </si>
  <si>
    <t>features.10
3.38E-132</t>
  </si>
  <si>
    <t>features.19
1.72E-194</t>
  </si>
  <si>
    <t>features.30
1.18E-212</t>
  </si>
  <si>
    <t>features.4
9.66E-138</t>
  </si>
  <si>
    <t>features.4
1.94E-81</t>
  </si>
  <si>
    <t>features.4
3.73E-153</t>
  </si>
  <si>
    <t>features.4
4.743E-59</t>
  </si>
  <si>
    <t>features.0
5.903E-25</t>
  </si>
  <si>
    <t>features.0
1.65E-72</t>
  </si>
  <si>
    <t>features.2
3.5E-141</t>
  </si>
  <si>
    <t>features.2
1.62E-64</t>
  </si>
  <si>
    <t>features.2
3.47E-171</t>
  </si>
  <si>
    <t>features.2
1.07E-197</t>
  </si>
  <si>
    <t>features.5
3.23E-88</t>
  </si>
  <si>
    <t>features.5
3.95E-77</t>
  </si>
  <si>
    <t>features.5
6.2E-156</t>
  </si>
  <si>
    <t>features.5
7E-157</t>
  </si>
  <si>
    <t>features.5
1.569E-170</t>
  </si>
  <si>
    <t>features.9
7.05E-139</t>
  </si>
  <si>
    <t>features.9
2.76E-177</t>
  </si>
  <si>
    <t>features.9
1.29E-136</t>
  </si>
  <si>
    <t>features.10
1.4E-149</t>
  </si>
  <si>
    <t>features.10
2.13E-38</t>
  </si>
  <si>
    <t>features.12
6.21E-45</t>
  </si>
  <si>
    <t>features.12
1.405E-149</t>
  </si>
  <si>
    <t>features.12
9.81E-111</t>
  </si>
  <si>
    <t>features.12
6.71E-104</t>
  </si>
  <si>
    <t>features.19
2.93E-163</t>
  </si>
  <si>
    <t>features.19
1.73E-194</t>
  </si>
  <si>
    <t>features.19
1.9831E-198</t>
  </si>
  <si>
    <t>features.19
7.38E-7</t>
  </si>
  <si>
    <t>features.19
2.749E-133</t>
  </si>
  <si>
    <t>features.19
1.22E-271</t>
  </si>
  <si>
    <t>features.19
1.788E-140</t>
  </si>
  <si>
    <t>features.19
2.47E-148</t>
  </si>
  <si>
    <t>features.19
2.961E-185</t>
  </si>
  <si>
    <t>features.19
1.46E-15</t>
  </si>
  <si>
    <t>features.21
7.22E-179</t>
  </si>
  <si>
    <t>features.23
5.53E-220</t>
  </si>
  <si>
    <t>features.23
1.054E-29</t>
  </si>
  <si>
    <t>features.24
6.1E-297</t>
  </si>
  <si>
    <t>features.26
8.37E-210</t>
  </si>
  <si>
    <t>features.30
6.11E-297</t>
  </si>
  <si>
    <t>17-21</t>
  </si>
  <si>
    <t>05-09</t>
  </si>
  <si>
    <t>00-04</t>
  </si>
  <si>
    <t>10-16</t>
  </si>
  <si>
    <t>23-30</t>
  </si>
  <si>
    <t>features.14
3.39E-132</t>
  </si>
  <si>
    <t>features.16
2.98E-16</t>
  </si>
  <si>
    <t>Layers</t>
  </si>
  <si>
    <t>Positive Sensitivity</t>
  </si>
  <si>
    <t>Negative Sensitivity</t>
  </si>
  <si>
    <t>Approximation sensitive</t>
  </si>
  <si>
    <t>Sum</t>
  </si>
  <si>
    <t>Rows</t>
  </si>
  <si>
    <t>Purity Index</t>
  </si>
  <si>
    <t>CSI</t>
  </si>
  <si>
    <t>RESNET50</t>
  </si>
  <si>
    <t>IV3</t>
  </si>
  <si>
    <t>Mnet_Large</t>
  </si>
  <si>
    <t>Mnet_Small</t>
  </si>
  <si>
    <t>P</t>
  </si>
  <si>
    <t>N</t>
  </si>
  <si>
    <t>count of P</t>
  </si>
  <si>
    <t>CP</t>
  </si>
  <si>
    <t>VGG</t>
  </si>
  <si>
    <t>Class 0 BG</t>
  </si>
  <si>
    <t>Class 1 BG</t>
  </si>
  <si>
    <t>Class 2 BG</t>
  </si>
  <si>
    <t>Class 0 Coat</t>
  </si>
  <si>
    <t>Class 1 Coat</t>
  </si>
  <si>
    <t>Class 2 Coat</t>
  </si>
  <si>
    <t>Class 0 Face</t>
  </si>
  <si>
    <t>Class 1 Face</t>
  </si>
  <si>
    <t>Class 2 Face</t>
  </si>
  <si>
    <t>Class 0 Legs</t>
  </si>
  <si>
    <t>Class 1 Legs</t>
  </si>
  <si>
    <t>Class 2 Legs</t>
  </si>
  <si>
    <t>VGG16</t>
  </si>
  <si>
    <t>RNet50</t>
  </si>
  <si>
    <t>MNetSmall</t>
  </si>
  <si>
    <t>MNetLarge</t>
  </si>
  <si>
    <t>conv1</t>
  </si>
  <si>
    <t>layer1.0.conv2</t>
  </si>
  <si>
    <t>layer1.1.conv2</t>
  </si>
  <si>
    <t>layer1.1.conv3</t>
  </si>
  <si>
    <t>layer1.2.conv1</t>
  </si>
  <si>
    <t>layer1.2.conv2</t>
  </si>
  <si>
    <t>layer2.0.conv1</t>
  </si>
  <si>
    <t>layer2.1.conv1</t>
  </si>
  <si>
    <t>layer2.1.conv2</t>
  </si>
  <si>
    <t>layer2.1.conv3</t>
  </si>
  <si>
    <t>layer2.2.conv1</t>
  </si>
  <si>
    <t>layer2.2.conv2</t>
  </si>
  <si>
    <t>layer2.2.conv3</t>
  </si>
  <si>
    <t>layer2.3.conv1</t>
  </si>
  <si>
    <t>layer2.3.conv2</t>
  </si>
  <si>
    <t>layer3.0.conv3</t>
  </si>
  <si>
    <t>layer3.1.conv1</t>
  </si>
  <si>
    <t>layer3.1.conv2</t>
  </si>
  <si>
    <t>layer3.1.conv3</t>
  </si>
  <si>
    <t>layer3.2.conv1</t>
  </si>
  <si>
    <t>layer3.2.conv2</t>
  </si>
  <si>
    <t>layer3.2.conv3</t>
  </si>
  <si>
    <t>layer3.3.conv1</t>
  </si>
  <si>
    <t>layer3.3.conv2</t>
  </si>
  <si>
    <t>layer3.3.conv3</t>
  </si>
  <si>
    <t>layer3.4.conv1</t>
  </si>
  <si>
    <t>layer3.4.conv2</t>
  </si>
  <si>
    <t>layer3.4.conv3</t>
  </si>
  <si>
    <t>layer3.5.conv1</t>
  </si>
  <si>
    <t>layer4.0.downsample.0</t>
  </si>
  <si>
    <t>layer4.1.conv1</t>
  </si>
  <si>
    <t>layer4.1.conv2</t>
  </si>
  <si>
    <t>layer4.1.conv3</t>
  </si>
  <si>
    <t>layer4.2.conv1</t>
  </si>
  <si>
    <t>Class 0</t>
  </si>
  <si>
    <t>Class 2</t>
  </si>
  <si>
    <t>Class 1</t>
  </si>
  <si>
    <t>+ve CSI : I Use this</t>
  </si>
  <si>
    <t>-ve CSI I reject it</t>
  </si>
  <si>
    <t>Rank  CP</t>
  </si>
  <si>
    <t>X</t>
  </si>
  <si>
    <t>x</t>
  </si>
  <si>
    <t>C0</t>
  </si>
  <si>
    <t>C1</t>
  </si>
  <si>
    <t>C2</t>
  </si>
  <si>
    <t>C</t>
  </si>
  <si>
    <t>F</t>
  </si>
  <si>
    <t>L</t>
  </si>
  <si>
    <t>-</t>
  </si>
  <si>
    <t>+</t>
  </si>
  <si>
    <t>xx</t>
  </si>
  <si>
    <t>--</t>
  </si>
  <si>
    <t>++</t>
  </si>
  <si>
    <t/>
  </si>
  <si>
    <t>CSI Rank (Low rank = poor CSI)</t>
  </si>
  <si>
    <t>Marked X is CP &gt; 50%</t>
  </si>
  <si>
    <t>Marked X is CSI &gt; 0</t>
  </si>
  <si>
    <t>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</si>
</sst>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  <font>
      <sz val="11"/>
      <color rgb="FFFF0000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4" borderId="0" xfId="0" applyFill="1"/>
    <xf numFmtId="0" fontId="0" fillId="6" borderId="1" xfId="0" applyFill="1" applyBorder="1"/>
    <xf numFmtId="0" fontId="0" fillId="2" borderId="1" xfId="0" applyFill="1" applyBorder="1"/>
    <xf numFmtId="0" fontId="0" fillId="15" borderId="1" xfId="0" applyFill="1" applyBorder="1"/>
    <xf numFmtId="0" fontId="2" fillId="2" borderId="1" xfId="0" applyFont="1" applyFill="1" applyBorder="1"/>
    <xf numFmtId="0" fontId="0" fillId="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13" borderId="1" xfId="0" applyFill="1" applyBorder="1"/>
    <xf numFmtId="0" fontId="2" fillId="14" borderId="1" xfId="0" applyFont="1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11" fontId="0" fillId="18" borderId="1" xfId="0" applyNumberFormat="1" applyFill="1" applyBorder="1"/>
    <xf numFmtId="0" fontId="0" fillId="0" borderId="2" xfId="0" applyBorder="1"/>
    <xf numFmtId="0" fontId="0" fillId="4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4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0" fillId="10" borderId="0" xfId="0" applyFill="1" applyAlignment="1">
      <alignment horizontal="left"/>
    </xf>
    <xf numFmtId="0" fontId="0" fillId="10" borderId="0" xfId="0" applyFill="1" applyAlignment="1">
      <alignment horizontal="left" wrapText="1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18" borderId="0" xfId="0" applyFill="1" applyAlignment="1">
      <alignment horizontal="left"/>
    </xf>
    <xf numFmtId="0" fontId="0" fillId="18" borderId="0" xfId="0" applyFill="1" applyAlignment="1">
      <alignment horizontal="left" wrapText="1"/>
    </xf>
    <xf numFmtId="0" fontId="0" fillId="14" borderId="0" xfId="0" applyFill="1" applyAlignment="1">
      <alignment horizontal="left"/>
    </xf>
    <xf numFmtId="0" fontId="0" fillId="14" borderId="0" xfId="0" applyFill="1" applyAlignment="1">
      <alignment horizontal="left" wrapText="1"/>
    </xf>
    <xf numFmtId="0" fontId="0" fillId="23" borderId="0" xfId="0" applyFill="1" applyAlignment="1">
      <alignment horizontal="left"/>
    </xf>
    <xf numFmtId="0" fontId="0" fillId="23" borderId="0" xfId="0" applyFill="1" applyAlignment="1">
      <alignment horizontal="left" wrapText="1"/>
    </xf>
    <xf numFmtId="0" fontId="0" fillId="12" borderId="0" xfId="0" applyFill="1" applyAlignment="1">
      <alignment horizontal="left"/>
    </xf>
    <xf numFmtId="0" fontId="0" fillId="12" borderId="0" xfId="0" applyFill="1" applyAlignment="1">
      <alignment horizontal="left" wrapText="1"/>
    </xf>
    <xf numFmtId="0" fontId="0" fillId="17" borderId="0" xfId="0" applyFill="1" applyAlignment="1">
      <alignment horizontal="left"/>
    </xf>
    <xf numFmtId="0" fontId="0" fillId="17" borderId="0" xfId="0" applyFill="1" applyAlignment="1">
      <alignment horizontal="left" wrapText="1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left" wrapText="1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left" wrapText="1"/>
    </xf>
    <xf numFmtId="0" fontId="0" fillId="21" borderId="0" xfId="0" applyFill="1" applyAlignment="1">
      <alignment horizontal="left"/>
    </xf>
    <xf numFmtId="0" fontId="0" fillId="21" borderId="0" xfId="0" applyFill="1" applyAlignment="1">
      <alignment horizontal="left" wrapText="1"/>
    </xf>
    <xf numFmtId="0" fontId="0" fillId="24" borderId="0" xfId="0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0" fillId="24" borderId="0" xfId="0" applyFill="1" applyAlignment="1">
      <alignment horizontal="left" wrapText="1"/>
    </xf>
    <xf numFmtId="0" fontId="0" fillId="25" borderId="0" xfId="0" applyFill="1" applyAlignment="1">
      <alignment horizontal="left"/>
    </xf>
    <xf numFmtId="0" fontId="0" fillId="25" borderId="0" xfId="0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0" fillId="26" borderId="0" xfId="0" applyFill="1" applyAlignment="1">
      <alignment horizontal="left"/>
    </xf>
    <xf numFmtId="0" fontId="0" fillId="26" borderId="0" xfId="0" applyFill="1" applyAlignment="1">
      <alignment horizontal="left" wrapText="1"/>
    </xf>
    <xf numFmtId="0" fontId="0" fillId="18" borderId="0" xfId="0" applyFill="1"/>
    <xf numFmtId="0" fontId="0" fillId="23" borderId="0" xfId="0" applyFill="1"/>
    <xf numFmtId="0" fontId="0" fillId="17" borderId="0" xfId="0" applyFill="1"/>
    <xf numFmtId="0" fontId="0" fillId="21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4" fillId="0" borderId="1" xfId="0" applyFont="1" applyBorder="1" applyAlignment="1">
      <alignment horizontal="left"/>
    </xf>
    <xf numFmtId="0" fontId="0" fillId="2" borderId="0" xfId="0" applyFill="1"/>
    <xf numFmtId="0" fontId="0" fillId="19" borderId="0" xfId="0" applyFill="1"/>
    <xf numFmtId="0" fontId="0" fillId="27" borderId="0" xfId="0" applyFill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19" borderId="1" xfId="0" applyFill="1" applyBorder="1" applyAlignment="1">
      <alignment wrapText="1"/>
    </xf>
    <xf numFmtId="0" fontId="0" fillId="27" borderId="1" xfId="0" applyFill="1" applyBorder="1" applyAlignment="1">
      <alignment wrapText="1"/>
    </xf>
    <xf numFmtId="0" fontId="0" fillId="27" borderId="1" xfId="0" applyFill="1" applyBorder="1"/>
    <xf numFmtId="0" fontId="0" fillId="24" borderId="1" xfId="0" applyFill="1" applyBorder="1" applyAlignment="1">
      <alignment wrapText="1"/>
    </xf>
    <xf numFmtId="0" fontId="0" fillId="24" borderId="1" xfId="0" applyFill="1" applyBorder="1"/>
    <xf numFmtId="164" fontId="0" fillId="0" borderId="0" xfId="0" applyNumberFormat="1" applyAlignment="1">
      <alignment horizontal="center"/>
    </xf>
    <xf numFmtId="11" fontId="0" fillId="0" borderId="0" xfId="0" applyNumberFormat="1"/>
    <xf numFmtId="0" fontId="0" fillId="4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11" fontId="0" fillId="2" borderId="0" xfId="0" applyNumberFormat="1" applyFill="1" applyAlignment="1">
      <alignment horizontal="left"/>
    </xf>
    <xf numFmtId="11" fontId="0" fillId="4" borderId="0" xfId="0" applyNumberFormat="1" applyFill="1" applyAlignment="1">
      <alignment horizontal="left"/>
    </xf>
    <xf numFmtId="11" fontId="0" fillId="8" borderId="0" xfId="0" applyNumberFormat="1" applyFill="1" applyAlignment="1">
      <alignment horizontal="left"/>
    </xf>
    <xf numFmtId="11" fontId="0" fillId="7" borderId="0" xfId="0" applyNumberFormat="1" applyFill="1" applyAlignment="1">
      <alignment horizontal="left"/>
    </xf>
    <xf numFmtId="11" fontId="0" fillId="5" borderId="0" xfId="0" applyNumberFormat="1" applyFill="1" applyAlignment="1">
      <alignment horizontal="left"/>
    </xf>
    <xf numFmtId="11" fontId="0" fillId="2" borderId="1" xfId="0" applyNumberFormat="1" applyFill="1" applyBorder="1" applyAlignment="1">
      <alignment horizontal="left" wrapText="1"/>
    </xf>
    <xf numFmtId="11" fontId="0" fillId="4" borderId="1" xfId="0" applyNumberFormat="1" applyFill="1" applyBorder="1" applyAlignment="1">
      <alignment horizontal="left"/>
    </xf>
    <xf numFmtId="11" fontId="0" fillId="8" borderId="1" xfId="0" applyNumberFormat="1" applyFill="1" applyBorder="1" applyAlignment="1">
      <alignment horizontal="left"/>
    </xf>
    <xf numFmtId="11" fontId="0" fillId="7" borderId="1" xfId="0" applyNumberFormat="1" applyFill="1" applyBorder="1" applyAlignment="1">
      <alignment horizontal="left"/>
    </xf>
    <xf numFmtId="11" fontId="0" fillId="5" borderId="1" xfId="0" applyNumberFormat="1" applyFill="1" applyBorder="1" applyAlignment="1">
      <alignment horizontal="left"/>
    </xf>
    <xf numFmtId="11" fontId="0" fillId="0" borderId="1" xfId="0" applyNumberFormat="1" applyBorder="1" applyAlignment="1">
      <alignment horizontal="left" wrapText="1"/>
    </xf>
    <xf numFmtId="16" fontId="0" fillId="0" borderId="1" xfId="0" quotePrefix="1" applyNumberFormat="1" applyBorder="1"/>
    <xf numFmtId="17" fontId="0" fillId="0" borderId="1" xfId="0" quotePrefix="1" applyNumberFormat="1" applyBorder="1"/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4" fillId="28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15" borderId="0" xfId="0" applyFill="1"/>
    <xf numFmtId="0" fontId="0" fillId="20" borderId="0" xfId="0" applyFill="1"/>
    <xf numFmtId="0" fontId="0" fillId="13" borderId="0" xfId="0" applyFill="1"/>
    <xf numFmtId="0" fontId="0" fillId="16" borderId="0" xfId="0" applyFill="1"/>
    <xf numFmtId="0" fontId="2" fillId="14" borderId="0" xfId="0" applyFont="1" applyFill="1"/>
    <xf numFmtId="0" fontId="0" fillId="22" borderId="0" xfId="0" applyFill="1"/>
    <xf numFmtId="0" fontId="0" fillId="19" borderId="0" xfId="0" applyFill="1" applyAlignment="1">
      <alignment horizontal="left"/>
    </xf>
    <xf numFmtId="0" fontId="5" fillId="4" borderId="0" xfId="0" applyFont="1" applyFill="1" applyAlignment="1">
      <alignment horizontal="left"/>
    </xf>
    <xf numFmtId="0" fontId="0" fillId="11" borderId="1" xfId="0" applyFill="1" applyBorder="1" applyAlignment="1">
      <alignment horizontal="center"/>
    </xf>
    <xf numFmtId="0" fontId="0" fillId="0" borderId="0" xfId="0" quotePrefix="1"/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8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2" fontId="4" fillId="11" borderId="1" xfId="0" applyNumberFormat="1" applyFont="1" applyFill="1" applyBorder="1" applyAlignment="1">
      <alignment horizontal="center"/>
    </xf>
    <xf numFmtId="2" fontId="4" fillId="28" borderId="1" xfId="0" applyNumberFormat="1" applyFont="1" applyFill="1" applyBorder="1" applyAlignment="1">
      <alignment horizontal="center"/>
    </xf>
    <xf numFmtId="2" fontId="6" fillId="11" borderId="1" xfId="0" applyNumberFormat="1" applyFont="1" applyFill="1" applyBorder="1" applyAlignment="1">
      <alignment horizontal="center"/>
    </xf>
    <xf numFmtId="1" fontId="6" fillId="11" borderId="1" xfId="0" applyNumberFormat="1" applyFont="1" applyFill="1" applyBorder="1" applyAlignment="1">
      <alignment horizontal="center"/>
    </xf>
    <xf numFmtId="2" fontId="6" fillId="28" borderId="1" xfId="0" applyNumberFormat="1" applyFont="1" applyFill="1" applyBorder="1" applyAlignment="1">
      <alignment horizontal="center"/>
    </xf>
    <xf numFmtId="1" fontId="6" fillId="28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3" fillId="11" borderId="1" xfId="0" applyNumberFormat="1" applyFont="1" applyFill="1" applyBorder="1" applyAlignment="1">
      <alignment horizontal="center"/>
    </xf>
    <xf numFmtId="2" fontId="3" fillId="28" borderId="1" xfId="0" applyNumberFormat="1" applyFont="1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2" fontId="7" fillId="11" borderId="1" xfId="0" applyNumberFormat="1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4" fillId="28" borderId="1" xfId="0" quotePrefix="1" applyNumberFormat="1" applyFont="1" applyFill="1" applyBorder="1" applyAlignment="1">
      <alignment horizontal="center"/>
    </xf>
    <xf numFmtId="2" fontId="0" fillId="0" borderId="1" xfId="0" quotePrefix="1" applyNumberFormat="1" applyBorder="1" applyAlignment="1">
      <alignment horizontal="center"/>
    </xf>
    <xf numFmtId="2" fontId="4" fillId="11" borderId="1" xfId="0" quotePrefix="1" applyNumberFormat="1" applyFont="1" applyFill="1" applyBorder="1" applyAlignment="1">
      <alignment horizontal="center"/>
    </xf>
    <xf numFmtId="2" fontId="6" fillId="28" borderId="1" xfId="0" quotePrefix="1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1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inivasan, Srikanth Kaniyanoor" id="{96D4A51A-440C-4769-9A8C-931A95630F18}" userId="S::srikanth.kaniyanoor.srinivasan@intel.com::3b0d95b1-25cb-484e-856d-cdc973a239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5" dT="2026-02-20T08:44:28.48" personId="{96D4A51A-440C-4769-9A8C-931A95630F18}" id="{7AFD1499-04C5-4A7B-81E3-EB6C838D4C6D}">
    <text>Descending CSI
Low rank means poor CSI</text>
  </threadedComment>
  <threadedComment ref="L85" dT="2026-02-20T08:44:28.48" personId="{96D4A51A-440C-4769-9A8C-931A95630F18}" id="{E84B88BA-C2AB-4086-BA44-44FCCFB5A758}">
    <text>Descending CSI
Low rank means poor CSI</text>
  </threadedComment>
  <threadedComment ref="R85" dT="2026-02-20T08:44:28.48" personId="{96D4A51A-440C-4769-9A8C-931A95630F18}" id="{7414FEEA-8EBE-4689-A841-5C39E5E8AF15}">
    <text>Descending CSI
Low rank means poor CSI</text>
  </threadedComment>
  <threadedComment ref="X85" dT="2026-02-20T08:44:28.48" personId="{96D4A51A-440C-4769-9A8C-931A95630F18}" id="{F98FDB1F-9786-4A01-B71F-BC432CF4934A}">
    <text>Descending CSI
Low rank means poor CSI</text>
  </threadedComment>
  <threadedComment ref="AD85" dT="2026-02-20T08:44:28.48" personId="{96D4A51A-440C-4769-9A8C-931A95630F18}" id="{CD03148B-E93D-4705-82CC-C2C7757A1CDF}">
    <text>Descending CSI
Low rank means poor CSI</text>
  </threadedComment>
</ThreadedComment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C374-CE23-47CC-9672-6ECC71B26340}">
  <sheetPr>
    <tabColor rgb="FF00B050"/>
  </sheetPr>
  <dimension ref="A1:N79"/>
  <sheetViews>
    <sheetView topLeftCell="A23" zoomScale="145" zoomScaleNormal="145" workbookViewId="0">
      <selection activeCell="A25" sqref="A25:A79"/>
    </sheetView>
  </sheetViews>
  <sheetFormatPr defaultRowHeight="14.5" x14ac:dyDescent="0.35"/>
  <cols>
    <col min="3" max="3" width="12.6328125" bestFit="1" customWidth="1"/>
    <col min="4" max="4" width="12.6328125" customWidth="1"/>
    <col min="5" max="5" width="12.6328125" bestFit="1" customWidth="1"/>
    <col min="6" max="7" width="19.7265625" customWidth="1"/>
    <col min="8" max="8" width="19.7265625" bestFit="1" customWidth="1"/>
    <col min="9" max="9" width="12.6328125" customWidth="1"/>
    <col min="10" max="10" width="19.7265625" customWidth="1"/>
    <col min="11" max="11" width="12.6328125" bestFit="1" customWidth="1"/>
    <col min="12" max="12" width="8.7265625" customWidth="1"/>
    <col min="13" max="13" width="19.7265625" customWidth="1"/>
    <col min="14" max="14" width="12.6328125" bestFit="1" customWidth="1"/>
  </cols>
  <sheetData>
    <row r="1" spans="2:14" x14ac:dyDescent="0.35">
      <c r="B1" s="1"/>
      <c r="C1" s="1" t="s">
        <v>7</v>
      </c>
      <c r="D1" s="1" t="s">
        <v>7</v>
      </c>
      <c r="E1" s="1" t="s">
        <v>7</v>
      </c>
      <c r="F1" s="1" t="s">
        <v>9</v>
      </c>
      <c r="G1" s="1" t="s">
        <v>9</v>
      </c>
      <c r="H1" s="1" t="s">
        <v>9</v>
      </c>
      <c r="I1" s="1" t="s">
        <v>8</v>
      </c>
      <c r="J1" s="1" t="s">
        <v>8</v>
      </c>
      <c r="K1" s="1" t="s">
        <v>8</v>
      </c>
      <c r="L1" s="1" t="s">
        <v>10</v>
      </c>
      <c r="M1" s="1" t="s">
        <v>10</v>
      </c>
      <c r="N1" s="1" t="s">
        <v>10</v>
      </c>
    </row>
    <row r="2" spans="2:14" x14ac:dyDescent="0.35"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  <c r="I2" s="1" t="s">
        <v>4</v>
      </c>
      <c r="J2" s="1" t="s">
        <v>5</v>
      </c>
      <c r="K2" s="1" t="s">
        <v>6</v>
      </c>
      <c r="L2" s="1" t="s">
        <v>4</v>
      </c>
      <c r="M2" s="1" t="s">
        <v>5</v>
      </c>
      <c r="N2" s="1" t="s">
        <v>6</v>
      </c>
    </row>
    <row r="3" spans="2:14" x14ac:dyDescent="0.35">
      <c r="B3" s="1" t="s">
        <v>0</v>
      </c>
      <c r="C3" s="1" t="s">
        <v>11</v>
      </c>
      <c r="D3" s="5" t="s">
        <v>17</v>
      </c>
      <c r="E3" s="1"/>
      <c r="F3" s="1"/>
      <c r="G3" s="5" t="s">
        <v>17</v>
      </c>
      <c r="H3" s="1"/>
      <c r="I3" s="1"/>
      <c r="J3" s="5" t="s">
        <v>17</v>
      </c>
      <c r="K3" s="1"/>
      <c r="L3" s="1"/>
      <c r="M3" s="5" t="s">
        <v>17</v>
      </c>
      <c r="N3" s="1"/>
    </row>
    <row r="4" spans="2:14" x14ac:dyDescent="0.35">
      <c r="B4" s="1" t="s">
        <v>1</v>
      </c>
      <c r="C4" s="1" t="s">
        <v>12</v>
      </c>
      <c r="D4" s="7" t="s">
        <v>18</v>
      </c>
      <c r="E4" s="1"/>
      <c r="F4" s="7" t="s">
        <v>12</v>
      </c>
      <c r="G4" s="7" t="s">
        <v>18</v>
      </c>
      <c r="H4" s="7" t="s">
        <v>23</v>
      </c>
      <c r="I4" s="7" t="s">
        <v>27</v>
      </c>
      <c r="J4" s="7" t="s">
        <v>18</v>
      </c>
      <c r="K4" s="1"/>
      <c r="L4" s="7" t="s">
        <v>12</v>
      </c>
      <c r="M4" s="7" t="s">
        <v>29</v>
      </c>
      <c r="N4" s="1"/>
    </row>
    <row r="5" spans="2:14" x14ac:dyDescent="0.35">
      <c r="B5" s="1" t="s">
        <v>16</v>
      </c>
      <c r="C5" s="6" t="s">
        <v>15</v>
      </c>
      <c r="D5" s="6" t="s">
        <v>19</v>
      </c>
      <c r="E5" s="1"/>
      <c r="F5" s="6" t="s">
        <v>19</v>
      </c>
      <c r="G5" s="6" t="s">
        <v>19</v>
      </c>
      <c r="H5" s="6" t="s">
        <v>15</v>
      </c>
      <c r="I5" s="6" t="s">
        <v>19</v>
      </c>
      <c r="J5" s="6" t="s">
        <v>19</v>
      </c>
      <c r="K5" s="1"/>
      <c r="L5" s="6" t="s">
        <v>31</v>
      </c>
      <c r="M5" s="6" t="s">
        <v>30</v>
      </c>
      <c r="N5" s="1"/>
    </row>
    <row r="6" spans="2:14" x14ac:dyDescent="0.35">
      <c r="B6" s="1" t="s">
        <v>2</v>
      </c>
      <c r="C6" s="5" t="s">
        <v>14</v>
      </c>
      <c r="D6" s="5" t="s">
        <v>20</v>
      </c>
      <c r="E6" s="5" t="s">
        <v>20</v>
      </c>
      <c r="F6" s="5" t="s">
        <v>22</v>
      </c>
      <c r="G6" s="5" t="s">
        <v>22</v>
      </c>
      <c r="H6" s="5" t="s">
        <v>24</v>
      </c>
      <c r="I6" s="5" t="s">
        <v>25</v>
      </c>
      <c r="J6" s="5" t="s">
        <v>22</v>
      </c>
      <c r="K6" s="5" t="s">
        <v>25</v>
      </c>
      <c r="L6" s="5" t="s">
        <v>14</v>
      </c>
      <c r="M6" s="5" t="s">
        <v>22</v>
      </c>
      <c r="N6" s="1"/>
    </row>
    <row r="7" spans="2:14" x14ac:dyDescent="0.35">
      <c r="B7" s="1" t="s">
        <v>3</v>
      </c>
      <c r="C7" s="4" t="s">
        <v>13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26</v>
      </c>
      <c r="L7" s="1"/>
      <c r="M7" s="4" t="s">
        <v>13</v>
      </c>
      <c r="N7" s="4" t="s">
        <v>28</v>
      </c>
    </row>
    <row r="10" spans="2:14" x14ac:dyDescent="0.35">
      <c r="B10" s="1"/>
      <c r="C10" s="1" t="s">
        <v>4</v>
      </c>
      <c r="D10" s="1" t="s">
        <v>5</v>
      </c>
      <c r="E10" s="1" t="s">
        <v>6</v>
      </c>
      <c r="F10" s="1" t="s">
        <v>4</v>
      </c>
      <c r="G10" s="1" t="s">
        <v>5</v>
      </c>
      <c r="H10" s="1" t="s">
        <v>6</v>
      </c>
      <c r="I10" s="1" t="s">
        <v>4</v>
      </c>
      <c r="J10" s="1" t="s">
        <v>5</v>
      </c>
      <c r="K10" s="1" t="s">
        <v>6</v>
      </c>
      <c r="L10" s="1" t="s">
        <v>4</v>
      </c>
      <c r="M10" s="1" t="s">
        <v>5</v>
      </c>
      <c r="N10" s="1" t="s">
        <v>6</v>
      </c>
    </row>
    <row r="11" spans="2:14" x14ac:dyDescent="0.35">
      <c r="B11" s="1" t="s">
        <v>0</v>
      </c>
      <c r="C11" s="1"/>
      <c r="D11" s="3">
        <v>2.1142922395084159E-95</v>
      </c>
      <c r="E11" s="1" t="s">
        <v>11</v>
      </c>
      <c r="F11" s="1" t="s">
        <v>11</v>
      </c>
      <c r="G11" s="3">
        <v>6.5456300674276173E-83</v>
      </c>
      <c r="H11" s="1" t="s">
        <v>11</v>
      </c>
      <c r="I11" s="1" t="s">
        <v>11</v>
      </c>
      <c r="J11" s="3">
        <v>2.547883684376974E-151</v>
      </c>
      <c r="K11" s="1" t="s">
        <v>11</v>
      </c>
      <c r="L11" s="1" t="s">
        <v>11</v>
      </c>
      <c r="M11" s="3">
        <v>2.547883684376974E-151</v>
      </c>
      <c r="N11" s="1" t="s">
        <v>11</v>
      </c>
    </row>
    <row r="12" spans="2:14" x14ac:dyDescent="0.35">
      <c r="B12" s="1" t="s">
        <v>1</v>
      </c>
      <c r="C12" s="2">
        <v>5.4826488871355998E-69</v>
      </c>
      <c r="D12" s="3">
        <v>2.1142922395084159E-95</v>
      </c>
      <c r="E12" s="1" t="s">
        <v>11</v>
      </c>
      <c r="F12" s="3">
        <v>3.0795873879392979E-60</v>
      </c>
      <c r="G12" s="3">
        <v>6.4993528801190209E-86</v>
      </c>
      <c r="H12" s="3">
        <v>1.6755297730258412E-33</v>
      </c>
      <c r="I12" s="3">
        <v>8.8418329764702732E-10</v>
      </c>
      <c r="J12" s="3">
        <v>5.2438014827760843E-155</v>
      </c>
      <c r="K12" s="1" t="s">
        <v>11</v>
      </c>
      <c r="L12" s="3">
        <v>2.4113559914503591E-34</v>
      </c>
      <c r="M12" s="3">
        <v>7.0944418909488103E-108</v>
      </c>
      <c r="N12" s="1" t="s">
        <v>11</v>
      </c>
    </row>
    <row r="13" spans="2:14" x14ac:dyDescent="0.35">
      <c r="B13" s="1" t="s">
        <v>16</v>
      </c>
      <c r="C13" s="3">
        <v>5.7689595534142922E-71</v>
      </c>
      <c r="D13" s="3">
        <v>1.122046647098312E-86</v>
      </c>
      <c r="E13" s="1" t="s">
        <v>11</v>
      </c>
      <c r="F13" s="3">
        <v>5.8967090318025666E-12</v>
      </c>
      <c r="G13" s="3">
        <v>1.968098275663992E-45</v>
      </c>
      <c r="H13" s="3">
        <v>5.8967090318025666E-12</v>
      </c>
      <c r="I13" s="3">
        <v>9.692158585558598E-39</v>
      </c>
      <c r="J13" s="3">
        <v>2.4761685451323939E-94</v>
      </c>
      <c r="K13" s="1" t="s">
        <v>11</v>
      </c>
      <c r="L13" s="3">
        <v>3.6900608683083041E-7</v>
      </c>
      <c r="M13" s="3">
        <v>3.490328385852726E-112</v>
      </c>
      <c r="N13" s="1" t="s">
        <v>11</v>
      </c>
    </row>
    <row r="14" spans="2:14" x14ac:dyDescent="0.35">
      <c r="B14" s="1" t="s">
        <v>2</v>
      </c>
      <c r="C14" s="3">
        <v>5.4870066049419023E-24</v>
      </c>
      <c r="D14" s="3">
        <v>1.6755297730258412E-33</v>
      </c>
      <c r="E14" s="3">
        <v>1.2949402305475899E-50</v>
      </c>
      <c r="F14" s="3">
        <v>9.9948438318163314E-12</v>
      </c>
      <c r="G14" s="3">
        <v>6.1834499551240674E-46</v>
      </c>
      <c r="H14" s="3">
        <v>7.7756403794340515E-78</v>
      </c>
      <c r="I14" s="3">
        <v>3.0901002623633379E-52</v>
      </c>
      <c r="J14" s="3">
        <v>7.7727522562061908E-227</v>
      </c>
      <c r="K14" s="3">
        <v>6.4707186971981602E-18</v>
      </c>
      <c r="L14" s="3">
        <v>3.458226107812958E-12</v>
      </c>
      <c r="M14" s="3">
        <v>4.9015667887445609E-211</v>
      </c>
      <c r="N14" s="1" t="s">
        <v>11</v>
      </c>
    </row>
    <row r="15" spans="2:14" x14ac:dyDescent="0.35">
      <c r="B15" s="1" t="s">
        <v>3</v>
      </c>
      <c r="C15" s="3">
        <v>1.1881822289344749E-212</v>
      </c>
      <c r="D15" s="3">
        <v>1.1881822289344749E-212</v>
      </c>
      <c r="E15" s="3">
        <v>1.1881822289344749E-212</v>
      </c>
      <c r="F15" s="3">
        <v>1.1881822289344749E-212</v>
      </c>
      <c r="G15" s="3">
        <v>1.1881822289344749E-212</v>
      </c>
      <c r="H15" s="3">
        <v>1.1881822289344749E-212</v>
      </c>
      <c r="I15" s="3">
        <v>1.1881822289344749E-212</v>
      </c>
      <c r="J15" s="3">
        <v>6.1162364502226952E-297</v>
      </c>
      <c r="K15" s="3">
        <v>1.2195864150166039E-232</v>
      </c>
      <c r="L15" s="1" t="s">
        <v>11</v>
      </c>
      <c r="M15" s="3">
        <v>6.1162364502226952E-297</v>
      </c>
      <c r="N15" s="3">
        <v>8.020482411746195E-226</v>
      </c>
    </row>
    <row r="17" spans="1:14" x14ac:dyDescent="0.35">
      <c r="B17" s="1"/>
      <c r="C17" s="1" t="s">
        <v>7</v>
      </c>
      <c r="D17" s="1" t="s">
        <v>7</v>
      </c>
      <c r="E17" s="1" t="s">
        <v>7</v>
      </c>
      <c r="F17" s="1" t="s">
        <v>9</v>
      </c>
      <c r="G17" s="1" t="s">
        <v>9</v>
      </c>
      <c r="H17" s="1" t="s">
        <v>9</v>
      </c>
      <c r="I17" s="1" t="s">
        <v>8</v>
      </c>
      <c r="J17" s="1" t="s">
        <v>8</v>
      </c>
      <c r="K17" s="1" t="s">
        <v>8</v>
      </c>
      <c r="L17" s="1" t="s">
        <v>10</v>
      </c>
      <c r="M17" s="1" t="s">
        <v>10</v>
      </c>
      <c r="N17" s="1" t="s">
        <v>10</v>
      </c>
    </row>
    <row r="18" spans="1:14" x14ac:dyDescent="0.35">
      <c r="B18" s="1"/>
      <c r="C18" s="1" t="s">
        <v>4</v>
      </c>
      <c r="D18" s="1" t="s">
        <v>5</v>
      </c>
      <c r="E18" s="1" t="s">
        <v>6</v>
      </c>
      <c r="F18" s="1" t="s">
        <v>4</v>
      </c>
      <c r="G18" s="1" t="s">
        <v>5</v>
      </c>
      <c r="H18" s="1" t="s">
        <v>6</v>
      </c>
      <c r="I18" s="1" t="s">
        <v>4</v>
      </c>
      <c r="J18" s="1" t="s">
        <v>5</v>
      </c>
      <c r="K18" s="1" t="s">
        <v>6</v>
      </c>
      <c r="L18" s="1" t="s">
        <v>4</v>
      </c>
      <c r="M18" s="1" t="s">
        <v>5</v>
      </c>
      <c r="N18" s="1" t="s">
        <v>6</v>
      </c>
    </row>
    <row r="19" spans="1:14" ht="29" x14ac:dyDescent="0.35">
      <c r="B19" s="1" t="s">
        <v>0</v>
      </c>
      <c r="C19" s="126" t="str">
        <f>C3 &amp; CHAR(10)&amp; TEXT(C11, "0.00E+00")</f>
        <v>None
0.00E+00</v>
      </c>
      <c r="D19" s="126" t="str">
        <f t="shared" ref="C19:D23" si="0">D3 &amp; CHAR(10)&amp; TEXT(D11, "0.00E+00")</f>
        <v>maxpool
2.11E-95</v>
      </c>
      <c r="E19" s="126" t="str">
        <f t="shared" ref="E19:N19" si="1">E3 &amp; CHAR(10)&amp; TEXT(E11, "0.00E+00")</f>
        <v xml:space="preserve">
None</v>
      </c>
      <c r="F19" s="126" t="str">
        <f t="shared" si="1"/>
        <v xml:space="preserve">
None</v>
      </c>
      <c r="G19" s="126" t="str">
        <f t="shared" si="1"/>
        <v>maxpool
6.55E-83</v>
      </c>
      <c r="H19" s="126" t="str">
        <f t="shared" si="1"/>
        <v xml:space="preserve">
None</v>
      </c>
      <c r="I19" s="126" t="str">
        <f t="shared" si="1"/>
        <v xml:space="preserve">
None</v>
      </c>
      <c r="J19" s="126" t="str">
        <f t="shared" si="1"/>
        <v>maxpool
2.55E-151</v>
      </c>
      <c r="K19" s="126" t="str">
        <f t="shared" si="1"/>
        <v xml:space="preserve">
None</v>
      </c>
      <c r="L19" s="126" t="str">
        <f t="shared" si="1"/>
        <v xml:space="preserve">
None</v>
      </c>
      <c r="M19" s="126" t="str">
        <f t="shared" si="1"/>
        <v>maxpool
2.55E-151</v>
      </c>
      <c r="N19" s="126" t="str">
        <f t="shared" si="1"/>
        <v xml:space="preserve">
None</v>
      </c>
    </row>
    <row r="20" spans="1:14" ht="41" customHeight="1" x14ac:dyDescent="0.35">
      <c r="B20" s="1" t="s">
        <v>1</v>
      </c>
      <c r="C20" s="126" t="str">
        <f t="shared" si="0"/>
        <v>layer1.2.conv3
5.48E-69</v>
      </c>
      <c r="D20" s="126" t="str">
        <f t="shared" ref="D20:N20" si="2">D4 &amp; CHAR(10)&amp; TEXT(D12, "0.00E+00")</f>
        <v>layer1.0.conv1
2.11E-95</v>
      </c>
      <c r="E20" s="126" t="str">
        <f t="shared" si="2"/>
        <v xml:space="preserve">
None</v>
      </c>
      <c r="F20" s="126" t="str">
        <f t="shared" si="2"/>
        <v>layer1.2.conv3
3.08E-60</v>
      </c>
      <c r="G20" s="126" t="str">
        <f t="shared" si="2"/>
        <v>layer1.0.conv1
6.50E-86</v>
      </c>
      <c r="H20" s="126" t="str">
        <f t="shared" si="2"/>
        <v>layer1.0.downsample.0
1.68E-33</v>
      </c>
      <c r="I20" s="126" t="str">
        <f t="shared" si="2"/>
        <v>layer1.0.conv3
8.84E-10</v>
      </c>
      <c r="J20" s="126" t="str">
        <f t="shared" si="2"/>
        <v>layer1.0.conv1
5.24E-155</v>
      </c>
      <c r="K20" s="126" t="str">
        <f t="shared" si="2"/>
        <v xml:space="preserve">
None</v>
      </c>
      <c r="L20" s="126" t="str">
        <f t="shared" si="2"/>
        <v>layer1.2.conv3
2.41E-34</v>
      </c>
      <c r="M20" s="126" t="str">
        <f t="shared" si="2"/>
        <v>layer1.1.conv1
7.09E-108</v>
      </c>
      <c r="N20" s="126" t="str">
        <f t="shared" si="2"/>
        <v xml:space="preserve">
None</v>
      </c>
    </row>
    <row r="21" spans="1:14" ht="43.5" x14ac:dyDescent="0.35">
      <c r="B21" s="1" t="s">
        <v>16</v>
      </c>
      <c r="C21" s="126" t="str">
        <f t="shared" si="0"/>
        <v>layer2.0.conv3
5.77E-71</v>
      </c>
      <c r="D21" s="126" t="str">
        <f t="shared" ref="D21:N21" si="3">D5 &amp; CHAR(10)&amp; TEXT(D13, "0.00E+00")</f>
        <v>layer2.0.conv2
1.12E-86</v>
      </c>
      <c r="E21" s="126" t="str">
        <f t="shared" si="3"/>
        <v xml:space="preserve">
None</v>
      </c>
      <c r="F21" s="126" t="str">
        <f t="shared" si="3"/>
        <v>layer2.0.conv2
5.90E-12</v>
      </c>
      <c r="G21" s="126" t="str">
        <f t="shared" si="3"/>
        <v>layer2.0.conv2
1.97E-45</v>
      </c>
      <c r="H21" s="126" t="str">
        <f t="shared" si="3"/>
        <v>layer2.0.conv3
5.90E-12</v>
      </c>
      <c r="I21" s="126" t="str">
        <f t="shared" si="3"/>
        <v>layer2.0.conv2
9.69E-39</v>
      </c>
      <c r="J21" s="126" t="str">
        <f t="shared" si="3"/>
        <v>layer2.0.conv2
2.48E-94</v>
      </c>
      <c r="K21" s="126" t="str">
        <f t="shared" si="3"/>
        <v xml:space="preserve">
None</v>
      </c>
      <c r="L21" s="126" t="str">
        <f t="shared" si="3"/>
        <v>layer2.3.conv3
3.69E-07</v>
      </c>
      <c r="M21" s="126" t="str">
        <f t="shared" si="3"/>
        <v>layer2.0.downsample.0
3.49E-112</v>
      </c>
      <c r="N21" s="126" t="str">
        <f t="shared" si="3"/>
        <v xml:space="preserve">
None</v>
      </c>
    </row>
    <row r="22" spans="1:14" ht="43.5" x14ac:dyDescent="0.35">
      <c r="B22" s="1" t="s">
        <v>2</v>
      </c>
      <c r="C22" s="126" t="str">
        <f t="shared" si="0"/>
        <v>layer3.0.conv1
5.49E-24</v>
      </c>
      <c r="D22" s="126" t="str">
        <f t="shared" ref="D22:N22" si="4">D6 &amp; CHAR(10)&amp; TEXT(D14, "0.00E+00")</f>
        <v>layer3.5.conv2
1.68E-33</v>
      </c>
      <c r="E22" s="126" t="str">
        <f t="shared" si="4"/>
        <v>layer3.5.conv2
1.29E-50</v>
      </c>
      <c r="F22" s="126" t="str">
        <f t="shared" si="4"/>
        <v>layer3.0.downsample.0
9.99E-12</v>
      </c>
      <c r="G22" s="126" t="str">
        <f t="shared" si="4"/>
        <v>layer3.0.downsample.0
6.18E-46</v>
      </c>
      <c r="H22" s="126" t="str">
        <f t="shared" si="4"/>
        <v>layer3.5.conv3
7.78E-78</v>
      </c>
      <c r="I22" s="126" t="str">
        <f t="shared" si="4"/>
        <v>layer3.0.conv2
3.09E-52</v>
      </c>
      <c r="J22" s="126" t="str">
        <f t="shared" si="4"/>
        <v>layer3.0.downsample.0
7.77E-227</v>
      </c>
      <c r="K22" s="126" t="str">
        <f t="shared" si="4"/>
        <v>layer3.0.conv2
6.47E-18</v>
      </c>
      <c r="L22" s="126" t="str">
        <f t="shared" si="4"/>
        <v>layer3.0.conv1
3.46E-12</v>
      </c>
      <c r="M22" s="126" t="str">
        <f t="shared" si="4"/>
        <v>layer3.0.downsample.0
4.90E-211</v>
      </c>
      <c r="N22" s="126" t="str">
        <f t="shared" si="4"/>
        <v xml:space="preserve">
None</v>
      </c>
    </row>
    <row r="23" spans="1:14" ht="29" x14ac:dyDescent="0.35">
      <c r="B23" s="1" t="s">
        <v>3</v>
      </c>
      <c r="C23" s="126" t="str">
        <f t="shared" si="0"/>
        <v>layer4.2.conv3
1.19E-212</v>
      </c>
      <c r="D23" s="126" t="str">
        <f t="shared" ref="D23:N23" si="5">D7 &amp; CHAR(10)&amp; TEXT(D15, "0.00E+00")</f>
        <v>layer4.2.conv3
1.19E-212</v>
      </c>
      <c r="E23" s="126" t="str">
        <f t="shared" si="5"/>
        <v>layer4.2.conv3
1.19E-212</v>
      </c>
      <c r="F23" s="126" t="str">
        <f t="shared" si="5"/>
        <v>layer4.2.conv3
1.19E-212</v>
      </c>
      <c r="G23" s="126" t="str">
        <f t="shared" si="5"/>
        <v>layer4.2.conv3
1.19E-212</v>
      </c>
      <c r="H23" s="126" t="str">
        <f t="shared" si="5"/>
        <v>layer4.2.conv3
1.19E-212</v>
      </c>
      <c r="I23" s="126" t="str">
        <f t="shared" si="5"/>
        <v>layer4.2.conv3
1.19E-212</v>
      </c>
      <c r="J23" s="126" t="str">
        <f t="shared" si="5"/>
        <v>layer4.2.conv3
6.12E-297</v>
      </c>
      <c r="K23" s="126" t="str">
        <f t="shared" si="5"/>
        <v>layer4.2.conv2
1.22E-232</v>
      </c>
      <c r="L23" s="126" t="str">
        <f t="shared" si="5"/>
        <v xml:space="preserve">
None</v>
      </c>
      <c r="M23" s="126" t="str">
        <f t="shared" si="5"/>
        <v>layer4.2.conv3
6.12E-297</v>
      </c>
      <c r="N23" s="126" t="str">
        <f t="shared" si="5"/>
        <v>layer4.0.conv2
8.02E-226</v>
      </c>
    </row>
    <row r="24" spans="1:14" x14ac:dyDescent="0.35">
      <c r="C24" s="91"/>
    </row>
    <row r="26" spans="1:14" x14ac:dyDescent="0.35">
      <c r="A26" s="133"/>
    </row>
    <row r="27" spans="1:14" x14ac:dyDescent="0.35">
      <c r="A27" s="133"/>
    </row>
    <row r="28" spans="1:14" x14ac:dyDescent="0.35">
      <c r="A28" s="133"/>
    </row>
    <row r="29" spans="1:14" x14ac:dyDescent="0.35">
      <c r="A29" s="133"/>
    </row>
    <row r="30" spans="1:14" x14ac:dyDescent="0.35">
      <c r="A30" s="133"/>
    </row>
    <row r="31" spans="1:14" x14ac:dyDescent="0.35">
      <c r="A31" s="133"/>
    </row>
    <row r="32" spans="1:14" x14ac:dyDescent="0.35">
      <c r="A32" s="133"/>
    </row>
    <row r="33" spans="1:1" x14ac:dyDescent="0.35">
      <c r="A33" s="133"/>
    </row>
    <row r="34" spans="1:1" x14ac:dyDescent="0.35">
      <c r="A34" s="133"/>
    </row>
    <row r="35" spans="1:1" x14ac:dyDescent="0.35">
      <c r="A35" s="133"/>
    </row>
    <row r="36" spans="1:1" x14ac:dyDescent="0.35">
      <c r="A36" s="133"/>
    </row>
    <row r="37" spans="1:1" x14ac:dyDescent="0.35">
      <c r="A37" s="133"/>
    </row>
    <row r="38" spans="1:1" x14ac:dyDescent="0.35">
      <c r="A38" s="133"/>
    </row>
    <row r="39" spans="1:1" x14ac:dyDescent="0.35">
      <c r="A39" s="133"/>
    </row>
    <row r="40" spans="1:1" x14ac:dyDescent="0.35">
      <c r="A40" s="133"/>
    </row>
    <row r="41" spans="1:1" x14ac:dyDescent="0.35">
      <c r="A41" s="133"/>
    </row>
    <row r="42" spans="1:1" x14ac:dyDescent="0.35">
      <c r="A42" s="133"/>
    </row>
    <row r="43" spans="1:1" x14ac:dyDescent="0.35">
      <c r="A43" s="133"/>
    </row>
    <row r="44" spans="1:1" x14ac:dyDescent="0.35">
      <c r="A44" s="133"/>
    </row>
    <row r="45" spans="1:1" x14ac:dyDescent="0.35">
      <c r="A45" s="133"/>
    </row>
    <row r="46" spans="1:1" x14ac:dyDescent="0.35">
      <c r="A46" s="133"/>
    </row>
    <row r="47" spans="1:1" x14ac:dyDescent="0.35">
      <c r="A47" s="133"/>
    </row>
    <row r="48" spans="1:1" x14ac:dyDescent="0.35">
      <c r="A48" s="133"/>
    </row>
    <row r="49" spans="1:1" x14ac:dyDescent="0.35">
      <c r="A49" s="133"/>
    </row>
    <row r="50" spans="1:1" x14ac:dyDescent="0.35">
      <c r="A50" s="133"/>
    </row>
    <row r="51" spans="1:1" x14ac:dyDescent="0.35">
      <c r="A51" s="133"/>
    </row>
    <row r="52" spans="1:1" x14ac:dyDescent="0.35">
      <c r="A52" s="133"/>
    </row>
    <row r="53" spans="1:1" x14ac:dyDescent="0.35">
      <c r="A53" s="133"/>
    </row>
    <row r="54" spans="1:1" x14ac:dyDescent="0.35">
      <c r="A54" s="133"/>
    </row>
    <row r="55" spans="1:1" x14ac:dyDescent="0.35">
      <c r="A55" s="133"/>
    </row>
    <row r="56" spans="1:1" x14ac:dyDescent="0.35">
      <c r="A56" s="133"/>
    </row>
    <row r="57" spans="1:1" x14ac:dyDescent="0.35">
      <c r="A57" s="133"/>
    </row>
    <row r="58" spans="1:1" x14ac:dyDescent="0.35">
      <c r="A58" s="133"/>
    </row>
    <row r="59" spans="1:1" x14ac:dyDescent="0.35">
      <c r="A59" s="133"/>
    </row>
    <row r="60" spans="1:1" x14ac:dyDescent="0.35">
      <c r="A60" s="133"/>
    </row>
    <row r="61" spans="1:1" x14ac:dyDescent="0.35">
      <c r="A61" s="133"/>
    </row>
    <row r="62" spans="1:1" x14ac:dyDescent="0.35">
      <c r="A62" s="133"/>
    </row>
    <row r="63" spans="1:1" x14ac:dyDescent="0.35">
      <c r="A63" s="133"/>
    </row>
    <row r="64" spans="1:1" x14ac:dyDescent="0.35">
      <c r="A64" s="133"/>
    </row>
    <row r="65" spans="1:1" x14ac:dyDescent="0.35">
      <c r="A65" s="133"/>
    </row>
    <row r="66" spans="1:1" x14ac:dyDescent="0.35">
      <c r="A66" s="133"/>
    </row>
    <row r="67" spans="1:1" x14ac:dyDescent="0.35">
      <c r="A67" s="133"/>
    </row>
    <row r="68" spans="1:1" x14ac:dyDescent="0.35">
      <c r="A68" s="133"/>
    </row>
    <row r="69" spans="1:1" x14ac:dyDescent="0.35">
      <c r="A69" s="133"/>
    </row>
    <row r="70" spans="1:1" x14ac:dyDescent="0.35">
      <c r="A70" s="133"/>
    </row>
    <row r="71" spans="1:1" x14ac:dyDescent="0.35">
      <c r="A71" s="133"/>
    </row>
    <row r="72" spans="1:1" x14ac:dyDescent="0.35">
      <c r="A72" s="133"/>
    </row>
    <row r="73" spans="1:1" x14ac:dyDescent="0.35">
      <c r="A73" s="133"/>
    </row>
    <row r="74" spans="1:1" x14ac:dyDescent="0.35">
      <c r="A74" s="133"/>
    </row>
    <row r="75" spans="1:1" x14ac:dyDescent="0.35">
      <c r="A75" s="133"/>
    </row>
    <row r="76" spans="1:1" x14ac:dyDescent="0.35">
      <c r="A76" s="133"/>
    </row>
    <row r="77" spans="1:1" x14ac:dyDescent="0.35">
      <c r="A77" s="133"/>
    </row>
    <row r="78" spans="1:1" x14ac:dyDescent="0.35">
      <c r="A78" s="133"/>
    </row>
    <row r="79" spans="1:1" x14ac:dyDescent="0.35">
      <c r="A79" s="1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ECB4-7078-4E3C-894C-EBF46A3140CE}">
  <sheetPr>
    <tabColor rgb="FF00B050"/>
  </sheetPr>
  <dimension ref="A1:S47"/>
  <sheetViews>
    <sheetView workbookViewId="0">
      <selection activeCell="F20" sqref="F20"/>
    </sheetView>
  </sheetViews>
  <sheetFormatPr defaultRowHeight="14.5" x14ac:dyDescent="0.35"/>
  <cols>
    <col min="1" max="1" width="19.7265625" bestFit="1" customWidth="1"/>
    <col min="2" max="2" width="19.7265625" customWidth="1"/>
    <col min="3" max="3" width="12.6328125" customWidth="1"/>
    <col min="4" max="4" width="19.7265625" customWidth="1"/>
    <col min="5" max="5" width="8.7265625" customWidth="1"/>
    <col min="6" max="6" width="12.6328125" bestFit="1" customWidth="1"/>
    <col min="7" max="9" width="12.6328125" customWidth="1"/>
    <col min="10" max="11" width="8.7265625" customWidth="1"/>
    <col min="12" max="14" width="19.7265625" bestFit="1" customWidth="1"/>
  </cols>
  <sheetData>
    <row r="1" spans="1:19" x14ac:dyDescent="0.35">
      <c r="A1" s="165" t="s">
        <v>405</v>
      </c>
      <c r="B1" s="165"/>
      <c r="C1" s="165"/>
      <c r="D1" s="165"/>
      <c r="F1" s="165" t="s">
        <v>407</v>
      </c>
      <c r="G1" s="165"/>
      <c r="H1" s="165"/>
      <c r="I1" s="165"/>
      <c r="L1" s="165" t="s">
        <v>406</v>
      </c>
      <c r="M1" s="165"/>
      <c r="N1" s="165"/>
      <c r="O1" s="165"/>
      <c r="S1" t="s">
        <v>7</v>
      </c>
    </row>
    <row r="2" spans="1:19" x14ac:dyDescent="0.35">
      <c r="A2" t="s">
        <v>7</v>
      </c>
      <c r="B2" t="s">
        <v>9</v>
      </c>
      <c r="C2" t="s">
        <v>8</v>
      </c>
      <c r="D2" t="s">
        <v>10</v>
      </c>
      <c r="F2" t="s">
        <v>7</v>
      </c>
      <c r="G2" t="s">
        <v>9</v>
      </c>
      <c r="H2" t="s">
        <v>8</v>
      </c>
      <c r="I2" t="s">
        <v>10</v>
      </c>
      <c r="L2" t="s">
        <v>7</v>
      </c>
      <c r="M2" t="s">
        <v>9</v>
      </c>
      <c r="N2" t="s">
        <v>8</v>
      </c>
      <c r="O2" t="s">
        <v>10</v>
      </c>
    </row>
    <row r="3" spans="1:19" x14ac:dyDescent="0.35">
      <c r="A3" s="5" t="s">
        <v>17</v>
      </c>
      <c r="B3" s="5" t="s">
        <v>17</v>
      </c>
      <c r="C3" s="7" t="s">
        <v>29</v>
      </c>
      <c r="D3" s="7" t="s">
        <v>374</v>
      </c>
      <c r="F3" s="7" t="s">
        <v>375</v>
      </c>
      <c r="G3" s="7" t="s">
        <v>375</v>
      </c>
      <c r="H3" s="7" t="s">
        <v>375</v>
      </c>
      <c r="I3" s="5" t="s">
        <v>371</v>
      </c>
      <c r="L3" s="5" t="s">
        <v>17</v>
      </c>
      <c r="M3" s="7" t="s">
        <v>18</v>
      </c>
      <c r="N3" s="7" t="s">
        <v>375</v>
      </c>
      <c r="O3" s="5" t="s">
        <v>17</v>
      </c>
    </row>
    <row r="4" spans="1:19" x14ac:dyDescent="0.35">
      <c r="A4" s="7" t="s">
        <v>18</v>
      </c>
      <c r="B4" s="7" t="s">
        <v>18</v>
      </c>
      <c r="C4" s="7" t="s">
        <v>375</v>
      </c>
      <c r="D4" s="6" t="s">
        <v>377</v>
      </c>
      <c r="F4" s="5" t="s">
        <v>386</v>
      </c>
      <c r="G4" s="7" t="s">
        <v>12</v>
      </c>
      <c r="H4" s="5" t="s">
        <v>388</v>
      </c>
      <c r="I4" s="7" t="s">
        <v>375</v>
      </c>
      <c r="L4" s="7" t="s">
        <v>18</v>
      </c>
      <c r="M4" s="7" t="s">
        <v>372</v>
      </c>
      <c r="N4" s="7" t="s">
        <v>376</v>
      </c>
      <c r="O4" s="7" t="s">
        <v>18</v>
      </c>
    </row>
    <row r="5" spans="1:19" x14ac:dyDescent="0.35">
      <c r="A5" s="7" t="s">
        <v>23</v>
      </c>
      <c r="B5" s="7" t="s">
        <v>27</v>
      </c>
      <c r="C5" s="5" t="s">
        <v>387</v>
      </c>
      <c r="D5" s="6" t="s">
        <v>380</v>
      </c>
      <c r="F5" s="141" t="s">
        <v>388</v>
      </c>
      <c r="G5" s="6" t="s">
        <v>377</v>
      </c>
      <c r="H5" s="5" t="s">
        <v>390</v>
      </c>
      <c r="I5" s="6" t="s">
        <v>377</v>
      </c>
      <c r="L5" s="7" t="s">
        <v>372</v>
      </c>
      <c r="M5" s="7" t="s">
        <v>374</v>
      </c>
      <c r="N5" s="7" t="s">
        <v>12</v>
      </c>
      <c r="O5" s="7" t="s">
        <v>372</v>
      </c>
    </row>
    <row r="6" spans="1:19" x14ac:dyDescent="0.35">
      <c r="A6" s="7" t="s">
        <v>29</v>
      </c>
      <c r="B6" s="7" t="s">
        <v>23</v>
      </c>
      <c r="C6" s="5" t="s">
        <v>388</v>
      </c>
      <c r="D6" s="6" t="s">
        <v>382</v>
      </c>
      <c r="F6" s="5" t="s">
        <v>389</v>
      </c>
      <c r="G6" s="6" t="s">
        <v>15</v>
      </c>
      <c r="H6" s="5" t="s">
        <v>391</v>
      </c>
      <c r="I6" s="6" t="s">
        <v>378</v>
      </c>
      <c r="L6" s="7" t="s">
        <v>27</v>
      </c>
      <c r="M6" s="6" t="s">
        <v>19</v>
      </c>
      <c r="N6" s="6" t="s">
        <v>377</v>
      </c>
      <c r="O6" s="7" t="s">
        <v>27</v>
      </c>
    </row>
    <row r="7" spans="1:19" x14ac:dyDescent="0.35">
      <c r="A7" s="6" t="s">
        <v>378</v>
      </c>
      <c r="B7" s="7" t="s">
        <v>29</v>
      </c>
      <c r="C7" s="5" t="s">
        <v>389</v>
      </c>
      <c r="D7" s="5" t="s">
        <v>25</v>
      </c>
      <c r="F7" s="5" t="s">
        <v>390</v>
      </c>
      <c r="G7" s="6" t="s">
        <v>31</v>
      </c>
      <c r="H7" s="5" t="s">
        <v>392</v>
      </c>
      <c r="I7" s="6" t="s">
        <v>31</v>
      </c>
      <c r="L7" s="7" t="s">
        <v>23</v>
      </c>
      <c r="M7" s="6" t="s">
        <v>30</v>
      </c>
      <c r="N7" s="6" t="s">
        <v>19</v>
      </c>
      <c r="O7" s="7" t="s">
        <v>23</v>
      </c>
    </row>
    <row r="8" spans="1:19" x14ac:dyDescent="0.35">
      <c r="A8" s="6" t="s">
        <v>379</v>
      </c>
      <c r="B8" s="7" t="s">
        <v>373</v>
      </c>
      <c r="C8" s="5" t="s">
        <v>390</v>
      </c>
      <c r="D8" s="5" t="s">
        <v>386</v>
      </c>
      <c r="F8" s="5" t="s">
        <v>391</v>
      </c>
      <c r="G8" s="5" t="s">
        <v>14</v>
      </c>
      <c r="I8" s="5" t="s">
        <v>390</v>
      </c>
      <c r="L8" s="7" t="s">
        <v>29</v>
      </c>
      <c r="M8" s="6" t="s">
        <v>378</v>
      </c>
      <c r="N8" s="6" t="s">
        <v>15</v>
      </c>
      <c r="O8" s="7" t="s">
        <v>29</v>
      </c>
    </row>
    <row r="9" spans="1:19" x14ac:dyDescent="0.35">
      <c r="A9" s="6" t="s">
        <v>381</v>
      </c>
      <c r="B9" s="7" t="s">
        <v>374</v>
      </c>
      <c r="C9" s="5" t="s">
        <v>391</v>
      </c>
      <c r="D9" s="5" t="s">
        <v>387</v>
      </c>
      <c r="F9" s="5" t="s">
        <v>392</v>
      </c>
      <c r="G9" s="5" t="s">
        <v>386</v>
      </c>
      <c r="I9" s="5" t="s">
        <v>391</v>
      </c>
      <c r="L9" s="7" t="s">
        <v>373</v>
      </c>
      <c r="M9" s="6" t="s">
        <v>379</v>
      </c>
      <c r="N9" s="6" t="s">
        <v>30</v>
      </c>
      <c r="O9" s="7" t="s">
        <v>373</v>
      </c>
    </row>
    <row r="10" spans="1:19" x14ac:dyDescent="0.35">
      <c r="A10" s="6" t="s">
        <v>382</v>
      </c>
      <c r="B10" s="7" t="s">
        <v>375</v>
      </c>
      <c r="C10" s="5" t="s">
        <v>392</v>
      </c>
      <c r="D10" s="5" t="s">
        <v>388</v>
      </c>
      <c r="F10" s="5" t="s">
        <v>393</v>
      </c>
      <c r="G10" s="5" t="s">
        <v>389</v>
      </c>
      <c r="I10" s="5" t="s">
        <v>392</v>
      </c>
      <c r="L10" s="7" t="s">
        <v>374</v>
      </c>
      <c r="M10" s="6" t="s">
        <v>380</v>
      </c>
      <c r="N10" s="6" t="s">
        <v>378</v>
      </c>
      <c r="O10" s="7" t="s">
        <v>374</v>
      </c>
    </row>
    <row r="11" spans="1:19" x14ac:dyDescent="0.35">
      <c r="A11" s="6" t="s">
        <v>383</v>
      </c>
      <c r="B11" s="6" t="s">
        <v>379</v>
      </c>
      <c r="C11" s="5" t="s">
        <v>394</v>
      </c>
      <c r="D11" s="5" t="s">
        <v>389</v>
      </c>
      <c r="F11" s="5" t="s">
        <v>394</v>
      </c>
      <c r="G11" s="5" t="s">
        <v>390</v>
      </c>
      <c r="L11" s="7" t="s">
        <v>376</v>
      </c>
      <c r="M11" s="6" t="s">
        <v>382</v>
      </c>
      <c r="N11" s="6" t="s">
        <v>379</v>
      </c>
      <c r="O11" s="7" t="s">
        <v>375</v>
      </c>
    </row>
    <row r="12" spans="1:19" x14ac:dyDescent="0.35">
      <c r="A12" s="5" t="s">
        <v>387</v>
      </c>
      <c r="B12" s="6" t="s">
        <v>380</v>
      </c>
      <c r="C12" s="5" t="s">
        <v>395</v>
      </c>
      <c r="D12" s="5" t="s">
        <v>390</v>
      </c>
      <c r="F12" s="5" t="s">
        <v>395</v>
      </c>
      <c r="G12" s="5" t="s">
        <v>391</v>
      </c>
      <c r="L12" s="7" t="s">
        <v>12</v>
      </c>
      <c r="M12" s="6" t="s">
        <v>383</v>
      </c>
      <c r="N12" s="6" t="s">
        <v>380</v>
      </c>
      <c r="O12" s="7" t="s">
        <v>376</v>
      </c>
    </row>
    <row r="13" spans="1:19" x14ac:dyDescent="0.35">
      <c r="A13" s="141" t="s">
        <v>388</v>
      </c>
      <c r="B13" s="6" t="s">
        <v>383</v>
      </c>
      <c r="C13" s="5" t="s">
        <v>396</v>
      </c>
      <c r="D13" s="5" t="s">
        <v>391</v>
      </c>
      <c r="F13" s="5" t="s">
        <v>396</v>
      </c>
      <c r="G13" s="5" t="s">
        <v>392</v>
      </c>
      <c r="L13" s="6" t="s">
        <v>377</v>
      </c>
      <c r="M13" s="6" t="s">
        <v>384</v>
      </c>
      <c r="N13" s="6" t="s">
        <v>381</v>
      </c>
      <c r="O13" s="7" t="s">
        <v>12</v>
      </c>
    </row>
    <row r="14" spans="1:19" x14ac:dyDescent="0.35">
      <c r="A14" s="5" t="s">
        <v>389</v>
      </c>
      <c r="B14" s="5" t="s">
        <v>25</v>
      </c>
      <c r="C14" s="5" t="s">
        <v>397</v>
      </c>
      <c r="D14" s="5" t="s">
        <v>396</v>
      </c>
      <c r="F14" s="5" t="s">
        <v>399</v>
      </c>
      <c r="G14" s="5" t="s">
        <v>394</v>
      </c>
      <c r="L14" s="6" t="s">
        <v>19</v>
      </c>
      <c r="M14" s="6" t="s">
        <v>385</v>
      </c>
      <c r="N14" s="6" t="s">
        <v>382</v>
      </c>
      <c r="O14" s="6" t="s">
        <v>377</v>
      </c>
    </row>
    <row r="15" spans="1:19" x14ac:dyDescent="0.35">
      <c r="A15" s="5" t="s">
        <v>390</v>
      </c>
      <c r="B15" s="5" t="s">
        <v>386</v>
      </c>
      <c r="C15" s="5" t="s">
        <v>398</v>
      </c>
      <c r="D15" s="5" t="s">
        <v>397</v>
      </c>
      <c r="F15" s="4" t="s">
        <v>402</v>
      </c>
      <c r="G15" s="5" t="s">
        <v>399</v>
      </c>
      <c r="L15" s="6" t="s">
        <v>15</v>
      </c>
      <c r="M15" s="6" t="s">
        <v>31</v>
      </c>
      <c r="N15" s="6" t="s">
        <v>384</v>
      </c>
      <c r="O15" s="6" t="s">
        <v>19</v>
      </c>
    </row>
    <row r="16" spans="1:19" x14ac:dyDescent="0.35">
      <c r="A16" s="5" t="s">
        <v>391</v>
      </c>
      <c r="B16" s="5" t="s">
        <v>387</v>
      </c>
      <c r="C16" s="5" t="s">
        <v>399</v>
      </c>
      <c r="D16" s="5" t="s">
        <v>398</v>
      </c>
      <c r="L16" s="6" t="s">
        <v>30</v>
      </c>
      <c r="M16" s="5" t="s">
        <v>22</v>
      </c>
      <c r="N16" s="6" t="s">
        <v>385</v>
      </c>
      <c r="O16" s="6" t="s">
        <v>15</v>
      </c>
    </row>
    <row r="17" spans="1:15" x14ac:dyDescent="0.35">
      <c r="A17" s="5" t="s">
        <v>392</v>
      </c>
      <c r="B17" s="141" t="s">
        <v>388</v>
      </c>
      <c r="C17" s="5" t="s">
        <v>20</v>
      </c>
      <c r="D17" s="5" t="s">
        <v>399</v>
      </c>
      <c r="L17" s="6" t="s">
        <v>378</v>
      </c>
      <c r="M17" s="5" t="s">
        <v>387</v>
      </c>
      <c r="N17" s="6" t="s">
        <v>31</v>
      </c>
      <c r="O17" s="6" t="s">
        <v>30</v>
      </c>
    </row>
    <row r="18" spans="1:15" x14ac:dyDescent="0.35">
      <c r="A18" s="5" t="s">
        <v>395</v>
      </c>
      <c r="B18" s="5" t="s">
        <v>389</v>
      </c>
      <c r="C18" s="5" t="s">
        <v>24</v>
      </c>
      <c r="D18" s="5" t="s">
        <v>20</v>
      </c>
      <c r="L18" s="6" t="s">
        <v>379</v>
      </c>
      <c r="M18" s="5" t="s">
        <v>388</v>
      </c>
      <c r="N18" s="5" t="s">
        <v>14</v>
      </c>
      <c r="O18" s="6" t="s">
        <v>378</v>
      </c>
    </row>
    <row r="19" spans="1:15" x14ac:dyDescent="0.35">
      <c r="A19" s="5" t="s">
        <v>396</v>
      </c>
      <c r="B19" s="5" t="s">
        <v>390</v>
      </c>
      <c r="C19" s="4" t="s">
        <v>401</v>
      </c>
      <c r="D19" s="5" t="s">
        <v>24</v>
      </c>
      <c r="L19" s="6" t="s">
        <v>380</v>
      </c>
      <c r="M19" s="5" t="s">
        <v>389</v>
      </c>
      <c r="N19" s="5" t="s">
        <v>22</v>
      </c>
      <c r="O19" s="6" t="s">
        <v>379</v>
      </c>
    </row>
    <row r="20" spans="1:15" x14ac:dyDescent="0.35">
      <c r="A20" s="5" t="s">
        <v>397</v>
      </c>
      <c r="B20" s="5" t="s">
        <v>391</v>
      </c>
      <c r="C20" s="4" t="s">
        <v>402</v>
      </c>
      <c r="D20" s="4" t="s">
        <v>400</v>
      </c>
      <c r="L20" s="6" t="s">
        <v>381</v>
      </c>
      <c r="M20" s="5" t="s">
        <v>390</v>
      </c>
      <c r="N20" s="5" t="s">
        <v>387</v>
      </c>
      <c r="O20" s="6" t="s">
        <v>380</v>
      </c>
    </row>
    <row r="21" spans="1:15" x14ac:dyDescent="0.35">
      <c r="A21" s="5" t="s">
        <v>398</v>
      </c>
      <c r="B21" s="5" t="s">
        <v>392</v>
      </c>
      <c r="D21" s="4" t="s">
        <v>401</v>
      </c>
      <c r="L21" s="6" t="s">
        <v>382</v>
      </c>
      <c r="M21" s="5" t="s">
        <v>391</v>
      </c>
      <c r="N21" s="5" t="s">
        <v>388</v>
      </c>
      <c r="O21" s="6" t="s">
        <v>381</v>
      </c>
    </row>
    <row r="22" spans="1:15" x14ac:dyDescent="0.35">
      <c r="A22" s="5" t="s">
        <v>399</v>
      </c>
      <c r="B22" s="5" t="s">
        <v>394</v>
      </c>
      <c r="D22" s="4" t="s">
        <v>402</v>
      </c>
      <c r="L22" s="6" t="s">
        <v>383</v>
      </c>
      <c r="M22" s="5" t="s">
        <v>393</v>
      </c>
      <c r="N22" s="5" t="s">
        <v>389</v>
      </c>
      <c r="O22" s="6" t="s">
        <v>382</v>
      </c>
    </row>
    <row r="23" spans="1:15" x14ac:dyDescent="0.35">
      <c r="A23" s="5" t="s">
        <v>20</v>
      </c>
      <c r="B23" s="5" t="s">
        <v>396</v>
      </c>
      <c r="D23" s="4" t="s">
        <v>403</v>
      </c>
      <c r="L23" s="6" t="s">
        <v>384</v>
      </c>
      <c r="M23" s="5" t="s">
        <v>394</v>
      </c>
      <c r="N23" s="5" t="s">
        <v>390</v>
      </c>
      <c r="O23" s="6" t="s">
        <v>383</v>
      </c>
    </row>
    <row r="24" spans="1:15" x14ac:dyDescent="0.35">
      <c r="A24" s="5" t="s">
        <v>24</v>
      </c>
      <c r="B24" s="5" t="s">
        <v>397</v>
      </c>
      <c r="D24" s="4" t="s">
        <v>404</v>
      </c>
      <c r="L24" s="6" t="s">
        <v>385</v>
      </c>
      <c r="M24" s="5" t="s">
        <v>395</v>
      </c>
      <c r="N24" s="5" t="s">
        <v>391</v>
      </c>
      <c r="O24" s="6" t="s">
        <v>384</v>
      </c>
    </row>
    <row r="25" spans="1:15" x14ac:dyDescent="0.35">
      <c r="A25" s="4" t="s">
        <v>404</v>
      </c>
      <c r="B25" s="5" t="s">
        <v>398</v>
      </c>
      <c r="D25" s="4" t="s">
        <v>26</v>
      </c>
      <c r="L25" s="6" t="s">
        <v>31</v>
      </c>
      <c r="M25" s="5" t="s">
        <v>396</v>
      </c>
      <c r="N25" s="5" t="s">
        <v>392</v>
      </c>
      <c r="O25" s="6" t="s">
        <v>385</v>
      </c>
    </row>
    <row r="26" spans="1:15" x14ac:dyDescent="0.35">
      <c r="B26" s="5" t="s">
        <v>399</v>
      </c>
      <c r="D26" s="4" t="s">
        <v>13</v>
      </c>
      <c r="L26" s="5" t="s">
        <v>14</v>
      </c>
      <c r="M26" s="5" t="s">
        <v>397</v>
      </c>
      <c r="N26" s="5" t="s">
        <v>393</v>
      </c>
      <c r="O26" s="5" t="s">
        <v>14</v>
      </c>
    </row>
    <row r="27" spans="1:15" x14ac:dyDescent="0.35">
      <c r="B27" s="5" t="s">
        <v>20</v>
      </c>
      <c r="L27" s="5" t="s">
        <v>25</v>
      </c>
      <c r="M27" s="5" t="s">
        <v>398</v>
      </c>
      <c r="N27" s="5" t="s">
        <v>394</v>
      </c>
      <c r="O27" s="5" t="s">
        <v>386</v>
      </c>
    </row>
    <row r="28" spans="1:15" x14ac:dyDescent="0.35">
      <c r="B28" s="5" t="s">
        <v>24</v>
      </c>
      <c r="L28" s="5" t="s">
        <v>22</v>
      </c>
      <c r="N28" s="5" t="s">
        <v>395</v>
      </c>
      <c r="O28" s="5" t="s">
        <v>22</v>
      </c>
    </row>
    <row r="29" spans="1:15" x14ac:dyDescent="0.35">
      <c r="B29" s="4" t="s">
        <v>404</v>
      </c>
      <c r="L29" s="5" t="s">
        <v>387</v>
      </c>
      <c r="N29" s="5" t="s">
        <v>396</v>
      </c>
      <c r="O29" s="5" t="s">
        <v>387</v>
      </c>
    </row>
    <row r="30" spans="1:15" x14ac:dyDescent="0.35">
      <c r="L30" s="5" t="s">
        <v>388</v>
      </c>
      <c r="N30" s="5" t="s">
        <v>397</v>
      </c>
      <c r="O30" s="5" t="s">
        <v>388</v>
      </c>
    </row>
    <row r="31" spans="1:15" x14ac:dyDescent="0.35">
      <c r="E31">
        <f>COUNTIFS($A:$A,A2,$B:$B,B2,$C:$C,C2)</f>
        <v>1</v>
      </c>
      <c r="L31" s="5" t="s">
        <v>389</v>
      </c>
      <c r="N31" s="5" t="s">
        <v>398</v>
      </c>
      <c r="O31" s="5" t="s">
        <v>389</v>
      </c>
    </row>
    <row r="32" spans="1:15" x14ac:dyDescent="0.35">
      <c r="L32" s="5" t="s">
        <v>390</v>
      </c>
      <c r="N32" s="5" t="s">
        <v>399</v>
      </c>
      <c r="O32" s="5" t="s">
        <v>390</v>
      </c>
    </row>
    <row r="33" spans="12:15" x14ac:dyDescent="0.35">
      <c r="L33" s="5" t="s">
        <v>391</v>
      </c>
      <c r="N33" s="5" t="s">
        <v>20</v>
      </c>
      <c r="O33" s="5" t="s">
        <v>391</v>
      </c>
    </row>
    <row r="34" spans="12:15" x14ac:dyDescent="0.35">
      <c r="L34" s="5" t="s">
        <v>392</v>
      </c>
      <c r="N34" s="5" t="s">
        <v>24</v>
      </c>
      <c r="O34" s="5" t="s">
        <v>392</v>
      </c>
    </row>
    <row r="35" spans="12:15" x14ac:dyDescent="0.35">
      <c r="L35" s="5" t="s">
        <v>393</v>
      </c>
      <c r="O35" s="5" t="s">
        <v>393</v>
      </c>
    </row>
    <row r="36" spans="12:15" x14ac:dyDescent="0.35">
      <c r="L36" s="5" t="s">
        <v>396</v>
      </c>
      <c r="O36" s="5" t="s">
        <v>394</v>
      </c>
    </row>
    <row r="37" spans="12:15" x14ac:dyDescent="0.35">
      <c r="L37" s="4" t="s">
        <v>400</v>
      </c>
      <c r="O37" s="5" t="s">
        <v>395</v>
      </c>
    </row>
    <row r="38" spans="12:15" x14ac:dyDescent="0.35">
      <c r="L38" s="4" t="s">
        <v>402</v>
      </c>
      <c r="O38" s="5" t="s">
        <v>396</v>
      </c>
    </row>
    <row r="39" spans="12:15" x14ac:dyDescent="0.35">
      <c r="L39" s="4" t="s">
        <v>403</v>
      </c>
      <c r="O39" s="5" t="s">
        <v>397</v>
      </c>
    </row>
    <row r="40" spans="12:15" x14ac:dyDescent="0.35">
      <c r="L40" s="4" t="s">
        <v>404</v>
      </c>
      <c r="O40" s="5" t="s">
        <v>398</v>
      </c>
    </row>
    <row r="41" spans="12:15" x14ac:dyDescent="0.35">
      <c r="L41" s="4" t="s">
        <v>26</v>
      </c>
      <c r="O41" s="5" t="s">
        <v>399</v>
      </c>
    </row>
    <row r="42" spans="12:15" x14ac:dyDescent="0.35">
      <c r="O42" s="5" t="s">
        <v>20</v>
      </c>
    </row>
    <row r="43" spans="12:15" x14ac:dyDescent="0.35">
      <c r="O43" s="5" t="s">
        <v>24</v>
      </c>
    </row>
    <row r="44" spans="12:15" x14ac:dyDescent="0.35">
      <c r="O44" s="4" t="s">
        <v>401</v>
      </c>
    </row>
    <row r="45" spans="12:15" x14ac:dyDescent="0.35">
      <c r="O45" s="4" t="s">
        <v>402</v>
      </c>
    </row>
    <row r="46" spans="12:15" x14ac:dyDescent="0.35">
      <c r="O46" s="4" t="s">
        <v>404</v>
      </c>
    </row>
    <row r="47" spans="12:15" x14ac:dyDescent="0.35">
      <c r="O47" s="4" t="s">
        <v>26</v>
      </c>
    </row>
  </sheetData>
  <mergeCells count="3">
    <mergeCell ref="A1:D1"/>
    <mergeCell ref="F1:I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D25E-47B2-4410-AC61-C5D49C1AEF1A}">
  <sheetPr>
    <tabColor rgb="FF00B050"/>
  </sheetPr>
  <dimension ref="A1:AH63"/>
  <sheetViews>
    <sheetView topLeftCell="R47" workbookViewId="0">
      <selection activeCell="U69" sqref="U69"/>
    </sheetView>
  </sheetViews>
  <sheetFormatPr defaultRowHeight="14.5" x14ac:dyDescent="0.35"/>
  <cols>
    <col min="1" max="1" width="20.1796875" bestFit="1" customWidth="1"/>
    <col min="2" max="12" width="8.7265625" customWidth="1"/>
    <col min="14" max="14" width="16.90625" bestFit="1" customWidth="1"/>
    <col min="15" max="16" width="16.90625" customWidth="1"/>
    <col min="17" max="17" width="8.7265625" customWidth="1"/>
    <col min="18" max="18" width="18.81640625" style="91" customWidth="1"/>
    <col min="19" max="20" width="19.81640625" style="91" customWidth="1"/>
    <col min="21" max="21" width="18.26953125" style="91" customWidth="1"/>
    <col min="22" max="23" width="19.81640625" style="91" customWidth="1"/>
    <col min="24" max="24" width="18.26953125" style="91" customWidth="1"/>
    <col min="25" max="25" width="19.81640625" style="91" customWidth="1"/>
    <col min="26" max="26" width="18.81640625" style="91" customWidth="1"/>
    <col min="27" max="27" width="18.26953125" style="91" customWidth="1"/>
    <col min="28" max="28" width="19.81640625" style="91" customWidth="1"/>
    <col min="29" max="29" width="18.81640625" style="91" bestFit="1" customWidth="1"/>
    <col min="33" max="33" width="16.26953125" bestFit="1" customWidth="1"/>
  </cols>
  <sheetData>
    <row r="1" spans="1:34" ht="57.5" customHeight="1" x14ac:dyDescent="0.35">
      <c r="A1" s="44" t="s">
        <v>98</v>
      </c>
      <c r="B1" s="45" t="s">
        <v>99</v>
      </c>
      <c r="C1" s="45" t="s">
        <v>100</v>
      </c>
      <c r="D1" s="45" t="s">
        <v>101</v>
      </c>
      <c r="E1" s="45" t="s">
        <v>102</v>
      </c>
      <c r="F1" s="45" t="s">
        <v>103</v>
      </c>
      <c r="G1" s="45" t="s">
        <v>104</v>
      </c>
      <c r="H1" s="45" t="s">
        <v>105</v>
      </c>
      <c r="I1" s="45" t="s">
        <v>106</v>
      </c>
      <c r="J1" s="45" t="s">
        <v>107</v>
      </c>
      <c r="K1" s="45" t="s">
        <v>108</v>
      </c>
      <c r="L1" s="45" t="s">
        <v>109</v>
      </c>
      <c r="M1" s="45" t="s">
        <v>110</v>
      </c>
      <c r="P1" s="45" t="s">
        <v>165</v>
      </c>
      <c r="Q1" s="1"/>
      <c r="R1" s="88" t="s">
        <v>153</v>
      </c>
      <c r="S1" s="88" t="s">
        <v>154</v>
      </c>
      <c r="T1" s="88" t="s">
        <v>155</v>
      </c>
      <c r="U1" s="88" t="s">
        <v>156</v>
      </c>
      <c r="V1" s="88" t="s">
        <v>157</v>
      </c>
      <c r="W1" s="88" t="s">
        <v>158</v>
      </c>
      <c r="X1" s="88" t="s">
        <v>159</v>
      </c>
      <c r="Y1" s="88" t="s">
        <v>160</v>
      </c>
      <c r="Z1" s="88" t="s">
        <v>161</v>
      </c>
      <c r="AA1" s="88" t="s">
        <v>162</v>
      </c>
      <c r="AB1" s="88" t="s">
        <v>163</v>
      </c>
      <c r="AC1" s="88" t="s">
        <v>164</v>
      </c>
    </row>
    <row r="2" spans="1:34" x14ac:dyDescent="0.35">
      <c r="A2" s="46" t="s">
        <v>46</v>
      </c>
      <c r="B2" s="47">
        <v>0.99932957240549158</v>
      </c>
      <c r="C2" s="47">
        <v>0.91843865693126425</v>
      </c>
      <c r="D2" s="47">
        <v>0.63275715045003333</v>
      </c>
      <c r="E2" s="47">
        <v>0.99424414898732705</v>
      </c>
      <c r="F2" s="47">
        <v>0.99887778140824413</v>
      </c>
      <c r="G2" s="47">
        <v>0.33924030681285811</v>
      </c>
      <c r="H2" s="47">
        <v>0.98419030824746367</v>
      </c>
      <c r="I2" s="47">
        <v>0.7483875338808782</v>
      </c>
      <c r="J2" s="47">
        <v>0.86188756165359359</v>
      </c>
      <c r="K2" s="47">
        <v>0.87867863039430649</v>
      </c>
      <c r="L2" s="47">
        <v>0.92431028870426246</v>
      </c>
      <c r="M2" s="47">
        <v>0.6539182261478429</v>
      </c>
      <c r="N2" s="12" t="s">
        <v>32</v>
      </c>
      <c r="P2" s="1" t="str" cm="1">
        <f t="array" ref="P2:P18">_xlfn.UNIQUE(N2:N63)</f>
        <v>Stem</v>
      </c>
      <c r="Q2" s="1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G2" t="s">
        <v>267</v>
      </c>
    </row>
    <row r="3" spans="1:34" x14ac:dyDescent="0.35">
      <c r="A3" s="48" t="s">
        <v>47</v>
      </c>
      <c r="B3" s="49">
        <v>0.99932957240549158</v>
      </c>
      <c r="C3" s="49">
        <v>0.87867863039430649</v>
      </c>
      <c r="D3" s="50">
        <v>2.334560481166707E-3</v>
      </c>
      <c r="E3" s="49">
        <v>0.21434594520575251</v>
      </c>
      <c r="F3" s="49">
        <v>0.33924030681285811</v>
      </c>
      <c r="G3" s="50">
        <v>3.9196467388036299E-4</v>
      </c>
      <c r="H3" s="49">
        <v>0.97715363504431529</v>
      </c>
      <c r="I3" s="49">
        <v>0.99974747758041316</v>
      </c>
      <c r="J3" s="50">
        <v>6.8495451888000259E-5</v>
      </c>
      <c r="K3" s="49">
        <v>0.92922855552128913</v>
      </c>
      <c r="L3" s="49">
        <v>0.99773664056901701</v>
      </c>
      <c r="M3" s="49">
        <v>0.97322538089809185</v>
      </c>
      <c r="N3" s="10" t="s">
        <v>137</v>
      </c>
      <c r="P3" s="1" t="str">
        <v>Inverted Residue1</v>
      </c>
      <c r="Q3" s="1"/>
      <c r="R3" s="125" t="b">
        <f>IF(MIN(B3:B4)&lt;0.05,MIN(B3:B4))</f>
        <v>0</v>
      </c>
      <c r="S3" s="125">
        <f t="shared" ref="S3:AC3" si="0">IF(MIN(C3:C4)&lt;0.05,MIN(C3:C4))</f>
        <v>2.9727623726529142E-4</v>
      </c>
      <c r="T3" s="125">
        <f t="shared" si="0"/>
        <v>2.334560481166707E-3</v>
      </c>
      <c r="U3" s="125" t="b">
        <f t="shared" si="0"/>
        <v>0</v>
      </c>
      <c r="V3" s="125">
        <f t="shared" si="0"/>
        <v>9.3132563399741616E-5</v>
      </c>
      <c r="W3" s="125">
        <f t="shared" si="0"/>
        <v>3.9196467388036299E-4</v>
      </c>
      <c r="X3" s="125" t="b">
        <f t="shared" si="0"/>
        <v>0</v>
      </c>
      <c r="Y3" s="125">
        <f t="shared" si="0"/>
        <v>1.335807115945141E-6</v>
      </c>
      <c r="Z3" s="125">
        <f t="shared" si="0"/>
        <v>6.8495451888000259E-5</v>
      </c>
      <c r="AA3" s="125" t="b">
        <f t="shared" si="0"/>
        <v>0</v>
      </c>
      <c r="AB3" s="125">
        <f t="shared" si="0"/>
        <v>4.7451246753487619E-8</v>
      </c>
      <c r="AC3" s="125" t="b">
        <f t="shared" si="0"/>
        <v>0</v>
      </c>
      <c r="AG3" s="45" t="s">
        <v>32</v>
      </c>
      <c r="AH3">
        <v>0</v>
      </c>
    </row>
    <row r="4" spans="1:34" x14ac:dyDescent="0.35">
      <c r="A4" s="48" t="s">
        <v>111</v>
      </c>
      <c r="B4" s="49">
        <v>0.99855974075723575</v>
      </c>
      <c r="C4" s="50">
        <v>2.9727623726529142E-4</v>
      </c>
      <c r="D4" s="49">
        <v>0.9676470434726987</v>
      </c>
      <c r="E4" s="49">
        <v>0.99424414898732705</v>
      </c>
      <c r="F4" s="50">
        <v>9.3132563399741616E-5</v>
      </c>
      <c r="G4" s="49">
        <v>0.99993127286383343</v>
      </c>
      <c r="H4" s="49">
        <v>0.99705135870899886</v>
      </c>
      <c r="I4" s="50">
        <v>1.335807115945141E-6</v>
      </c>
      <c r="J4" s="49">
        <v>0.99999999999996669</v>
      </c>
      <c r="K4" s="49">
        <v>0.99948598562048263</v>
      </c>
      <c r="L4" s="50">
        <v>4.7451246753487619E-8</v>
      </c>
      <c r="M4" s="49">
        <v>0.99999999979237009</v>
      </c>
      <c r="N4" s="10" t="s">
        <v>137</v>
      </c>
      <c r="P4" s="1" t="str">
        <v>Inverted Residue2</v>
      </c>
      <c r="Q4" s="1"/>
      <c r="R4" s="125">
        <f>IF(MIN(B5:B7)&lt;0.05,MIN(B5:B7))</f>
        <v>4.9504061134201882E-6</v>
      </c>
      <c r="S4" s="125">
        <f t="shared" ref="S4:AC4" si="1">IF(MIN(C5:C7)&lt;0.05,MIN(C5:C7))</f>
        <v>2.334560481166707E-3</v>
      </c>
      <c r="T4" s="125" t="b">
        <f t="shared" si="1"/>
        <v>0</v>
      </c>
      <c r="U4" s="125">
        <f t="shared" si="1"/>
        <v>3.8211572417738697E-2</v>
      </c>
      <c r="V4" s="125">
        <f t="shared" si="1"/>
        <v>2.2443084356065412E-9</v>
      </c>
      <c r="W4" s="125">
        <f t="shared" si="1"/>
        <v>1.07186411397128E-2</v>
      </c>
      <c r="X4" s="125">
        <f t="shared" si="1"/>
        <v>8.7576396766929094E-3</v>
      </c>
      <c r="Y4" s="125">
        <f t="shared" si="1"/>
        <v>2.4812202302998911E-6</v>
      </c>
      <c r="Z4" s="125" t="b">
        <f t="shared" si="1"/>
        <v>0</v>
      </c>
      <c r="AA4" s="125">
        <f t="shared" si="1"/>
        <v>3.5800149477577373E-15</v>
      </c>
      <c r="AB4" s="125">
        <f t="shared" si="1"/>
        <v>2.648007387775048E-7</v>
      </c>
      <c r="AC4" s="125" t="b">
        <f t="shared" si="1"/>
        <v>0</v>
      </c>
      <c r="AG4" s="1" t="s">
        <v>137</v>
      </c>
      <c r="AH4">
        <v>1</v>
      </c>
    </row>
    <row r="5" spans="1:34" x14ac:dyDescent="0.35">
      <c r="A5" s="51" t="s">
        <v>51</v>
      </c>
      <c r="B5" s="52">
        <v>0.1371961135641718</v>
      </c>
      <c r="C5" s="52">
        <v>2.334560481166707E-3</v>
      </c>
      <c r="D5" s="52">
        <v>0.99999975106193439</v>
      </c>
      <c r="E5" s="52">
        <v>0.1067839002741523</v>
      </c>
      <c r="F5" s="52">
        <v>0.1371961135641718</v>
      </c>
      <c r="G5" s="52">
        <v>0.54500593559208865</v>
      </c>
      <c r="H5" s="52">
        <v>6.1112744934414411E-2</v>
      </c>
      <c r="I5" s="52">
        <v>2.9968560448432519E-2</v>
      </c>
      <c r="J5" s="52">
        <v>1</v>
      </c>
      <c r="K5" s="52">
        <v>9.8807434232840573E-6</v>
      </c>
      <c r="L5" s="52">
        <v>4.0569702675854434E-3</v>
      </c>
      <c r="M5" s="52">
        <v>1</v>
      </c>
      <c r="N5" s="75" t="s">
        <v>138</v>
      </c>
      <c r="P5" s="1" t="str">
        <v>Inverted Residue3</v>
      </c>
      <c r="Q5" s="1"/>
      <c r="R5" s="125">
        <f>IF(MIN(B8:B10)&lt;0.05, MIN(B8:B10))</f>
        <v>3.5444863431141359E-9</v>
      </c>
      <c r="S5" s="125">
        <f t="shared" ref="S5:AC5" si="2">IF(MIN(C8:C10)&lt;0.05, MIN(C8:C10))</f>
        <v>3.8211572417738697E-2</v>
      </c>
      <c r="T5" s="125">
        <f t="shared" si="2"/>
        <v>7.7224614927399764E-19</v>
      </c>
      <c r="U5" s="125" t="b">
        <f t="shared" si="2"/>
        <v>0</v>
      </c>
      <c r="V5" s="125">
        <f t="shared" si="2"/>
        <v>4.9504061134201882E-6</v>
      </c>
      <c r="W5" s="125">
        <f t="shared" si="2"/>
        <v>1.1959484177270701E-14</v>
      </c>
      <c r="X5" s="125" t="b">
        <f t="shared" si="2"/>
        <v>0</v>
      </c>
      <c r="Y5" s="125" t="b">
        <f t="shared" si="2"/>
        <v>0</v>
      </c>
      <c r="Z5" s="125">
        <f t="shared" si="2"/>
        <v>9.7848639363589E-16</v>
      </c>
      <c r="AA5" s="125">
        <f t="shared" si="2"/>
        <v>5.5012734621003682E-10</v>
      </c>
      <c r="AB5" s="125" t="b">
        <f t="shared" si="2"/>
        <v>0</v>
      </c>
      <c r="AC5" s="125">
        <f t="shared" si="2"/>
        <v>1.9122089432156339E-16</v>
      </c>
      <c r="AG5" s="1" t="s">
        <v>138</v>
      </c>
      <c r="AH5">
        <v>2</v>
      </c>
    </row>
    <row r="6" spans="1:34" x14ac:dyDescent="0.35">
      <c r="A6" s="51" t="s">
        <v>52</v>
      </c>
      <c r="B6" s="52">
        <v>0.1067839002741523</v>
      </c>
      <c r="C6" s="52">
        <v>4.4907133435382003E-2</v>
      </c>
      <c r="D6" s="52">
        <v>0.99999999999932698</v>
      </c>
      <c r="E6" s="52">
        <v>0.1067839002741523</v>
      </c>
      <c r="F6" s="52">
        <v>1.2551204111500489E-4</v>
      </c>
      <c r="G6" s="52">
        <v>0.66075969318714201</v>
      </c>
      <c r="H6" s="50">
        <v>8.7576396766929094E-3</v>
      </c>
      <c r="I6" s="52">
        <v>1.911321190952992E-5</v>
      </c>
      <c r="J6" s="52">
        <v>1</v>
      </c>
      <c r="K6" s="52">
        <v>1.113695060809213E-7</v>
      </c>
      <c r="L6" s="50">
        <v>2.648007387775048E-7</v>
      </c>
      <c r="M6" s="52">
        <v>1</v>
      </c>
      <c r="N6" s="75" t="s">
        <v>138</v>
      </c>
      <c r="P6" s="1" t="str">
        <v>Inverted Residue4</v>
      </c>
      <c r="Q6" s="1"/>
      <c r="R6" s="125">
        <f>IF(MIN(B11:B15)&lt;0.05, MIN(B11:B15))</f>
        <v>7.773941077768152E-11</v>
      </c>
      <c r="S6" s="125">
        <f t="shared" ref="S6:AC6" si="3">IF(MIN(C11:C15)&lt;0.05, MIN(C11:C15))</f>
        <v>2.9727623726529142E-4</v>
      </c>
      <c r="T6" s="125" t="b">
        <f t="shared" si="3"/>
        <v>0</v>
      </c>
      <c r="U6" s="125">
        <f t="shared" si="3"/>
        <v>3.1923094571434119E-8</v>
      </c>
      <c r="V6" s="125" t="b">
        <f t="shared" si="3"/>
        <v>0</v>
      </c>
      <c r="W6" s="125">
        <f t="shared" si="3"/>
        <v>4.0368089073880516E-40</v>
      </c>
      <c r="X6" s="125">
        <f t="shared" si="3"/>
        <v>1.4242880456734839E-27</v>
      </c>
      <c r="Y6" s="125" t="b">
        <f t="shared" si="3"/>
        <v>0</v>
      </c>
      <c r="Z6" s="125">
        <f t="shared" si="3"/>
        <v>1.5916232962623739E-96</v>
      </c>
      <c r="AA6" s="125">
        <f t="shared" si="3"/>
        <v>2.66113438101818E-22</v>
      </c>
      <c r="AB6" s="125">
        <f t="shared" si="3"/>
        <v>5.6254790749006029E-5</v>
      </c>
      <c r="AC6" s="125">
        <f t="shared" si="3"/>
        <v>6.1984441124480788E-100</v>
      </c>
      <c r="AG6" s="1" t="s">
        <v>139</v>
      </c>
      <c r="AH6">
        <v>3</v>
      </c>
    </row>
    <row r="7" spans="1:34" x14ac:dyDescent="0.35">
      <c r="A7" s="51" t="s">
        <v>53</v>
      </c>
      <c r="B7" s="50">
        <v>4.9504061134201882E-6</v>
      </c>
      <c r="C7" s="52">
        <v>0.82695748928708979</v>
      </c>
      <c r="D7" s="52">
        <v>0.99999983301767192</v>
      </c>
      <c r="E7" s="52">
        <v>3.8211572417738697E-2</v>
      </c>
      <c r="F7" s="50">
        <v>2.2443084356065412E-9</v>
      </c>
      <c r="G7" s="52">
        <v>1.07186411397128E-2</v>
      </c>
      <c r="H7" s="52">
        <v>0.1067839002741523</v>
      </c>
      <c r="I7" s="50">
        <v>2.4812202302998911E-6</v>
      </c>
      <c r="J7" s="52">
        <v>1</v>
      </c>
      <c r="K7" s="50">
        <v>3.5800149477577373E-15</v>
      </c>
      <c r="L7" s="52">
        <v>3.361399988478439E-6</v>
      </c>
      <c r="M7" s="52">
        <v>1</v>
      </c>
      <c r="N7" s="75" t="s">
        <v>138</v>
      </c>
      <c r="P7" s="1" t="str">
        <v>Inverted Residue5</v>
      </c>
      <c r="Q7" s="1"/>
      <c r="R7" s="125">
        <f t="shared" ref="R7:AC7" si="4">IF(MIN(B16:B20)&lt;0.05,MIN(B16:B20))</f>
        <v>1.2482748311847501E-35</v>
      </c>
      <c r="S7" s="125">
        <f t="shared" si="4"/>
        <v>2.2443084356065412E-9</v>
      </c>
      <c r="T7" s="125">
        <f t="shared" si="4"/>
        <v>3.4746484737434672E-6</v>
      </c>
      <c r="U7" s="125">
        <f t="shared" si="4"/>
        <v>1.9053548193704001E-2</v>
      </c>
      <c r="V7" s="125">
        <f t="shared" si="4"/>
        <v>4.8695444035950358E-8</v>
      </c>
      <c r="W7" s="125">
        <f t="shared" si="4"/>
        <v>4.8695444035950358E-8</v>
      </c>
      <c r="X7" s="125" t="b">
        <f t="shared" si="4"/>
        <v>0</v>
      </c>
      <c r="Y7" s="125">
        <f t="shared" si="4"/>
        <v>1.8836006924052991E-12</v>
      </c>
      <c r="Z7" s="125">
        <f t="shared" si="4"/>
        <v>7.7139783622012847E-24</v>
      </c>
      <c r="AA7" s="125" t="b">
        <f t="shared" si="4"/>
        <v>0</v>
      </c>
      <c r="AB7" s="125">
        <f t="shared" si="4"/>
        <v>1.123331919491978E-13</v>
      </c>
      <c r="AC7" s="125">
        <f t="shared" si="4"/>
        <v>9.908638426627136E-10</v>
      </c>
      <c r="AG7" s="1" t="s">
        <v>140</v>
      </c>
      <c r="AH7">
        <v>4</v>
      </c>
    </row>
    <row r="8" spans="1:34" x14ac:dyDescent="0.35">
      <c r="A8" s="53" t="s">
        <v>54</v>
      </c>
      <c r="B8" s="54">
        <v>0.45499406440791129</v>
      </c>
      <c r="C8" s="54">
        <v>0.92922855552128913</v>
      </c>
      <c r="D8" s="50">
        <v>7.7224614927399764E-19</v>
      </c>
      <c r="E8" s="54">
        <v>0.17304251071291021</v>
      </c>
      <c r="F8" s="50">
        <v>4.9504061134201882E-6</v>
      </c>
      <c r="G8" s="54">
        <v>1.6840591736383231E-11</v>
      </c>
      <c r="H8" s="54">
        <v>0.99537016444620019</v>
      </c>
      <c r="I8" s="54">
        <v>0.51271458465071473</v>
      </c>
      <c r="J8" s="50">
        <v>9.7848639363589E-16</v>
      </c>
      <c r="K8" s="54">
        <v>0.8932160997258477</v>
      </c>
      <c r="L8" s="54">
        <v>0.46190782651296952</v>
      </c>
      <c r="M8" s="50">
        <v>1.9122089432156339E-16</v>
      </c>
      <c r="N8" s="15" t="s">
        <v>139</v>
      </c>
      <c r="P8" s="1" t="str">
        <v>Inverted Residue6</v>
      </c>
      <c r="Q8" s="1"/>
      <c r="R8" s="125" t="b">
        <f>IF(MIN(B21:B25)&lt;0.05,MIN(B21:B25))</f>
        <v>0</v>
      </c>
      <c r="S8" s="125">
        <f t="shared" ref="S8:AC8" si="5">IF(MIN(C21:C25)&lt;0.05,MIN(C21:C25))</f>
        <v>1.1598697554267099E-17</v>
      </c>
      <c r="T8" s="125">
        <f t="shared" si="5"/>
        <v>2.4113559914503591E-34</v>
      </c>
      <c r="U8" s="125" t="b">
        <f t="shared" si="5"/>
        <v>0</v>
      </c>
      <c r="V8" s="125">
        <f t="shared" si="5"/>
        <v>3.458226107812958E-12</v>
      </c>
      <c r="W8" s="125">
        <f t="shared" si="5"/>
        <v>4.9411160066861492E-25</v>
      </c>
      <c r="X8" s="125" t="b">
        <f t="shared" si="5"/>
        <v>0</v>
      </c>
      <c r="Y8" s="125" t="b">
        <f t="shared" si="5"/>
        <v>0</v>
      </c>
      <c r="Z8" s="125">
        <f t="shared" si="5"/>
        <v>2.6140504054922549E-67</v>
      </c>
      <c r="AA8" s="125" t="b">
        <f t="shared" si="5"/>
        <v>0</v>
      </c>
      <c r="AB8" s="125">
        <f t="shared" si="5"/>
        <v>8.1600475553627389E-6</v>
      </c>
      <c r="AC8" s="125">
        <f t="shared" si="5"/>
        <v>1.0636167672362871E-8</v>
      </c>
      <c r="AG8" s="1" t="s">
        <v>141</v>
      </c>
      <c r="AH8">
        <v>5</v>
      </c>
    </row>
    <row r="9" spans="1:34" x14ac:dyDescent="0.35">
      <c r="A9" s="53" t="s">
        <v>55</v>
      </c>
      <c r="B9" s="50">
        <v>3.5444863431141359E-9</v>
      </c>
      <c r="C9" s="54">
        <v>3.8211572417738697E-2</v>
      </c>
      <c r="D9" s="54">
        <v>5.8967090318025666E-12</v>
      </c>
      <c r="E9" s="54">
        <v>0.17304251071291021</v>
      </c>
      <c r="F9" s="54">
        <v>0.82695748928708979</v>
      </c>
      <c r="G9" s="50">
        <v>1.1959484177270701E-14</v>
      </c>
      <c r="H9" s="54">
        <v>0.21434594520575251</v>
      </c>
      <c r="I9" s="54">
        <v>0.91479567364157521</v>
      </c>
      <c r="J9" s="54">
        <v>0.99984991919105171</v>
      </c>
      <c r="K9" s="50">
        <v>5.5012734621003682E-10</v>
      </c>
      <c r="L9" s="54">
        <v>0.6837287171426143</v>
      </c>
      <c r="M9" s="54">
        <v>0.55901376723676344</v>
      </c>
      <c r="N9" s="15" t="s">
        <v>139</v>
      </c>
      <c r="P9" s="1" t="str">
        <v>Inverted Residue7</v>
      </c>
      <c r="Q9" s="1"/>
      <c r="R9" s="125">
        <f>IF(MIN(B26:B28)&lt;0.05, MIN(B26:B28))</f>
        <v>5.285215232807774E-21</v>
      </c>
      <c r="S9" s="125" t="b">
        <f t="shared" ref="S9:AC9" si="6">IF(MIN(C26:C28)&lt;0.05, MIN(C26:C28))</f>
        <v>0</v>
      </c>
      <c r="T9" s="125" t="b">
        <f t="shared" si="6"/>
        <v>0</v>
      </c>
      <c r="U9" s="125">
        <f t="shared" si="6"/>
        <v>2.527851327681256E-21</v>
      </c>
      <c r="V9" s="125" t="b">
        <f t="shared" si="6"/>
        <v>0</v>
      </c>
      <c r="W9" s="125">
        <f t="shared" si="6"/>
        <v>3.1923094571434119E-8</v>
      </c>
      <c r="X9" s="125">
        <f t="shared" si="6"/>
        <v>1.6755297730258412E-33</v>
      </c>
      <c r="Y9" s="125" t="b">
        <f t="shared" si="6"/>
        <v>0</v>
      </c>
      <c r="Z9" s="125" t="b">
        <f t="shared" si="6"/>
        <v>0</v>
      </c>
      <c r="AA9" s="125">
        <f t="shared" si="6"/>
        <v>6.3788292383545346E-34</v>
      </c>
      <c r="AB9" s="125" t="b">
        <f t="shared" si="6"/>
        <v>0</v>
      </c>
      <c r="AC9" s="125" t="b">
        <f t="shared" si="6"/>
        <v>0</v>
      </c>
      <c r="AG9" s="1" t="s">
        <v>142</v>
      </c>
      <c r="AH9">
        <v>6</v>
      </c>
    </row>
    <row r="10" spans="1:34" x14ac:dyDescent="0.35">
      <c r="A10" s="53" t="s">
        <v>56</v>
      </c>
      <c r="B10" s="54">
        <v>4.4907133435382003E-2</v>
      </c>
      <c r="C10" s="54">
        <v>0.99999999999999811</v>
      </c>
      <c r="D10" s="54">
        <v>1.240624711943028E-13</v>
      </c>
      <c r="E10" s="54">
        <v>0.955092866564618</v>
      </c>
      <c r="F10" s="54">
        <v>0.99999999999932698</v>
      </c>
      <c r="G10" s="54">
        <v>4.8695444035950358E-8</v>
      </c>
      <c r="H10" s="54">
        <v>0.4849696355118181</v>
      </c>
      <c r="I10" s="54">
        <v>0.99992703833378871</v>
      </c>
      <c r="J10" s="54">
        <v>1</v>
      </c>
      <c r="K10" s="54">
        <v>8.7576396766929094E-3</v>
      </c>
      <c r="L10" s="54">
        <v>0.99997481691893608</v>
      </c>
      <c r="M10" s="54">
        <v>0.12748966132940071</v>
      </c>
      <c r="N10" s="15" t="s">
        <v>139</v>
      </c>
      <c r="P10" s="1" t="str">
        <v>Inverted Residue8</v>
      </c>
      <c r="Q10" s="1"/>
      <c r="R10" s="125" t="b">
        <f>IF(MIN(B29:B31)&lt;0.05, MIN(B29:B31))</f>
        <v>0</v>
      </c>
      <c r="S10" s="125" t="b">
        <f t="shared" ref="S10:AC10" si="7">IF(MIN(C29:C31)&lt;0.05, MIN(C29:C31))</f>
        <v>0</v>
      </c>
      <c r="T10" s="125">
        <f t="shared" si="7"/>
        <v>2.527851327681256E-21</v>
      </c>
      <c r="U10" s="125">
        <f t="shared" si="7"/>
        <v>3.8211572417738697E-2</v>
      </c>
      <c r="V10" s="125" t="b">
        <f t="shared" si="7"/>
        <v>0</v>
      </c>
      <c r="W10" s="125">
        <f t="shared" si="7"/>
        <v>3.402815753304427E-10</v>
      </c>
      <c r="X10" s="125">
        <f t="shared" si="7"/>
        <v>4.6966155646112112E-11</v>
      </c>
      <c r="Y10" s="125" t="b">
        <f t="shared" si="7"/>
        <v>0</v>
      </c>
      <c r="Z10" s="125">
        <f t="shared" si="7"/>
        <v>1.815311837402471E-4</v>
      </c>
      <c r="AA10" s="125">
        <f t="shared" si="7"/>
        <v>1.3842638494642849E-5</v>
      </c>
      <c r="AB10" s="125" t="b">
        <f t="shared" si="7"/>
        <v>0</v>
      </c>
      <c r="AC10" s="125">
        <f t="shared" si="7"/>
        <v>2.5281739544321941E-22</v>
      </c>
      <c r="AG10" s="1" t="s">
        <v>143</v>
      </c>
      <c r="AH10">
        <v>7</v>
      </c>
    </row>
    <row r="11" spans="1:34" x14ac:dyDescent="0.35">
      <c r="A11" s="55" t="s">
        <v>57</v>
      </c>
      <c r="B11" s="56">
        <v>2.284636495568472E-2</v>
      </c>
      <c r="C11" s="56">
        <v>0.99999883845122339</v>
      </c>
      <c r="D11" s="56">
        <v>0.99999011925657677</v>
      </c>
      <c r="E11" s="56">
        <v>0.45499406440791129</v>
      </c>
      <c r="F11" s="56">
        <v>0.97715363504431529</v>
      </c>
      <c r="G11" s="56">
        <v>8.7576396766929094E-3</v>
      </c>
      <c r="H11" s="56">
        <v>9.3132563399741616E-5</v>
      </c>
      <c r="I11" s="56">
        <v>0.96025424856792696</v>
      </c>
      <c r="J11" s="56">
        <v>1</v>
      </c>
      <c r="K11" s="56">
        <v>1.9053548193704001E-2</v>
      </c>
      <c r="L11" s="56">
        <v>0.99984451123023477</v>
      </c>
      <c r="M11" s="56">
        <v>0.79992548450673084</v>
      </c>
      <c r="N11" s="76" t="s">
        <v>140</v>
      </c>
      <c r="P11" s="1" t="str">
        <v>Inverted Residue9</v>
      </c>
      <c r="Q11" s="1"/>
      <c r="R11" s="125">
        <f>IF(MIN(B32:B34)&lt;0.05, MIN(B32:B34))</f>
        <v>3.8989699383371863E-14</v>
      </c>
      <c r="S11" s="125" t="b">
        <f t="shared" ref="S11:AC11" si="8">IF(MIN(C32:C34)&lt;0.05, MIN(C32:C34))</f>
        <v>0</v>
      </c>
      <c r="T11" s="125" t="b">
        <f t="shared" si="8"/>
        <v>0</v>
      </c>
      <c r="U11" s="125" t="b">
        <f t="shared" si="8"/>
        <v>0</v>
      </c>
      <c r="V11" s="125" t="b">
        <f t="shared" si="8"/>
        <v>0</v>
      </c>
      <c r="W11" s="125" t="b">
        <f t="shared" si="8"/>
        <v>0</v>
      </c>
      <c r="X11" s="125">
        <f t="shared" si="8"/>
        <v>1.3842638494642849E-5</v>
      </c>
      <c r="Y11" s="125" t="b">
        <f t="shared" si="8"/>
        <v>0</v>
      </c>
      <c r="Z11" s="125" t="b">
        <f t="shared" si="8"/>
        <v>0</v>
      </c>
      <c r="AA11" s="125">
        <f t="shared" si="8"/>
        <v>1.305113666870847E-2</v>
      </c>
      <c r="AB11" s="125" t="b">
        <f t="shared" si="8"/>
        <v>0</v>
      </c>
      <c r="AC11" s="125">
        <f t="shared" si="8"/>
        <v>3.5893598147530843E-17</v>
      </c>
      <c r="AG11" s="1" t="s">
        <v>144</v>
      </c>
      <c r="AH11">
        <v>8</v>
      </c>
    </row>
    <row r="12" spans="1:34" x14ac:dyDescent="0.35">
      <c r="A12" s="55" t="s">
        <v>58</v>
      </c>
      <c r="B12" s="56">
        <v>2.0924884743097259E-10</v>
      </c>
      <c r="C12" s="56">
        <v>2.9727623726529142E-4</v>
      </c>
      <c r="D12" s="56">
        <v>1</v>
      </c>
      <c r="E12" s="56">
        <v>0.1371961135641718</v>
      </c>
      <c r="F12" s="56">
        <v>0.99999975106193439</v>
      </c>
      <c r="G12" s="56">
        <v>4.8695444035950358E-8</v>
      </c>
      <c r="H12" s="56">
        <v>2.0924884743097259E-10</v>
      </c>
      <c r="I12" s="56">
        <v>0.51271458465071473</v>
      </c>
      <c r="J12" s="56">
        <v>0.99999987245591715</v>
      </c>
      <c r="K12" s="56">
        <v>2.2479212144743419E-17</v>
      </c>
      <c r="L12" s="50">
        <v>5.6254790749006029E-5</v>
      </c>
      <c r="M12" s="56">
        <v>0.99236104546294235</v>
      </c>
      <c r="N12" s="76" t="s">
        <v>140</v>
      </c>
      <c r="P12" s="1" t="str">
        <v>Inverted Residue10</v>
      </c>
      <c r="Q12" s="1"/>
      <c r="R12" s="125">
        <f>IF(MIN(B35:B37)&lt;0.05, MIN(B35:B37))</f>
        <v>2.425141220284132E-6</v>
      </c>
      <c r="S12" s="125">
        <f t="shared" ref="S12:AC12" si="9">IF(MIN(C35:C37)&lt;0.05, MIN(C35:C37))</f>
        <v>5.0438205584933382E-5</v>
      </c>
      <c r="T12" s="125" t="b">
        <f t="shared" si="9"/>
        <v>0</v>
      </c>
      <c r="U12" s="125" t="b">
        <f t="shared" si="9"/>
        <v>0</v>
      </c>
      <c r="V12" s="125">
        <f t="shared" si="9"/>
        <v>1.045738419167208E-15</v>
      </c>
      <c r="W12" s="125" t="b">
        <f t="shared" si="9"/>
        <v>0</v>
      </c>
      <c r="X12" s="125">
        <f t="shared" si="9"/>
        <v>5.7558510126729696E-3</v>
      </c>
      <c r="Y12" s="125">
        <f t="shared" si="9"/>
        <v>5.4717536245839704E-23</v>
      </c>
      <c r="Z12" s="125">
        <f t="shared" si="9"/>
        <v>1.9122089432156339E-16</v>
      </c>
      <c r="AA12" s="125" t="b">
        <f t="shared" si="9"/>
        <v>0</v>
      </c>
      <c r="AB12" s="125">
        <f t="shared" si="9"/>
        <v>7.1662152374805404E-53</v>
      </c>
      <c r="AC12" s="125">
        <f t="shared" si="9"/>
        <v>1.22431171462495E-25</v>
      </c>
      <c r="AG12" s="1" t="s">
        <v>145</v>
      </c>
      <c r="AH12">
        <v>9</v>
      </c>
    </row>
    <row r="13" spans="1:34" x14ac:dyDescent="0.35">
      <c r="A13" s="55" t="s">
        <v>59</v>
      </c>
      <c r="B13" s="56">
        <v>0.99999831688327856</v>
      </c>
      <c r="C13" s="56">
        <v>0.21434594520575251</v>
      </c>
      <c r="D13" s="56">
        <v>1</v>
      </c>
      <c r="E13" s="56">
        <v>0.99999992614603173</v>
      </c>
      <c r="F13" s="56">
        <v>0.33924030681285811</v>
      </c>
      <c r="G13" s="56">
        <v>0.99999999999999811</v>
      </c>
      <c r="H13" s="56">
        <v>1.07186411397128E-2</v>
      </c>
      <c r="I13" s="56">
        <v>0.53809217348703053</v>
      </c>
      <c r="J13" s="56">
        <v>7.6752412623391479E-91</v>
      </c>
      <c r="K13" s="56">
        <v>8.6972830393244492E-4</v>
      </c>
      <c r="L13" s="56">
        <v>0.29394103861535209</v>
      </c>
      <c r="M13" s="56">
        <v>1</v>
      </c>
      <c r="N13" s="76" t="s">
        <v>140</v>
      </c>
      <c r="P13" s="1" t="str">
        <v>Inverted Residue11</v>
      </c>
      <c r="Q13" s="1"/>
      <c r="R13" s="125">
        <f t="shared" ref="R13:AC13" si="10">IF(MIN(B38:B42)&lt;0.05,MIN(B38:B42))</f>
        <v>5.9628957811031605E-47</v>
      </c>
      <c r="S13" s="125">
        <f t="shared" si="10"/>
        <v>9.3132563399741616E-5</v>
      </c>
      <c r="T13" s="125" t="b">
        <f t="shared" si="10"/>
        <v>0</v>
      </c>
      <c r="U13" s="125">
        <f t="shared" si="10"/>
        <v>1.500360979571102E-49</v>
      </c>
      <c r="V13" s="125">
        <f t="shared" si="10"/>
        <v>4.6966155646112112E-11</v>
      </c>
      <c r="W13" s="125">
        <f t="shared" si="10"/>
        <v>3.2352956527301337E-2</v>
      </c>
      <c r="X13" s="125">
        <f t="shared" si="10"/>
        <v>4.6740756862825874E-41</v>
      </c>
      <c r="Y13" s="125">
        <f t="shared" si="10"/>
        <v>3.361399988478439E-6</v>
      </c>
      <c r="Z13" s="125">
        <f t="shared" si="10"/>
        <v>1.0636167672362871E-8</v>
      </c>
      <c r="AA13" s="125">
        <f t="shared" si="10"/>
        <v>2.66113438101818E-22</v>
      </c>
      <c r="AB13" s="125" t="b">
        <f t="shared" si="10"/>
        <v>0</v>
      </c>
      <c r="AC13" s="125" t="b">
        <f t="shared" si="10"/>
        <v>0</v>
      </c>
      <c r="AG13" s="1" t="s">
        <v>146</v>
      </c>
      <c r="AH13">
        <v>10</v>
      </c>
    </row>
    <row r="14" spans="1:34" x14ac:dyDescent="0.35">
      <c r="A14" s="55" t="s">
        <v>60</v>
      </c>
      <c r="B14" s="56">
        <v>0.99999999979075116</v>
      </c>
      <c r="C14" s="56">
        <v>0.17304251071291021</v>
      </c>
      <c r="D14" s="56">
        <v>1</v>
      </c>
      <c r="E14" s="56">
        <v>0.99999999965971842</v>
      </c>
      <c r="F14" s="56">
        <v>0.33924030681285811</v>
      </c>
      <c r="G14" s="50">
        <v>4.0368089073880516E-40</v>
      </c>
      <c r="H14" s="56">
        <v>0.99999998651578603</v>
      </c>
      <c r="I14" s="56">
        <v>0.63707119183948069</v>
      </c>
      <c r="J14" s="50">
        <v>1.5916232962623739E-96</v>
      </c>
      <c r="K14" s="56">
        <v>0.99999999987208177</v>
      </c>
      <c r="L14" s="56">
        <v>0.46190782651296952</v>
      </c>
      <c r="M14" s="50">
        <v>6.1984441124480788E-100</v>
      </c>
      <c r="N14" s="76" t="s">
        <v>140</v>
      </c>
      <c r="P14" s="1" t="str">
        <v>Inverted Residue12</v>
      </c>
      <c r="Q14" s="1"/>
      <c r="R14" s="125">
        <f>IF(MIN(B43:B47)&lt;0.05, MIN(B43:B47))</f>
        <v>3.837347498761025E-65</v>
      </c>
      <c r="S14" s="125">
        <f t="shared" ref="S14:AC14" si="11">IF(MIN(C43:C47)&lt;0.05, MIN(C43:C47))</f>
        <v>5.7558510126729696E-3</v>
      </c>
      <c r="T14" s="125">
        <f t="shared" si="11"/>
        <v>4.4907133435382003E-2</v>
      </c>
      <c r="U14" s="125">
        <f t="shared" si="11"/>
        <v>1.1679391231761289E-62</v>
      </c>
      <c r="V14" s="125">
        <f t="shared" si="11"/>
        <v>8.6880052469512098E-9</v>
      </c>
      <c r="W14" s="125">
        <f t="shared" si="11"/>
        <v>7.7224614927399764E-19</v>
      </c>
      <c r="X14" s="125">
        <f t="shared" si="11"/>
        <v>2.9112115071309389E-32</v>
      </c>
      <c r="Y14" s="125">
        <f t="shared" si="11"/>
        <v>5.2904122347699522E-29</v>
      </c>
      <c r="Z14" s="125" t="b">
        <f t="shared" si="11"/>
        <v>0</v>
      </c>
      <c r="AA14" s="125">
        <f t="shared" si="11"/>
        <v>7.7754249024820046E-38</v>
      </c>
      <c r="AB14" s="125">
        <f t="shared" si="11"/>
        <v>6.4465813507665597E-40</v>
      </c>
      <c r="AC14" s="125" t="b">
        <f t="shared" si="11"/>
        <v>0</v>
      </c>
      <c r="AG14" s="1" t="s">
        <v>147</v>
      </c>
      <c r="AH14">
        <v>11</v>
      </c>
    </row>
    <row r="15" spans="1:34" x14ac:dyDescent="0.35">
      <c r="A15" s="55" t="s">
        <v>61</v>
      </c>
      <c r="B15" s="50">
        <v>7.773941077768152E-11</v>
      </c>
      <c r="C15" s="56">
        <v>0.99999999443458498</v>
      </c>
      <c r="D15" s="56">
        <v>1</v>
      </c>
      <c r="E15" s="50">
        <v>3.1923094571434119E-8</v>
      </c>
      <c r="F15" s="56">
        <v>0.99999999999999944</v>
      </c>
      <c r="G15" s="56">
        <v>5.5654150471749074E-9</v>
      </c>
      <c r="H15" s="50">
        <v>1.4242880456734839E-27</v>
      </c>
      <c r="I15" s="56">
        <v>0.99999183995244467</v>
      </c>
      <c r="J15" s="56">
        <v>1</v>
      </c>
      <c r="K15" s="50">
        <v>2.66113438101818E-22</v>
      </c>
      <c r="L15" s="56">
        <v>0.99949234714653856</v>
      </c>
      <c r="M15" s="56">
        <v>1</v>
      </c>
      <c r="N15" s="76" t="s">
        <v>140</v>
      </c>
      <c r="P15" s="1" t="str">
        <v>Inverted Residue13</v>
      </c>
      <c r="Q15" s="1"/>
      <c r="R15" s="125">
        <f>IF(MIN(B48:B52)&lt;0.05, MIN(B48:B52))</f>
        <v>1.173198000799468E-39</v>
      </c>
      <c r="S15" s="125">
        <f t="shared" ref="S15:AC15" si="12">IF(MIN(C48:C52)&lt;0.05, MIN(C48:C52))</f>
        <v>1.838572134761929E-3</v>
      </c>
      <c r="T15" s="125">
        <f t="shared" si="12"/>
        <v>1.2013044069375279E-21</v>
      </c>
      <c r="U15" s="125">
        <f t="shared" si="12"/>
        <v>2.1086597790866719E-84</v>
      </c>
      <c r="V15" s="125">
        <f t="shared" si="12"/>
        <v>1.173198000799468E-39</v>
      </c>
      <c r="W15" s="125">
        <f t="shared" si="12"/>
        <v>1.240624711943028E-13</v>
      </c>
      <c r="X15" s="125">
        <f t="shared" si="12"/>
        <v>9.8573896760042079E-99</v>
      </c>
      <c r="Y15" s="125">
        <f t="shared" si="12"/>
        <v>4.9172353737614231E-57</v>
      </c>
      <c r="Z15" s="125">
        <f t="shared" si="12"/>
        <v>4.6653417237740486E-118</v>
      </c>
      <c r="AA15" s="125">
        <f t="shared" si="12"/>
        <v>1.945343773751816E-81</v>
      </c>
      <c r="AB15" s="125">
        <f t="shared" si="12"/>
        <v>1.8390390166130869E-43</v>
      </c>
      <c r="AC15" s="125">
        <f t="shared" si="12"/>
        <v>6.3856831919058721E-101</v>
      </c>
      <c r="AG15" s="1" t="s">
        <v>148</v>
      </c>
      <c r="AH15">
        <v>12</v>
      </c>
    </row>
    <row r="16" spans="1:34" x14ac:dyDescent="0.35">
      <c r="A16" s="57" t="s">
        <v>62</v>
      </c>
      <c r="B16" s="58">
        <v>0.8932160997258477</v>
      </c>
      <c r="C16" s="58">
        <v>2.4893806564397472E-7</v>
      </c>
      <c r="D16" s="58">
        <v>2.334560481166707E-3</v>
      </c>
      <c r="E16" s="58">
        <v>0.90645347017408007</v>
      </c>
      <c r="F16" s="58">
        <v>6.1112744934414411E-2</v>
      </c>
      <c r="G16" s="58">
        <v>0.39596959597855169</v>
      </c>
      <c r="H16" s="58">
        <v>0.94748427449911499</v>
      </c>
      <c r="I16" s="50">
        <v>1.8836006924052991E-12</v>
      </c>
      <c r="J16" s="58">
        <v>0.6539182261478429</v>
      </c>
      <c r="K16" s="58">
        <v>0.99960803532611964</v>
      </c>
      <c r="L16" s="50">
        <v>1.123331919491978E-13</v>
      </c>
      <c r="M16" s="58">
        <v>0.90928146986663116</v>
      </c>
      <c r="N16" s="14" t="s">
        <v>141</v>
      </c>
      <c r="P16" s="1" t="str">
        <v>Inverted Residue14</v>
      </c>
      <c r="Q16" s="1"/>
      <c r="R16" s="125">
        <f>IF(MIN(B53:B57)&lt;0.05, MIN(B53:B57))</f>
        <v>2.6395519188984468E-72</v>
      </c>
      <c r="S16" s="125" t="b">
        <f t="shared" ref="S16:AC16" si="13">IF(MIN(C53:C57)&lt;0.05, MIN(C53:C57))</f>
        <v>0</v>
      </c>
      <c r="T16" s="125">
        <f t="shared" si="13"/>
        <v>5.5638477973692838E-73</v>
      </c>
      <c r="U16" s="125">
        <f t="shared" si="13"/>
        <v>2.3998560594315532E-74</v>
      </c>
      <c r="V16" s="125" t="b">
        <f t="shared" si="13"/>
        <v>0</v>
      </c>
      <c r="W16" s="125">
        <f t="shared" si="13"/>
        <v>4.3702351109743023E-33</v>
      </c>
      <c r="X16" s="125">
        <f t="shared" si="13"/>
        <v>7.7444877599609219E-61</v>
      </c>
      <c r="Y16" s="125" t="b">
        <f t="shared" si="13"/>
        <v>0</v>
      </c>
      <c r="Z16" s="125">
        <f t="shared" si="13"/>
        <v>7.90464948905811E-45</v>
      </c>
      <c r="AA16" s="125">
        <f t="shared" si="13"/>
        <v>2.7496109338662921E-133</v>
      </c>
      <c r="AB16" s="125" t="b">
        <f t="shared" si="13"/>
        <v>0</v>
      </c>
      <c r="AC16" s="125">
        <f t="shared" si="13"/>
        <v>1.1281427841989241E-42</v>
      </c>
      <c r="AG16" s="1" t="s">
        <v>149</v>
      </c>
      <c r="AH16">
        <v>13</v>
      </c>
    </row>
    <row r="17" spans="1:34" x14ac:dyDescent="0.35">
      <c r="A17" s="57" t="s">
        <v>63</v>
      </c>
      <c r="B17" s="58">
        <v>2.2423766932352069E-4</v>
      </c>
      <c r="C17" s="50">
        <v>2.2443084356065412E-9</v>
      </c>
      <c r="D17" s="58">
        <v>3.2352956527301337E-2</v>
      </c>
      <c r="E17" s="58">
        <v>0.90645347017408007</v>
      </c>
      <c r="F17" s="50">
        <v>4.8695444035950358E-8</v>
      </c>
      <c r="G17" s="50">
        <v>4.8695444035950358E-8</v>
      </c>
      <c r="H17" s="58">
        <v>0.36724284954996672</v>
      </c>
      <c r="I17" s="58">
        <v>1.335807115945141E-6</v>
      </c>
      <c r="J17" s="58">
        <v>4.8097469097399136E-15</v>
      </c>
      <c r="K17" s="58">
        <v>0.98419030824746367</v>
      </c>
      <c r="L17" s="58">
        <v>2.9968560448432519E-2</v>
      </c>
      <c r="M17" s="58">
        <v>3.7107342338206288E-5</v>
      </c>
      <c r="N17" s="14" t="s">
        <v>141</v>
      </c>
      <c r="P17" s="1" t="str">
        <v>Inverted Residue15</v>
      </c>
      <c r="Q17" s="1"/>
      <c r="R17" s="125">
        <f>IF(MIN(B58:B62)&lt;0.05,MIN(B58:B62))</f>
        <v>9.6049905137288658E-26</v>
      </c>
      <c r="S17" s="125">
        <f t="shared" ref="S17:AC17" si="14">IF(MIN(C58:C62)&lt;0.05,MIN(C58:C62))</f>
        <v>6.7296703835153783E-13</v>
      </c>
      <c r="T17" s="125">
        <f t="shared" si="14"/>
        <v>2.66113438101818E-22</v>
      </c>
      <c r="U17" s="125">
        <f t="shared" si="14"/>
        <v>1.045738419167208E-15</v>
      </c>
      <c r="V17" s="125">
        <f t="shared" si="14"/>
        <v>3.3845026632262342E-39</v>
      </c>
      <c r="W17" s="125">
        <f t="shared" si="14"/>
        <v>4.1331458457931039E-182</v>
      </c>
      <c r="X17" s="125">
        <f t="shared" si="14"/>
        <v>1.405935159882604E-149</v>
      </c>
      <c r="Y17" s="125">
        <f t="shared" si="14"/>
        <v>3.8512221625519637E-70</v>
      </c>
      <c r="Z17" s="125">
        <f t="shared" si="14"/>
        <v>0</v>
      </c>
      <c r="AA17" s="125">
        <f t="shared" si="14"/>
        <v>1.98356930329381E-198</v>
      </c>
      <c r="AB17" s="125">
        <f t="shared" si="14"/>
        <v>1.8286385994450381E-58</v>
      </c>
      <c r="AC17" s="125">
        <f t="shared" si="14"/>
        <v>1.670416643036798E-233</v>
      </c>
      <c r="AG17" s="1" t="s">
        <v>150</v>
      </c>
      <c r="AH17">
        <v>14</v>
      </c>
    </row>
    <row r="18" spans="1:34" x14ac:dyDescent="0.35">
      <c r="A18" s="57" t="s">
        <v>64</v>
      </c>
      <c r="B18" s="58">
        <v>1.122218591755879E-3</v>
      </c>
      <c r="C18" s="58">
        <v>0.99913027169606761</v>
      </c>
      <c r="D18" s="58">
        <v>1</v>
      </c>
      <c r="E18" s="58">
        <v>1.9053548193704001E-2</v>
      </c>
      <c r="F18" s="58">
        <v>0.51503036448818196</v>
      </c>
      <c r="G18" s="58">
        <v>8.1561343068735734E-2</v>
      </c>
      <c r="H18" s="58">
        <v>0.99977576233067644</v>
      </c>
      <c r="I18" s="58">
        <v>0.9999954643317559</v>
      </c>
      <c r="J18" s="58">
        <v>5.5969236796788963E-5</v>
      </c>
      <c r="K18" s="58">
        <v>0.91843865693126425</v>
      </c>
      <c r="L18" s="58">
        <v>0.96542573740292892</v>
      </c>
      <c r="M18" s="58">
        <v>0.99999999997064792</v>
      </c>
      <c r="N18" s="14" t="s">
        <v>141</v>
      </c>
      <c r="P18" s="1" t="str">
        <v>Inverted Residue16</v>
      </c>
      <c r="Q18" s="1"/>
      <c r="R18" s="125">
        <f>IF(MIN(B63)&lt;0.05,MIN(B63))</f>
        <v>2.404943654208772E-148</v>
      </c>
      <c r="S18" s="125" t="b">
        <f t="shared" ref="S18:AC18" si="15">IF(MIN(C63)&lt;0.05,MIN(C63))</f>
        <v>0</v>
      </c>
      <c r="T18" s="125" t="b">
        <f t="shared" si="15"/>
        <v>0</v>
      </c>
      <c r="U18" s="125">
        <f t="shared" si="15"/>
        <v>3.7045825410822238E-3</v>
      </c>
      <c r="V18" s="125" t="b">
        <f t="shared" si="15"/>
        <v>0</v>
      </c>
      <c r="W18" s="125">
        <f t="shared" si="15"/>
        <v>5.0271216826926082E-140</v>
      </c>
      <c r="X18" s="125">
        <f t="shared" si="15"/>
        <v>1.1881822289344749E-212</v>
      </c>
      <c r="Y18" s="125">
        <f t="shared" si="15"/>
        <v>1.226504790306943E-203</v>
      </c>
      <c r="Z18" s="125">
        <f t="shared" si="15"/>
        <v>0</v>
      </c>
      <c r="AA18" s="125">
        <f t="shared" si="15"/>
        <v>5.8864815922639292E-189</v>
      </c>
      <c r="AB18" s="125" t="b">
        <f t="shared" si="15"/>
        <v>0</v>
      </c>
      <c r="AC18" s="125">
        <f t="shared" si="15"/>
        <v>0</v>
      </c>
      <c r="AG18" s="1" t="s">
        <v>151</v>
      </c>
      <c r="AH18">
        <v>15</v>
      </c>
    </row>
    <row r="19" spans="1:34" x14ac:dyDescent="0.35">
      <c r="A19" s="57" t="s">
        <v>65</v>
      </c>
      <c r="B19" s="50">
        <v>1.2482748311847501E-35</v>
      </c>
      <c r="C19" s="58">
        <v>2.7255805301668649E-2</v>
      </c>
      <c r="D19" s="58">
        <v>0.99999999992226063</v>
      </c>
      <c r="E19" s="58">
        <v>0.99999998651578603</v>
      </c>
      <c r="F19" s="58">
        <v>0.15443289176760841</v>
      </c>
      <c r="G19" s="58">
        <v>0.45499406440791129</v>
      </c>
      <c r="H19" s="58">
        <v>0.9999999913119948</v>
      </c>
      <c r="I19" s="58">
        <v>0.99999999985201682</v>
      </c>
      <c r="J19" s="50">
        <v>7.7139783622012847E-24</v>
      </c>
      <c r="K19" s="58">
        <v>0.99887778140824413</v>
      </c>
      <c r="L19" s="58">
        <v>0.97003143955156745</v>
      </c>
      <c r="M19" s="50">
        <v>9.908638426627136E-10</v>
      </c>
      <c r="N19" s="14" t="s">
        <v>141</v>
      </c>
      <c r="AG19" s="1" t="s">
        <v>152</v>
      </c>
      <c r="AH19">
        <v>16</v>
      </c>
    </row>
    <row r="20" spans="1:34" x14ac:dyDescent="0.35">
      <c r="A20" s="57" t="s">
        <v>66</v>
      </c>
      <c r="B20" s="58">
        <v>0.99999999999999645</v>
      </c>
      <c r="C20" s="58">
        <v>1.113695060809213E-7</v>
      </c>
      <c r="D20" s="50">
        <v>3.4746484737434672E-6</v>
      </c>
      <c r="E20" s="58">
        <v>1</v>
      </c>
      <c r="F20" s="58">
        <v>2.425141220284132E-6</v>
      </c>
      <c r="G20" s="58">
        <v>0.63275715045003333</v>
      </c>
      <c r="H20" s="58">
        <v>0.80697951600757256</v>
      </c>
      <c r="I20" s="58">
        <v>9.8573453230169756E-4</v>
      </c>
      <c r="J20" s="58">
        <v>1.018657055634177E-4</v>
      </c>
      <c r="K20" s="58">
        <v>0.99999504959388663</v>
      </c>
      <c r="L20" s="58">
        <v>3.6031261158055489E-9</v>
      </c>
      <c r="M20" s="58">
        <v>0.6539182261478429</v>
      </c>
      <c r="N20" s="14" t="s">
        <v>141</v>
      </c>
    </row>
    <row r="21" spans="1:34" x14ac:dyDescent="0.35">
      <c r="A21" s="59" t="s">
        <v>67</v>
      </c>
      <c r="B21" s="60">
        <v>1</v>
      </c>
      <c r="C21" s="60">
        <v>0.26086961327395092</v>
      </c>
      <c r="D21" s="60">
        <v>5.2515725500884958E-2</v>
      </c>
      <c r="E21" s="60">
        <v>0.99999999999998801</v>
      </c>
      <c r="F21" s="60">
        <v>4.4907133435382003E-2</v>
      </c>
      <c r="G21" s="60">
        <v>0.99994956179441508</v>
      </c>
      <c r="H21" s="60">
        <v>0.99999945612132479</v>
      </c>
      <c r="I21" s="60">
        <v>0.96025424856792696</v>
      </c>
      <c r="J21" s="60">
        <v>1</v>
      </c>
      <c r="K21" s="60">
        <v>0.99999999999999989</v>
      </c>
      <c r="L21" s="60">
        <v>0.93299352963525839</v>
      </c>
      <c r="M21" s="60">
        <v>6.6569854056430112E-3</v>
      </c>
      <c r="N21" s="77" t="s">
        <v>142</v>
      </c>
    </row>
    <row r="22" spans="1:34" x14ac:dyDescent="0.35">
      <c r="A22" s="59" t="s">
        <v>68</v>
      </c>
      <c r="B22" s="60">
        <v>1</v>
      </c>
      <c r="C22" s="60">
        <v>3.5444863431141359E-9</v>
      </c>
      <c r="D22" s="60">
        <v>2.2423766932352069E-4</v>
      </c>
      <c r="E22" s="60">
        <v>0.99999999992226063</v>
      </c>
      <c r="F22" s="60">
        <v>1.838572134761929E-3</v>
      </c>
      <c r="G22" s="60">
        <v>0.99999999987208177</v>
      </c>
      <c r="H22" s="60">
        <v>0.99705135870899886</v>
      </c>
      <c r="I22" s="60">
        <v>0.88091155336354654</v>
      </c>
      <c r="J22" s="60">
        <v>1</v>
      </c>
      <c r="K22" s="60">
        <v>1</v>
      </c>
      <c r="L22" s="60">
        <v>0.56331564741138507</v>
      </c>
      <c r="M22" s="60">
        <v>4.5385173808198991E-4</v>
      </c>
      <c r="N22" s="77" t="s">
        <v>142</v>
      </c>
      <c r="P22" s="1" t="s">
        <v>165</v>
      </c>
      <c r="Q22" s="1"/>
      <c r="R22" s="126" t="s">
        <v>153</v>
      </c>
      <c r="S22" s="126" t="s">
        <v>154</v>
      </c>
      <c r="T22" s="126" t="s">
        <v>155</v>
      </c>
      <c r="U22" s="126" t="s">
        <v>156</v>
      </c>
      <c r="V22" s="126" t="s">
        <v>157</v>
      </c>
      <c r="W22" s="126" t="s">
        <v>158</v>
      </c>
      <c r="X22" s="126" t="s">
        <v>159</v>
      </c>
      <c r="Y22" s="126" t="s">
        <v>160</v>
      </c>
      <c r="Z22" s="126" t="s">
        <v>161</v>
      </c>
      <c r="AA22" s="126" t="s">
        <v>162</v>
      </c>
      <c r="AB22" s="126" t="s">
        <v>163</v>
      </c>
      <c r="AC22" s="126" t="s">
        <v>164</v>
      </c>
    </row>
    <row r="23" spans="1:34" x14ac:dyDescent="0.35">
      <c r="A23" s="59" t="s">
        <v>69</v>
      </c>
      <c r="B23" s="60">
        <v>0.9869488633312915</v>
      </c>
      <c r="C23" s="60">
        <v>0.36724284954996672</v>
      </c>
      <c r="D23" s="60">
        <v>4.9504061134201882E-6</v>
      </c>
      <c r="E23" s="60">
        <v>1</v>
      </c>
      <c r="F23" s="50">
        <v>3.458226107812958E-12</v>
      </c>
      <c r="G23" s="60">
        <v>7.7224614927399764E-19</v>
      </c>
      <c r="H23" s="60">
        <v>1</v>
      </c>
      <c r="I23" s="60">
        <v>0.46190782651296952</v>
      </c>
      <c r="J23" s="60">
        <v>1.079163552591287E-53</v>
      </c>
      <c r="K23" s="60">
        <v>1</v>
      </c>
      <c r="L23" s="50">
        <v>8.1600475553627389E-6</v>
      </c>
      <c r="M23" s="60">
        <v>0.29308490894709688</v>
      </c>
      <c r="N23" s="77" t="s">
        <v>142</v>
      </c>
      <c r="P23" s="1" t="s">
        <v>32</v>
      </c>
      <c r="Q23" s="1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</row>
    <row r="24" spans="1:34" x14ac:dyDescent="0.35">
      <c r="A24" s="59" t="s">
        <v>70</v>
      </c>
      <c r="B24" s="60">
        <v>0.99948598562048263</v>
      </c>
      <c r="C24" s="60">
        <v>0.90645347017408007</v>
      </c>
      <c r="D24" s="60">
        <v>4.9504061134201882E-6</v>
      </c>
      <c r="E24" s="60">
        <v>1</v>
      </c>
      <c r="F24" s="60">
        <v>1.2551204111500489E-4</v>
      </c>
      <c r="G24" s="50">
        <v>4.9411160066861492E-25</v>
      </c>
      <c r="H24" s="60">
        <v>1</v>
      </c>
      <c r="I24" s="60">
        <v>0.99901426546769834</v>
      </c>
      <c r="J24" s="50">
        <v>2.6140504054922549E-67</v>
      </c>
      <c r="K24" s="60">
        <v>1</v>
      </c>
      <c r="L24" s="60">
        <v>4.0379200663045079E-4</v>
      </c>
      <c r="M24" s="50">
        <v>1.0636167672362871E-8</v>
      </c>
      <c r="N24" s="77" t="s">
        <v>142</v>
      </c>
      <c r="P24" s="1" t="s">
        <v>137</v>
      </c>
      <c r="Q24" s="1"/>
      <c r="S24" s="126" t="s">
        <v>111</v>
      </c>
      <c r="T24" s="126" t="s">
        <v>47</v>
      </c>
      <c r="U24" s="126"/>
      <c r="V24" s="126" t="s">
        <v>111</v>
      </c>
      <c r="W24" s="126" t="s">
        <v>47</v>
      </c>
      <c r="X24" s="126"/>
      <c r="Y24" s="126" t="s">
        <v>111</v>
      </c>
      <c r="Z24" s="126" t="s">
        <v>47</v>
      </c>
      <c r="AA24" s="126"/>
      <c r="AB24" s="126" t="s">
        <v>111</v>
      </c>
      <c r="AC24" s="126"/>
    </row>
    <row r="25" spans="1:34" x14ac:dyDescent="0.35">
      <c r="A25" s="59" t="s">
        <v>71</v>
      </c>
      <c r="B25" s="60">
        <v>1</v>
      </c>
      <c r="C25" s="50">
        <v>1.1598697554267099E-17</v>
      </c>
      <c r="D25" s="50">
        <v>2.4113559914503591E-34</v>
      </c>
      <c r="E25" s="60">
        <v>0.99999996807690539</v>
      </c>
      <c r="F25" s="60">
        <v>0.54500593559208865</v>
      </c>
      <c r="G25" s="60">
        <v>1</v>
      </c>
      <c r="H25" s="60">
        <v>0.17304251071291021</v>
      </c>
      <c r="I25" s="60">
        <v>0.66070784679000227</v>
      </c>
      <c r="J25" s="60">
        <v>1</v>
      </c>
      <c r="K25" s="60">
        <v>0.99999999999798395</v>
      </c>
      <c r="L25" s="60">
        <v>5.6254790749006029E-5</v>
      </c>
      <c r="M25" s="60">
        <v>0.46057730251719892</v>
      </c>
      <c r="N25" s="77" t="s">
        <v>142</v>
      </c>
      <c r="P25" s="1" t="s">
        <v>138</v>
      </c>
      <c r="Q25" s="1"/>
      <c r="R25" s="51" t="s">
        <v>53</v>
      </c>
      <c r="U25" s="126" t="s">
        <v>53</v>
      </c>
      <c r="V25" s="126" t="s">
        <v>53</v>
      </c>
      <c r="X25" s="126" t="s">
        <v>52</v>
      </c>
      <c r="Y25" s="126" t="s">
        <v>53</v>
      </c>
      <c r="AA25" s="126" t="s">
        <v>53</v>
      </c>
      <c r="AB25" s="126" t="s">
        <v>52</v>
      </c>
      <c r="AC25" s="126" t="s">
        <v>54</v>
      </c>
    </row>
    <row r="26" spans="1:34" x14ac:dyDescent="0.35">
      <c r="A26" s="61" t="s">
        <v>72</v>
      </c>
      <c r="B26" s="62">
        <v>3.5444863431141359E-9</v>
      </c>
      <c r="C26" s="62">
        <v>0.99999999979075116</v>
      </c>
      <c r="D26" s="62">
        <v>0.99999298654494129</v>
      </c>
      <c r="E26" s="62">
        <v>9.3132563399741616E-5</v>
      </c>
      <c r="F26" s="62">
        <v>1</v>
      </c>
      <c r="G26" s="62">
        <v>2.6718596037924099E-5</v>
      </c>
      <c r="H26" s="62">
        <v>1.208205309470976E-23</v>
      </c>
      <c r="I26" s="62">
        <v>0.9999996310375634</v>
      </c>
      <c r="J26" s="62">
        <v>0.99999999999999778</v>
      </c>
      <c r="K26" s="50">
        <v>6.3788292383545346E-34</v>
      </c>
      <c r="L26" s="62">
        <v>1</v>
      </c>
      <c r="M26" s="62">
        <v>0.99125377297882156</v>
      </c>
      <c r="N26" s="11" t="s">
        <v>143</v>
      </c>
      <c r="P26" s="1" t="s">
        <v>139</v>
      </c>
      <c r="Q26" s="1"/>
      <c r="R26" s="53" t="s">
        <v>55</v>
      </c>
      <c r="T26" s="126" t="s">
        <v>54</v>
      </c>
      <c r="U26" s="126"/>
      <c r="V26" s="126" t="s">
        <v>54</v>
      </c>
      <c r="W26" s="126" t="s">
        <v>55</v>
      </c>
      <c r="X26" s="126"/>
      <c r="Z26" s="126" t="s">
        <v>54</v>
      </c>
      <c r="AA26" s="126" t="s">
        <v>55</v>
      </c>
      <c r="AC26" s="126" t="s">
        <v>60</v>
      </c>
    </row>
    <row r="27" spans="1:34" x14ac:dyDescent="0.35">
      <c r="A27" s="61" t="s">
        <v>73</v>
      </c>
      <c r="B27" s="50">
        <v>5.285215232807774E-21</v>
      </c>
      <c r="C27" s="62">
        <v>1</v>
      </c>
      <c r="D27" s="62">
        <v>0.76301913543624389</v>
      </c>
      <c r="E27" s="50">
        <v>2.527851327681256E-21</v>
      </c>
      <c r="F27" s="62">
        <v>1</v>
      </c>
      <c r="G27" s="62">
        <v>1.9053548193704001E-2</v>
      </c>
      <c r="H27" s="50">
        <v>1.6755297730258412E-33</v>
      </c>
      <c r="I27" s="62">
        <v>0.99412508576870617</v>
      </c>
      <c r="J27" s="62">
        <v>0.99999587518426136</v>
      </c>
      <c r="K27" s="62">
        <v>2.0160533626992649E-12</v>
      </c>
      <c r="L27" s="62">
        <v>0.98090003849419005</v>
      </c>
      <c r="M27" s="62">
        <v>0.99761418592448126</v>
      </c>
      <c r="N27" s="11" t="s">
        <v>143</v>
      </c>
      <c r="P27" s="1" t="s">
        <v>140</v>
      </c>
      <c r="Q27" s="1"/>
      <c r="R27" s="55" t="s">
        <v>61</v>
      </c>
      <c r="U27" s="126" t="s">
        <v>61</v>
      </c>
      <c r="W27" s="126" t="s">
        <v>60</v>
      </c>
      <c r="X27" s="126" t="s">
        <v>61</v>
      </c>
      <c r="Z27" s="126" t="s">
        <v>60</v>
      </c>
      <c r="AA27" s="126" t="s">
        <v>61</v>
      </c>
      <c r="AB27" s="126" t="s">
        <v>58</v>
      </c>
      <c r="AC27" s="126" t="s">
        <v>65</v>
      </c>
    </row>
    <row r="28" spans="1:34" x14ac:dyDescent="0.35">
      <c r="A28" s="61" t="s">
        <v>112</v>
      </c>
      <c r="B28" s="62">
        <v>1.113695060809213E-7</v>
      </c>
      <c r="C28" s="62">
        <v>1</v>
      </c>
      <c r="D28" s="62">
        <v>0.90645347017408007</v>
      </c>
      <c r="E28" s="62">
        <v>7.9707961039300455E-7</v>
      </c>
      <c r="F28" s="62">
        <v>1</v>
      </c>
      <c r="G28" s="50">
        <v>3.1923094571434119E-8</v>
      </c>
      <c r="H28" s="62">
        <v>6.0128866720584896E-28</v>
      </c>
      <c r="I28" s="62">
        <v>1</v>
      </c>
      <c r="J28" s="62">
        <v>0.8134953038914281</v>
      </c>
      <c r="K28" s="62">
        <v>2.66113438101818E-22</v>
      </c>
      <c r="L28" s="62">
        <v>0.99999999999999878</v>
      </c>
      <c r="M28" s="62">
        <v>0.99978093944285029</v>
      </c>
      <c r="N28" s="11" t="s">
        <v>143</v>
      </c>
      <c r="P28" s="1" t="s">
        <v>141</v>
      </c>
      <c r="Q28" s="1"/>
      <c r="R28" s="57" t="s">
        <v>65</v>
      </c>
      <c r="S28" s="126" t="s">
        <v>63</v>
      </c>
      <c r="T28" s="126" t="s">
        <v>66</v>
      </c>
      <c r="V28" s="126" t="s">
        <v>63</v>
      </c>
      <c r="W28" s="126" t="s">
        <v>63</v>
      </c>
      <c r="Z28" s="126" t="s">
        <v>65</v>
      </c>
      <c r="AB28" s="126" t="s">
        <v>62</v>
      </c>
      <c r="AC28" s="126" t="s">
        <v>70</v>
      </c>
    </row>
    <row r="29" spans="1:34" x14ac:dyDescent="0.35">
      <c r="A29" s="57" t="s">
        <v>77</v>
      </c>
      <c r="B29" s="58">
        <v>0.99993127286383343</v>
      </c>
      <c r="C29" s="58">
        <v>0.36724284954996672</v>
      </c>
      <c r="D29" s="58">
        <v>3.7045825410822238E-3</v>
      </c>
      <c r="E29" s="58">
        <v>3.8211572417738697E-2</v>
      </c>
      <c r="F29" s="58">
        <v>0.97715363504431529</v>
      </c>
      <c r="G29" s="58">
        <v>8.1561343068735734E-2</v>
      </c>
      <c r="H29" s="58">
        <v>9.8807434232840573E-6</v>
      </c>
      <c r="I29" s="58">
        <v>0.86774232952232644</v>
      </c>
      <c r="J29" s="58">
        <v>0.42153851230015671</v>
      </c>
      <c r="K29" s="58">
        <v>0.80697951600757256</v>
      </c>
      <c r="L29" s="58">
        <v>0.99594302973241455</v>
      </c>
      <c r="M29" s="58">
        <v>1.3208770367791271E-12</v>
      </c>
      <c r="N29" s="14" t="s">
        <v>144</v>
      </c>
      <c r="P29" s="1" t="s">
        <v>142</v>
      </c>
      <c r="Q29" s="1"/>
      <c r="S29" s="126" t="s">
        <v>71</v>
      </c>
      <c r="T29" s="126" t="s">
        <v>71</v>
      </c>
      <c r="V29" s="126" t="s">
        <v>69</v>
      </c>
      <c r="W29" s="126" t="s">
        <v>70</v>
      </c>
      <c r="Y29" s="126" t="s">
        <v>62</v>
      </c>
      <c r="Z29" s="126" t="s">
        <v>70</v>
      </c>
      <c r="AB29" s="126" t="s">
        <v>69</v>
      </c>
    </row>
    <row r="30" spans="1:34" x14ac:dyDescent="0.35">
      <c r="A30" s="57" t="s">
        <v>78</v>
      </c>
      <c r="B30" s="58">
        <v>0.99999999987208177</v>
      </c>
      <c r="C30" s="58">
        <v>0.99994956179441508</v>
      </c>
      <c r="D30" s="50">
        <v>2.527851327681256E-21</v>
      </c>
      <c r="E30" s="58">
        <v>1</v>
      </c>
      <c r="F30" s="58">
        <v>0.92922855552128913</v>
      </c>
      <c r="G30" s="50">
        <v>3.402815753304427E-10</v>
      </c>
      <c r="H30" s="58">
        <v>0.97715363504431529</v>
      </c>
      <c r="I30" s="58">
        <v>0.99999999639687387</v>
      </c>
      <c r="J30" s="58">
        <v>9.0609765053783109E-4</v>
      </c>
      <c r="K30" s="58">
        <v>0.99999504959388663</v>
      </c>
      <c r="L30" s="58">
        <v>0.99999999999993083</v>
      </c>
      <c r="M30" s="50">
        <v>2.5281739544321941E-22</v>
      </c>
      <c r="N30" s="14" t="s">
        <v>144</v>
      </c>
      <c r="P30" s="1" t="s">
        <v>143</v>
      </c>
      <c r="Q30" s="1"/>
      <c r="R30" s="58" t="s">
        <v>73</v>
      </c>
      <c r="U30" s="126" t="s">
        <v>73</v>
      </c>
      <c r="W30" s="126" t="s">
        <v>112</v>
      </c>
      <c r="X30" s="126" t="s">
        <v>73</v>
      </c>
      <c r="AA30" s="126" t="s">
        <v>72</v>
      </c>
      <c r="AC30" s="126" t="s">
        <v>78</v>
      </c>
    </row>
    <row r="31" spans="1:34" x14ac:dyDescent="0.35">
      <c r="A31" s="57" t="s">
        <v>113</v>
      </c>
      <c r="B31" s="58">
        <v>0.99629541745891781</v>
      </c>
      <c r="C31" s="58">
        <v>0.99999757485877971</v>
      </c>
      <c r="D31" s="58">
        <v>0.99999999858720068</v>
      </c>
      <c r="E31" s="58">
        <v>0.33924030681285811</v>
      </c>
      <c r="F31" s="58">
        <v>0.99855974075723575</v>
      </c>
      <c r="G31" s="58">
        <v>0.4849696355118181</v>
      </c>
      <c r="H31" s="50">
        <v>4.6966155646112112E-11</v>
      </c>
      <c r="I31" s="58">
        <v>0.99936422855090112</v>
      </c>
      <c r="J31" s="50">
        <v>1.815311837402471E-4</v>
      </c>
      <c r="K31" s="50">
        <v>1.3842638494642849E-5</v>
      </c>
      <c r="L31" s="58">
        <v>1</v>
      </c>
      <c r="M31" s="58">
        <v>0.99999999989076938</v>
      </c>
      <c r="N31" s="14" t="s">
        <v>144</v>
      </c>
      <c r="P31" s="1" t="s">
        <v>144</v>
      </c>
      <c r="Q31" s="1"/>
      <c r="T31" s="126" t="s">
        <v>78</v>
      </c>
      <c r="W31" s="126" t="s">
        <v>78</v>
      </c>
      <c r="X31" s="126" t="s">
        <v>113</v>
      </c>
      <c r="Z31" s="126" t="s">
        <v>113</v>
      </c>
      <c r="AA31" s="126" t="s">
        <v>113</v>
      </c>
      <c r="AC31" s="126" t="s">
        <v>114</v>
      </c>
    </row>
    <row r="32" spans="1:34" x14ac:dyDescent="0.35">
      <c r="A32" s="63" t="s">
        <v>82</v>
      </c>
      <c r="B32" s="64">
        <v>0.97715363504431529</v>
      </c>
      <c r="C32" s="64">
        <v>0.99537016444620019</v>
      </c>
      <c r="D32" s="64">
        <v>0.33924030681285811</v>
      </c>
      <c r="E32" s="64">
        <v>0.99766543951883324</v>
      </c>
      <c r="F32" s="64">
        <v>0.99997328140396202</v>
      </c>
      <c r="G32" s="64">
        <v>0.99999975106193439</v>
      </c>
      <c r="H32" s="64">
        <v>0.78565405479424744</v>
      </c>
      <c r="I32" s="64">
        <v>0.99999999999999956</v>
      </c>
      <c r="J32" s="64">
        <v>0.99962038895999206</v>
      </c>
      <c r="K32" s="64">
        <v>1.305113666870847E-2</v>
      </c>
      <c r="L32" s="64">
        <v>0.95447107825781818</v>
      </c>
      <c r="M32" s="64">
        <v>0.99962038895999206</v>
      </c>
      <c r="N32" s="13" t="s">
        <v>145</v>
      </c>
      <c r="P32" s="1" t="s">
        <v>145</v>
      </c>
      <c r="Q32" s="1"/>
      <c r="R32" s="126" t="s">
        <v>114</v>
      </c>
      <c r="X32" s="126" t="s">
        <v>114</v>
      </c>
      <c r="AA32" s="91" t="s">
        <v>83</v>
      </c>
      <c r="AC32" s="126" t="s">
        <v>87</v>
      </c>
    </row>
    <row r="33" spans="1:29" x14ac:dyDescent="0.35">
      <c r="A33" s="63" t="s">
        <v>83</v>
      </c>
      <c r="B33" s="64">
        <v>0.19302048399242741</v>
      </c>
      <c r="C33" s="64">
        <v>0.99999999979075116</v>
      </c>
      <c r="D33" s="64">
        <v>0.15443289176760841</v>
      </c>
      <c r="E33" s="64">
        <v>0.98928135886028723</v>
      </c>
      <c r="F33" s="64">
        <v>0.99999999998315936</v>
      </c>
      <c r="G33" s="64">
        <v>1</v>
      </c>
      <c r="H33" s="64">
        <v>0.12132136960569349</v>
      </c>
      <c r="I33" s="64">
        <v>1</v>
      </c>
      <c r="J33" s="64">
        <v>1</v>
      </c>
      <c r="K33" s="50">
        <v>1.9053548193704001E-2</v>
      </c>
      <c r="L33" s="64">
        <v>0.99594302973241455</v>
      </c>
      <c r="M33" s="64">
        <v>0.99968322091802309</v>
      </c>
      <c r="N33" s="13" t="s">
        <v>145</v>
      </c>
      <c r="P33" s="1" t="s">
        <v>146</v>
      </c>
      <c r="Q33" s="1"/>
      <c r="S33" s="126" t="s">
        <v>115</v>
      </c>
      <c r="V33" s="126" t="s">
        <v>115</v>
      </c>
      <c r="X33" s="126" t="s">
        <v>115</v>
      </c>
      <c r="Y33" s="126" t="s">
        <v>88</v>
      </c>
      <c r="Z33" s="126" t="s">
        <v>115</v>
      </c>
      <c r="AB33" s="126" t="s">
        <v>115</v>
      </c>
    </row>
    <row r="34" spans="1:29" x14ac:dyDescent="0.35">
      <c r="A34" s="63" t="s">
        <v>114</v>
      </c>
      <c r="B34" s="50">
        <v>3.8989699383371863E-14</v>
      </c>
      <c r="C34" s="64">
        <v>0.87867863039430649</v>
      </c>
      <c r="D34" s="64">
        <v>0.99766543951883324</v>
      </c>
      <c r="E34" s="64">
        <v>0.33924030681285811</v>
      </c>
      <c r="F34" s="64">
        <v>0.99996318795309103</v>
      </c>
      <c r="G34" s="64">
        <v>0.99999995130455599</v>
      </c>
      <c r="H34" s="50">
        <v>1.3842638494642849E-5</v>
      </c>
      <c r="I34" s="64">
        <v>0.99664758972954359</v>
      </c>
      <c r="J34" s="64">
        <v>0.7400110727828465</v>
      </c>
      <c r="K34" s="64">
        <v>0.26086961327395092</v>
      </c>
      <c r="L34" s="64">
        <v>0.99999183995244467</v>
      </c>
      <c r="M34" s="50">
        <v>3.5893598147530843E-17</v>
      </c>
      <c r="N34" s="13" t="s">
        <v>145</v>
      </c>
      <c r="P34" s="1" t="s">
        <v>147</v>
      </c>
      <c r="Q34" s="1"/>
      <c r="R34" s="126" t="s">
        <v>92</v>
      </c>
      <c r="S34" s="126" t="s">
        <v>95</v>
      </c>
      <c r="U34" s="126" t="s">
        <v>92</v>
      </c>
      <c r="V34" s="126" t="s">
        <v>95</v>
      </c>
      <c r="W34" s="91" t="s">
        <v>92</v>
      </c>
      <c r="X34" s="126" t="s">
        <v>96</v>
      </c>
      <c r="Y34" s="126" t="s">
        <v>94</v>
      </c>
      <c r="Z34" s="126" t="s">
        <v>92</v>
      </c>
      <c r="AA34" s="126" t="s">
        <v>92</v>
      </c>
    </row>
    <row r="35" spans="1:29" x14ac:dyDescent="0.35">
      <c r="A35" s="65" t="s">
        <v>87</v>
      </c>
      <c r="B35" s="66">
        <v>0.33924030681285811</v>
      </c>
      <c r="C35" s="66">
        <v>1.2551204111500489E-4</v>
      </c>
      <c r="D35" s="66">
        <v>0.15443289176760841</v>
      </c>
      <c r="E35" s="66">
        <v>0.99999999944987261</v>
      </c>
      <c r="F35" s="66">
        <v>1.305113666870847E-2</v>
      </c>
      <c r="G35" s="66">
        <v>0.45499406440791129</v>
      </c>
      <c r="H35" s="66">
        <v>0.99994956179441508</v>
      </c>
      <c r="I35" s="66">
        <v>1.3890830540437099E-2</v>
      </c>
      <c r="J35" s="66">
        <v>7.8935242586655639E-11</v>
      </c>
      <c r="K35" s="66">
        <v>0.99816142786523809</v>
      </c>
      <c r="L35" s="66">
        <v>8.381400206210492E-3</v>
      </c>
      <c r="M35" s="50">
        <v>1.22431171462495E-25</v>
      </c>
      <c r="N35" s="78" t="s">
        <v>146</v>
      </c>
      <c r="P35" s="1" t="s">
        <v>148</v>
      </c>
      <c r="Q35" s="1"/>
      <c r="R35" s="126" t="s">
        <v>120</v>
      </c>
      <c r="T35" s="126"/>
      <c r="U35" s="126" t="s">
        <v>120</v>
      </c>
      <c r="V35" s="126" t="s">
        <v>118</v>
      </c>
      <c r="W35" s="126" t="s">
        <v>118</v>
      </c>
      <c r="X35" s="126" t="s">
        <v>117</v>
      </c>
      <c r="Y35" s="126" t="s">
        <v>119</v>
      </c>
      <c r="AA35" s="126" t="s">
        <v>120</v>
      </c>
      <c r="AB35" s="126" t="s">
        <v>120</v>
      </c>
    </row>
    <row r="36" spans="1:29" x14ac:dyDescent="0.35">
      <c r="A36" s="65" t="s">
        <v>88</v>
      </c>
      <c r="B36" s="66">
        <v>2.425141220284132E-6</v>
      </c>
      <c r="C36" s="66">
        <v>1.07186411397128E-2</v>
      </c>
      <c r="D36" s="66">
        <v>1</v>
      </c>
      <c r="E36" s="66">
        <v>0.99999999999999645</v>
      </c>
      <c r="F36" s="66">
        <v>5.7558510126729696E-3</v>
      </c>
      <c r="G36" s="66">
        <v>0.99999992614603173</v>
      </c>
      <c r="H36" s="66">
        <v>0.23698086456375611</v>
      </c>
      <c r="I36" s="50">
        <v>5.4717536245839704E-23</v>
      </c>
      <c r="J36" s="66">
        <v>1.9122089432156339E-16</v>
      </c>
      <c r="K36" s="66">
        <v>5.2515725500884958E-2</v>
      </c>
      <c r="L36" s="66">
        <v>2.802017860648386E-37</v>
      </c>
      <c r="M36" s="66">
        <v>7.5824048762299441E-12</v>
      </c>
      <c r="N36" s="78" t="s">
        <v>146</v>
      </c>
      <c r="P36" s="1" t="s">
        <v>149</v>
      </c>
      <c r="Q36" s="1"/>
      <c r="R36" s="126" t="s">
        <v>121</v>
      </c>
      <c r="S36" s="126"/>
      <c r="T36" s="126" t="s">
        <v>125</v>
      </c>
      <c r="U36" s="126" t="s">
        <v>122</v>
      </c>
      <c r="V36" s="126" t="s">
        <v>123</v>
      </c>
      <c r="W36" s="126" t="s">
        <v>125</v>
      </c>
      <c r="X36" s="126" t="s">
        <v>125</v>
      </c>
      <c r="Y36" s="126" t="s">
        <v>123</v>
      </c>
      <c r="Z36" s="126" t="s">
        <v>125</v>
      </c>
      <c r="AA36" s="126" t="s">
        <v>122</v>
      </c>
      <c r="AB36" s="126" t="s">
        <v>123</v>
      </c>
      <c r="AC36" s="126" t="s">
        <v>125</v>
      </c>
    </row>
    <row r="37" spans="1:29" x14ac:dyDescent="0.35">
      <c r="A37" s="65" t="s">
        <v>115</v>
      </c>
      <c r="B37" s="66">
        <v>0.76301913543624389</v>
      </c>
      <c r="C37" s="50">
        <v>5.0438205584933382E-5</v>
      </c>
      <c r="D37" s="66">
        <v>0.99999504959388663</v>
      </c>
      <c r="E37" s="66">
        <v>0.99999999999961464</v>
      </c>
      <c r="F37" s="50">
        <v>1.045738419167208E-15</v>
      </c>
      <c r="G37" s="66">
        <v>0.84556710823239156</v>
      </c>
      <c r="H37" s="50">
        <v>5.7558510126729696E-3</v>
      </c>
      <c r="I37" s="66">
        <v>1.7589057995474821E-11</v>
      </c>
      <c r="J37" s="50">
        <v>6.5303714115702355E-16</v>
      </c>
      <c r="K37" s="66">
        <v>0.23698086456375611</v>
      </c>
      <c r="L37" s="50">
        <v>7.1662152374805404E-53</v>
      </c>
      <c r="M37" s="66">
        <v>0.34608177385215699</v>
      </c>
      <c r="N37" s="78" t="s">
        <v>146</v>
      </c>
      <c r="P37" s="1" t="s">
        <v>150</v>
      </c>
      <c r="Q37" s="1"/>
      <c r="R37" s="126" t="s">
        <v>130</v>
      </c>
      <c r="S37" s="126"/>
      <c r="T37" s="126" t="s">
        <v>129</v>
      </c>
      <c r="U37" s="126" t="s">
        <v>130</v>
      </c>
      <c r="V37" s="126"/>
      <c r="W37" s="126" t="s">
        <v>126</v>
      </c>
      <c r="X37" s="126" t="s">
        <v>130</v>
      </c>
      <c r="Y37" s="126"/>
      <c r="Z37" s="126" t="s">
        <v>130</v>
      </c>
      <c r="AA37" s="126" t="s">
        <v>130</v>
      </c>
      <c r="AC37" s="126" t="s">
        <v>130</v>
      </c>
    </row>
    <row r="38" spans="1:29" x14ac:dyDescent="0.35">
      <c r="A38" s="67" t="s">
        <v>92</v>
      </c>
      <c r="B38" s="68">
        <v>5.9628957811031605E-47</v>
      </c>
      <c r="C38" s="69">
        <v>0.99994956179441508</v>
      </c>
      <c r="D38" s="69">
        <v>1</v>
      </c>
      <c r="E38" s="50">
        <v>1.500360979571102E-49</v>
      </c>
      <c r="F38" s="69">
        <v>0.80697951600757256</v>
      </c>
      <c r="G38" s="50">
        <v>3.2352956527301337E-2</v>
      </c>
      <c r="H38" s="69">
        <v>4.3442945899577279E-29</v>
      </c>
      <c r="I38" s="69">
        <v>0.99815079469555534</v>
      </c>
      <c r="J38" s="50">
        <v>1.0636167672362871E-8</v>
      </c>
      <c r="K38" s="50">
        <v>2.66113438101818E-22</v>
      </c>
      <c r="L38" s="69">
        <v>0.86774232952232644</v>
      </c>
      <c r="M38" s="69">
        <v>1</v>
      </c>
      <c r="N38" s="79" t="s">
        <v>147</v>
      </c>
      <c r="P38" s="1" t="s">
        <v>151</v>
      </c>
      <c r="Q38" s="1"/>
      <c r="R38" s="126" t="s">
        <v>135</v>
      </c>
      <c r="S38" s="126" t="s">
        <v>134</v>
      </c>
      <c r="T38" s="126" t="s">
        <v>135</v>
      </c>
      <c r="U38" s="126" t="s">
        <v>135</v>
      </c>
      <c r="V38" s="126" t="s">
        <v>133</v>
      </c>
      <c r="W38" s="126" t="s">
        <v>135</v>
      </c>
      <c r="X38" s="126" t="s">
        <v>135</v>
      </c>
      <c r="Y38" s="126" t="s">
        <v>135</v>
      </c>
      <c r="Z38" s="126" t="s">
        <v>131</v>
      </c>
      <c r="AA38" s="126" t="s">
        <v>135</v>
      </c>
      <c r="AB38" s="126" t="s">
        <v>133</v>
      </c>
      <c r="AC38" s="126" t="s">
        <v>135</v>
      </c>
    </row>
    <row r="39" spans="1:29" x14ac:dyDescent="0.35">
      <c r="A39" s="67" t="s">
        <v>93</v>
      </c>
      <c r="B39" s="69">
        <v>2.755242345259783E-38</v>
      </c>
      <c r="C39" s="69">
        <v>0.99537016444620019</v>
      </c>
      <c r="D39" s="69">
        <v>1</v>
      </c>
      <c r="E39" s="69">
        <v>2.66113438101818E-22</v>
      </c>
      <c r="F39" s="69">
        <v>0.99987448795888501</v>
      </c>
      <c r="G39" s="69">
        <v>0.98419030824746367</v>
      </c>
      <c r="H39" s="69">
        <v>1.2482748311847501E-35</v>
      </c>
      <c r="I39" s="69">
        <v>0.99815079469555534</v>
      </c>
      <c r="J39" s="69">
        <v>0.12748966132940071</v>
      </c>
      <c r="K39" s="69">
        <v>1.168289654423001E-12</v>
      </c>
      <c r="L39" s="69">
        <v>0.99901426546769834</v>
      </c>
      <c r="M39" s="69">
        <v>1</v>
      </c>
      <c r="N39" s="79" t="s">
        <v>147</v>
      </c>
      <c r="P39" s="1" t="s">
        <v>152</v>
      </c>
      <c r="Q39" s="1"/>
      <c r="R39" s="126" t="s">
        <v>136</v>
      </c>
      <c r="S39" s="126"/>
      <c r="T39" s="126"/>
      <c r="U39" s="126" t="s">
        <v>136</v>
      </c>
      <c r="V39" s="126"/>
      <c r="W39" s="126" t="s">
        <v>136</v>
      </c>
      <c r="X39" s="126" t="s">
        <v>136</v>
      </c>
      <c r="Y39" s="126" t="s">
        <v>136</v>
      </c>
      <c r="Z39" s="126" t="s">
        <v>136</v>
      </c>
      <c r="AA39" s="126" t="s">
        <v>136</v>
      </c>
      <c r="AB39" s="126"/>
      <c r="AC39" s="126" t="s">
        <v>136</v>
      </c>
    </row>
    <row r="40" spans="1:29" x14ac:dyDescent="0.35">
      <c r="A40" s="67" t="s">
        <v>94</v>
      </c>
      <c r="B40" s="69">
        <v>7.0771444478710852E-2</v>
      </c>
      <c r="C40" s="69">
        <v>0.12132136960569349</v>
      </c>
      <c r="D40" s="69">
        <v>0.99970272376273472</v>
      </c>
      <c r="E40" s="69">
        <v>0.99424414898732705</v>
      </c>
      <c r="F40" s="69">
        <v>5.5654150471749074E-9</v>
      </c>
      <c r="G40" s="69">
        <v>1</v>
      </c>
      <c r="H40" s="69">
        <v>0.98094645180629603</v>
      </c>
      <c r="I40" s="50">
        <v>3.361399988478439E-6</v>
      </c>
      <c r="J40" s="69">
        <v>1</v>
      </c>
      <c r="K40" s="69">
        <v>0.99424414898732705</v>
      </c>
      <c r="L40" s="69">
        <v>0.1068727673786477</v>
      </c>
      <c r="M40" s="69">
        <v>1</v>
      </c>
      <c r="N40" s="79" t="s">
        <v>147</v>
      </c>
    </row>
    <row r="41" spans="1:29" x14ac:dyDescent="0.35">
      <c r="A41" s="67" t="s">
        <v>95</v>
      </c>
      <c r="B41" s="69">
        <v>4.6298355537997774E-3</v>
      </c>
      <c r="C41" s="50">
        <v>9.3132563399741616E-5</v>
      </c>
      <c r="D41" s="69">
        <v>0.42527252356759487</v>
      </c>
      <c r="E41" s="69">
        <v>0.99932957240549158</v>
      </c>
      <c r="F41" s="50">
        <v>4.6966155646112112E-11</v>
      </c>
      <c r="G41" s="69">
        <v>1</v>
      </c>
      <c r="H41" s="69">
        <v>1</v>
      </c>
      <c r="I41" s="69">
        <v>0.99999999999533828</v>
      </c>
      <c r="J41" s="69">
        <v>1</v>
      </c>
      <c r="K41" s="69">
        <v>0.99999999443458498</v>
      </c>
      <c r="L41" s="69">
        <v>0.99959620799336957</v>
      </c>
      <c r="M41" s="69">
        <v>1</v>
      </c>
      <c r="N41" s="79" t="s">
        <v>147</v>
      </c>
    </row>
    <row r="42" spans="1:29" x14ac:dyDescent="0.35">
      <c r="A42" s="67" t="s">
        <v>96</v>
      </c>
      <c r="B42" s="69">
        <v>2.66113438101818E-22</v>
      </c>
      <c r="C42" s="69">
        <v>1</v>
      </c>
      <c r="D42" s="69">
        <v>0.955092866564618</v>
      </c>
      <c r="E42" s="69">
        <v>6.5633437089035283E-15</v>
      </c>
      <c r="F42" s="69">
        <v>1</v>
      </c>
      <c r="G42" s="69">
        <v>0.1067839002741523</v>
      </c>
      <c r="H42" s="50">
        <v>4.6740756862825874E-41</v>
      </c>
      <c r="I42" s="69">
        <v>0.98368176731427748</v>
      </c>
      <c r="J42" s="69">
        <v>3.6130202652385502E-7</v>
      </c>
      <c r="K42" s="69">
        <v>2.2664703991124299E-20</v>
      </c>
      <c r="L42" s="69">
        <v>0.99999999999999956</v>
      </c>
      <c r="M42" s="69">
        <v>0.83887463348315316</v>
      </c>
      <c r="N42" s="79" t="s">
        <v>147</v>
      </c>
    </row>
    <row r="43" spans="1:29" x14ac:dyDescent="0.35">
      <c r="A43" s="70" t="s">
        <v>116</v>
      </c>
      <c r="B43" s="71">
        <v>5.7444478971644066E-23</v>
      </c>
      <c r="C43" s="71">
        <v>0.99705135870899886</v>
      </c>
      <c r="D43" s="71">
        <v>0.63275715045003333</v>
      </c>
      <c r="E43" s="71">
        <v>4.9504061134201882E-6</v>
      </c>
      <c r="F43" s="71">
        <v>0.99999652535152628</v>
      </c>
      <c r="G43" s="71">
        <v>0.19302048399242741</v>
      </c>
      <c r="H43" s="71">
        <v>5.2515725500884958E-2</v>
      </c>
      <c r="I43" s="71">
        <v>0.99999999998241096</v>
      </c>
      <c r="J43" s="71">
        <v>1</v>
      </c>
      <c r="K43" s="71">
        <v>0.36724284954996672</v>
      </c>
      <c r="L43" s="71">
        <v>0.94088585521013635</v>
      </c>
      <c r="M43" s="71">
        <v>0.99987621029087792</v>
      </c>
      <c r="N43" s="80" t="s">
        <v>148</v>
      </c>
      <c r="P43" s="1" t="s">
        <v>165</v>
      </c>
      <c r="Q43" s="1"/>
      <c r="R43" s="95" t="s">
        <v>153</v>
      </c>
      <c r="S43" s="95" t="s">
        <v>154</v>
      </c>
      <c r="T43" s="126" t="s">
        <v>155</v>
      </c>
      <c r="U43" s="126" t="s">
        <v>156</v>
      </c>
      <c r="V43" s="126" t="s">
        <v>157</v>
      </c>
      <c r="W43" s="126" t="s">
        <v>158</v>
      </c>
      <c r="X43" s="126" t="s">
        <v>159</v>
      </c>
      <c r="Y43" s="126" t="s">
        <v>160</v>
      </c>
      <c r="Z43" s="126" t="s">
        <v>161</v>
      </c>
      <c r="AA43" s="126" t="s">
        <v>162</v>
      </c>
      <c r="AB43" s="126" t="s">
        <v>163</v>
      </c>
      <c r="AC43" s="126" t="s">
        <v>164</v>
      </c>
    </row>
    <row r="44" spans="1:29" ht="29" x14ac:dyDescent="0.35">
      <c r="A44" s="70" t="s">
        <v>117</v>
      </c>
      <c r="B44" s="71">
        <v>2.9522028872401471E-30</v>
      </c>
      <c r="C44" s="71">
        <v>0.99999999645551363</v>
      </c>
      <c r="D44" s="71">
        <v>4.4907133435382003E-2</v>
      </c>
      <c r="E44" s="71">
        <v>1.918859589311014E-19</v>
      </c>
      <c r="F44" s="71">
        <v>0.99999999999883171</v>
      </c>
      <c r="G44" s="71">
        <v>6.1112744934414411E-2</v>
      </c>
      <c r="H44" s="50">
        <v>2.9112115071309389E-32</v>
      </c>
      <c r="I44" s="71">
        <v>1</v>
      </c>
      <c r="J44" s="71">
        <v>1</v>
      </c>
      <c r="K44" s="71">
        <v>1.5346390564693779E-18</v>
      </c>
      <c r="L44" s="71">
        <v>0.94803016540170892</v>
      </c>
      <c r="M44" s="71">
        <v>0.9999999996091844</v>
      </c>
      <c r="N44" s="80" t="s">
        <v>148</v>
      </c>
      <c r="P44" s="1" t="s">
        <v>32</v>
      </c>
      <c r="Q44" s="1"/>
      <c r="R44" s="126" t="str">
        <f>CONCATENATE(R23,CHAR(10),TEXT(R2,"0.00E+00"))</f>
        <v xml:space="preserve">
0.00E+00</v>
      </c>
      <c r="S44" s="126" t="str">
        <f t="shared" ref="S44:AC44" si="16">CONCATENATE(S23,CHAR(10),TEXT(S2,"0.00E+00"))</f>
        <v xml:space="preserve">
0.00E+00</v>
      </c>
      <c r="T44" s="126" t="str">
        <f t="shared" si="16"/>
        <v xml:space="preserve">
0.00E+00</v>
      </c>
      <c r="U44" s="126" t="str">
        <f t="shared" si="16"/>
        <v xml:space="preserve">
0.00E+00</v>
      </c>
      <c r="V44" s="126" t="str">
        <f t="shared" si="16"/>
        <v xml:space="preserve">
0.00E+00</v>
      </c>
      <c r="W44" s="126" t="str">
        <f t="shared" si="16"/>
        <v xml:space="preserve">
0.00E+00</v>
      </c>
      <c r="X44" s="126" t="str">
        <f t="shared" si="16"/>
        <v xml:space="preserve">
0.00E+00</v>
      </c>
      <c r="Y44" s="126" t="str">
        <f t="shared" si="16"/>
        <v xml:space="preserve">
0.00E+00</v>
      </c>
      <c r="Z44" s="126" t="str">
        <f t="shared" si="16"/>
        <v xml:space="preserve">
0.00E+00</v>
      </c>
      <c r="AA44" s="126" t="str">
        <f t="shared" si="16"/>
        <v xml:space="preserve">
0.00E+00</v>
      </c>
      <c r="AB44" s="126" t="str">
        <f t="shared" si="16"/>
        <v xml:space="preserve">
0.00E+00</v>
      </c>
      <c r="AC44" s="126" t="str">
        <f t="shared" si="16"/>
        <v xml:space="preserve">
0.00E+00</v>
      </c>
    </row>
    <row r="45" spans="1:29" ht="29" x14ac:dyDescent="0.35">
      <c r="A45" s="70" t="s">
        <v>118</v>
      </c>
      <c r="B45" s="71">
        <v>0.33924030681285811</v>
      </c>
      <c r="C45" s="71">
        <v>0.12132136960569349</v>
      </c>
      <c r="D45" s="71">
        <v>0.99999999999000511</v>
      </c>
      <c r="E45" s="71">
        <v>0.33924030681285811</v>
      </c>
      <c r="F45" s="50">
        <v>8.6880052469512098E-9</v>
      </c>
      <c r="G45" s="50">
        <v>1.3842638494642849E-5</v>
      </c>
      <c r="H45" s="71">
        <v>3.8211572417738697E-2</v>
      </c>
      <c r="I45" s="71">
        <v>1.631823268572254E-2</v>
      </c>
      <c r="J45" s="71">
        <v>1</v>
      </c>
      <c r="K45" s="71">
        <v>0.84556710823239156</v>
      </c>
      <c r="L45" s="71">
        <v>0.16151711141812949</v>
      </c>
      <c r="M45" s="71">
        <v>1</v>
      </c>
      <c r="N45" s="80" t="s">
        <v>148</v>
      </c>
      <c r="P45" s="1" t="s">
        <v>137</v>
      </c>
      <c r="Q45" s="1"/>
      <c r="R45" s="126" t="str">
        <f t="shared" ref="R45:AC45" si="17">CONCATENATE(R24,CHAR(10),TEXT(R3,"0.00E+00"))</f>
        <v xml:space="preserve">
FALSE</v>
      </c>
      <c r="S45" s="126" t="str">
        <f t="shared" si="17"/>
        <v>features.1.block.1.0
2.97E-04</v>
      </c>
      <c r="T45" s="126" t="str">
        <f t="shared" si="17"/>
        <v>features.1.block.0.0
2.33E-03</v>
      </c>
      <c r="U45" s="126" t="str">
        <f t="shared" si="17"/>
        <v xml:space="preserve">
FALSE</v>
      </c>
      <c r="V45" s="126" t="str">
        <f t="shared" si="17"/>
        <v>features.1.block.1.0
9.31E-05</v>
      </c>
      <c r="W45" s="126" t="str">
        <f t="shared" si="17"/>
        <v>features.1.block.0.0
3.92E-04</v>
      </c>
      <c r="X45" s="126" t="str">
        <f t="shared" si="17"/>
        <v xml:space="preserve">
FALSE</v>
      </c>
      <c r="Y45" s="126" t="str">
        <f t="shared" si="17"/>
        <v>features.1.block.1.0
1.34E-06</v>
      </c>
      <c r="Z45" s="126" t="str">
        <f t="shared" si="17"/>
        <v>features.1.block.0.0
6.85E-05</v>
      </c>
      <c r="AA45" s="126" t="str">
        <f t="shared" si="17"/>
        <v xml:space="preserve">
FALSE</v>
      </c>
      <c r="AB45" s="126" t="str">
        <f t="shared" si="17"/>
        <v>features.1.block.1.0
4.75E-08</v>
      </c>
      <c r="AC45" s="126" t="str">
        <f t="shared" si="17"/>
        <v xml:space="preserve">
FALSE</v>
      </c>
    </row>
    <row r="46" spans="1:29" ht="29" x14ac:dyDescent="0.35">
      <c r="A46" s="70" t="s">
        <v>119</v>
      </c>
      <c r="B46" s="71">
        <v>1</v>
      </c>
      <c r="C46" s="71">
        <v>5.7558510126729696E-3</v>
      </c>
      <c r="D46" s="71">
        <v>0.9999999913119948</v>
      </c>
      <c r="E46" s="71">
        <v>0.99999831688327856</v>
      </c>
      <c r="F46" s="71">
        <v>8.7576396766929094E-3</v>
      </c>
      <c r="G46" s="71">
        <v>7.7224614927399764E-19</v>
      </c>
      <c r="H46" s="71">
        <v>0.99997328140396202</v>
      </c>
      <c r="I46" s="50">
        <v>5.2904122347699522E-29</v>
      </c>
      <c r="J46" s="71">
        <v>0.99999999979237009</v>
      </c>
      <c r="K46" s="71">
        <v>0.99999999965971842</v>
      </c>
      <c r="L46" s="71">
        <v>1.478956200573578E-16</v>
      </c>
      <c r="M46" s="71">
        <v>0.99999347680462847</v>
      </c>
      <c r="N46" s="80" t="s">
        <v>148</v>
      </c>
      <c r="P46" s="1" t="s">
        <v>138</v>
      </c>
      <c r="Q46" s="1"/>
      <c r="R46" s="126" t="str">
        <f t="shared" ref="R46:AC46" si="18">CONCATENATE(R25,CHAR(10),TEXT(R4,"0.00E+00"))</f>
        <v>features.2.block.2.0
4.95E-06</v>
      </c>
      <c r="S46" s="126" t="str">
        <f t="shared" si="18"/>
        <v xml:space="preserve">
2.33E-03</v>
      </c>
      <c r="T46" s="126" t="str">
        <f t="shared" si="18"/>
        <v xml:space="preserve">
FALSE</v>
      </c>
      <c r="U46" s="126" t="str">
        <f t="shared" si="18"/>
        <v>features.2.block.2.0
3.82E-02</v>
      </c>
      <c r="V46" s="126" t="str">
        <f t="shared" si="18"/>
        <v>features.2.block.2.0
2.24E-09</v>
      </c>
      <c r="W46" s="126" t="str">
        <f t="shared" si="18"/>
        <v xml:space="preserve">
1.07E-02</v>
      </c>
      <c r="X46" s="126" t="str">
        <f t="shared" si="18"/>
        <v>features.2.block.1.0
8.76E-03</v>
      </c>
      <c r="Y46" s="126" t="str">
        <f t="shared" si="18"/>
        <v>features.2.block.2.0
2.48E-06</v>
      </c>
      <c r="Z46" s="126" t="str">
        <f t="shared" si="18"/>
        <v xml:space="preserve">
FALSE</v>
      </c>
      <c r="AA46" s="126" t="str">
        <f t="shared" si="18"/>
        <v>features.2.block.2.0
3.58E-15</v>
      </c>
      <c r="AB46" s="126" t="str">
        <f t="shared" si="18"/>
        <v>features.2.block.1.0
2.65E-07</v>
      </c>
      <c r="AC46" s="126" t="str">
        <f t="shared" si="18"/>
        <v>features.3.block.0.0
FALSE</v>
      </c>
    </row>
    <row r="47" spans="1:29" ht="29" x14ac:dyDescent="0.35">
      <c r="A47" s="70" t="s">
        <v>120</v>
      </c>
      <c r="B47" s="50">
        <v>3.837347498761025E-65</v>
      </c>
      <c r="C47" s="71">
        <v>1</v>
      </c>
      <c r="D47" s="71">
        <v>0.1371961135641718</v>
      </c>
      <c r="E47" s="50">
        <v>1.1679391231761289E-62</v>
      </c>
      <c r="F47" s="71">
        <v>6.1112744934414411E-2</v>
      </c>
      <c r="G47" s="71">
        <v>0.71406108938773216</v>
      </c>
      <c r="H47" s="71">
        <v>7.773941077768152E-11</v>
      </c>
      <c r="I47" s="71">
        <v>4.0569702675854434E-3</v>
      </c>
      <c r="J47" s="71">
        <v>0.91710320520539457</v>
      </c>
      <c r="K47" s="50">
        <v>7.7754249024820046E-38</v>
      </c>
      <c r="L47" s="50">
        <v>6.4465813507665597E-40</v>
      </c>
      <c r="M47" s="71">
        <v>1</v>
      </c>
      <c r="N47" s="80" t="s">
        <v>148</v>
      </c>
      <c r="P47" s="1" t="s">
        <v>139</v>
      </c>
      <c r="Q47" s="1"/>
      <c r="R47" s="126" t="str">
        <f t="shared" ref="R47:AC47" si="19">CONCATENATE(R26,CHAR(10),TEXT(R5,"0.00E+00"))</f>
        <v>features.3.block.1.0
3.54E-09</v>
      </c>
      <c r="S47" s="126" t="str">
        <f t="shared" si="19"/>
        <v xml:space="preserve">
3.82E-02</v>
      </c>
      <c r="T47" s="126" t="str">
        <f t="shared" si="19"/>
        <v>features.3.block.0.0
7.72E-19</v>
      </c>
      <c r="U47" s="126" t="str">
        <f t="shared" si="19"/>
        <v xml:space="preserve">
FALSE</v>
      </c>
      <c r="V47" s="126" t="str">
        <f t="shared" si="19"/>
        <v>features.3.block.0.0
4.95E-06</v>
      </c>
      <c r="W47" s="126" t="str">
        <f t="shared" si="19"/>
        <v>features.3.block.1.0
1.20E-14</v>
      </c>
      <c r="X47" s="126" t="str">
        <f t="shared" si="19"/>
        <v xml:space="preserve">
FALSE</v>
      </c>
      <c r="Y47" s="126" t="str">
        <f t="shared" si="19"/>
        <v xml:space="preserve">
FALSE</v>
      </c>
      <c r="Z47" s="126" t="str">
        <f t="shared" si="19"/>
        <v>features.3.block.0.0
9.78E-16</v>
      </c>
      <c r="AA47" s="126" t="str">
        <f t="shared" si="19"/>
        <v>features.3.block.1.0
5.50E-10</v>
      </c>
      <c r="AB47" s="126" t="str">
        <f t="shared" si="19"/>
        <v xml:space="preserve">
FALSE</v>
      </c>
      <c r="AC47" s="126" t="str">
        <f t="shared" si="19"/>
        <v>features.4.block.2.fc2
1.91E-16</v>
      </c>
    </row>
    <row r="48" spans="1:29" ht="29" x14ac:dyDescent="0.35">
      <c r="A48" s="7" t="s">
        <v>121</v>
      </c>
      <c r="B48" s="50">
        <v>1.173198000799468E-39</v>
      </c>
      <c r="C48" s="72">
        <v>0.99999999999993028</v>
      </c>
      <c r="D48" s="72">
        <v>0.99999999999999989</v>
      </c>
      <c r="E48" s="72">
        <v>2.527851327681256E-21</v>
      </c>
      <c r="F48" s="72">
        <v>0.99999999999000511</v>
      </c>
      <c r="G48" s="72">
        <v>4.4907133435382003E-2</v>
      </c>
      <c r="H48" s="72">
        <v>4.586218185315306E-36</v>
      </c>
      <c r="I48" s="72">
        <v>0.16151711141812949</v>
      </c>
      <c r="J48" s="72">
        <v>7.7139783622012847E-24</v>
      </c>
      <c r="K48" s="72">
        <v>1.741043016652972E-42</v>
      </c>
      <c r="L48" s="72">
        <v>9.5587579314308072E-2</v>
      </c>
      <c r="M48" s="72">
        <v>0.9987372854509583</v>
      </c>
      <c r="N48" s="9" t="s">
        <v>149</v>
      </c>
      <c r="P48" s="1" t="s">
        <v>140</v>
      </c>
      <c r="Q48" s="1"/>
      <c r="R48" s="126" t="str">
        <f t="shared" ref="R48:AC48" si="20">CONCATENATE(R27,CHAR(10),TEXT(R6,"0.00E+00"))</f>
        <v>features.4.block.3.0
7.77E-11</v>
      </c>
      <c r="S48" s="126" t="str">
        <f t="shared" si="20"/>
        <v xml:space="preserve">
2.97E-04</v>
      </c>
      <c r="T48" s="126" t="str">
        <f t="shared" si="20"/>
        <v xml:space="preserve">
FALSE</v>
      </c>
      <c r="U48" s="126" t="str">
        <f t="shared" si="20"/>
        <v>features.4.block.3.0
3.19E-08</v>
      </c>
      <c r="V48" s="126" t="str">
        <f t="shared" si="20"/>
        <v xml:space="preserve">
FALSE</v>
      </c>
      <c r="W48" s="126" t="str">
        <f t="shared" si="20"/>
        <v>features.4.block.2.fc2
4.04E-40</v>
      </c>
      <c r="X48" s="126" t="str">
        <f t="shared" si="20"/>
        <v>features.4.block.3.0
1.42E-27</v>
      </c>
      <c r="Y48" s="126" t="str">
        <f t="shared" si="20"/>
        <v xml:space="preserve">
FALSE</v>
      </c>
      <c r="Z48" s="126" t="str">
        <f t="shared" si="20"/>
        <v>features.4.block.2.fc2
1.59E-96</v>
      </c>
      <c r="AA48" s="126" t="str">
        <f t="shared" si="20"/>
        <v>features.4.block.3.0
2.66E-22</v>
      </c>
      <c r="AB48" s="126" t="str">
        <f t="shared" si="20"/>
        <v>features.4.block.1.0
5.63E-05</v>
      </c>
      <c r="AC48" s="126" t="str">
        <f t="shared" si="20"/>
        <v>features.5.block.2.fc2
6.20E-100</v>
      </c>
    </row>
    <row r="49" spans="1:29" ht="29" x14ac:dyDescent="0.35">
      <c r="A49" s="7" t="s">
        <v>122</v>
      </c>
      <c r="B49" s="72">
        <v>1.672935226012477E-36</v>
      </c>
      <c r="C49" s="72">
        <v>0.99999999999993028</v>
      </c>
      <c r="D49" s="72">
        <v>0.21434594520575251</v>
      </c>
      <c r="E49" s="50">
        <v>2.1086597790866719E-84</v>
      </c>
      <c r="F49" s="72">
        <v>1</v>
      </c>
      <c r="G49" s="72">
        <v>2.820711655906156E-11</v>
      </c>
      <c r="H49" s="72">
        <v>5.5638477973692838E-73</v>
      </c>
      <c r="I49" s="72">
        <v>0.9999954643317559</v>
      </c>
      <c r="J49" s="72">
        <v>9.0480276144684775E-46</v>
      </c>
      <c r="K49" s="50">
        <v>1.945343773751816E-81</v>
      </c>
      <c r="L49" s="72">
        <v>1</v>
      </c>
      <c r="M49" s="72">
        <v>0.14932314264485841</v>
      </c>
      <c r="N49" s="9" t="s">
        <v>149</v>
      </c>
      <c r="P49" s="1" t="s">
        <v>141</v>
      </c>
      <c r="Q49" s="1"/>
      <c r="R49" s="126" t="str">
        <f t="shared" ref="R49:AC49" si="21">CONCATENATE(R28,CHAR(10),TEXT(R7,"0.00E+00"))</f>
        <v>features.5.block.2.fc2
1.25E-35</v>
      </c>
      <c r="S49" s="126" t="str">
        <f t="shared" si="21"/>
        <v>features.5.block.1.0
2.24E-09</v>
      </c>
      <c r="T49" s="126" t="str">
        <f t="shared" si="21"/>
        <v>features.5.block.3.0
3.47E-06</v>
      </c>
      <c r="U49" s="126" t="str">
        <f t="shared" si="21"/>
        <v xml:space="preserve">
1.91E-02</v>
      </c>
      <c r="V49" s="126" t="str">
        <f t="shared" si="21"/>
        <v>features.5.block.1.0
4.87E-08</v>
      </c>
      <c r="W49" s="126" t="str">
        <f t="shared" si="21"/>
        <v>features.5.block.1.0
4.87E-08</v>
      </c>
      <c r="X49" s="126" t="str">
        <f t="shared" si="21"/>
        <v xml:space="preserve">
FALSE</v>
      </c>
      <c r="Y49" s="126" t="str">
        <f t="shared" si="21"/>
        <v xml:space="preserve">
1.88E-12</v>
      </c>
      <c r="Z49" s="126" t="str">
        <f t="shared" si="21"/>
        <v>features.5.block.2.fc2
7.71E-24</v>
      </c>
      <c r="AA49" s="126" t="str">
        <f t="shared" si="21"/>
        <v xml:space="preserve">
FALSE</v>
      </c>
      <c r="AB49" s="126" t="str">
        <f t="shared" si="21"/>
        <v>features.5.block.0.0
1.12E-13</v>
      </c>
      <c r="AC49" s="126" t="str">
        <f t="shared" si="21"/>
        <v>features.6.block.2.fc2
9.91E-10</v>
      </c>
    </row>
    <row r="50" spans="1:29" ht="29" x14ac:dyDescent="0.35">
      <c r="A50" s="7" t="s">
        <v>123</v>
      </c>
      <c r="B50" s="72">
        <v>0.26086961327395092</v>
      </c>
      <c r="C50" s="72">
        <v>1.838572134761929E-3</v>
      </c>
      <c r="D50" s="72">
        <v>0.99999999443458498</v>
      </c>
      <c r="E50" s="72">
        <v>0.9869488633312915</v>
      </c>
      <c r="F50" s="50">
        <v>1.173198000799468E-39</v>
      </c>
      <c r="G50" s="72">
        <v>1.348421393509673E-8</v>
      </c>
      <c r="H50" s="72">
        <v>0.99999999999999645</v>
      </c>
      <c r="I50" s="50">
        <v>4.9172353737614231E-57</v>
      </c>
      <c r="J50" s="72">
        <v>0.34608177385215699</v>
      </c>
      <c r="K50" s="72">
        <v>0.99999999911581672</v>
      </c>
      <c r="L50" s="50">
        <v>1.8390390166130869E-43</v>
      </c>
      <c r="M50" s="72">
        <v>1</v>
      </c>
      <c r="N50" s="9" t="s">
        <v>149</v>
      </c>
      <c r="P50" s="1" t="s">
        <v>142</v>
      </c>
      <c r="Q50" s="1"/>
      <c r="R50" s="126" t="str">
        <f t="shared" ref="R50:AC50" si="22">CONCATENATE(R29,CHAR(10),TEXT(R8,"0.00E+00"))</f>
        <v xml:space="preserve">
FALSE</v>
      </c>
      <c r="S50" s="126" t="str">
        <f t="shared" si="22"/>
        <v>features.6.block.3.0
1.16E-17</v>
      </c>
      <c r="T50" s="126" t="str">
        <f t="shared" si="22"/>
        <v>features.6.block.3.0
2.41E-34</v>
      </c>
      <c r="U50" s="126" t="str">
        <f t="shared" si="22"/>
        <v xml:space="preserve">
FALSE</v>
      </c>
      <c r="V50" s="126" t="str">
        <f t="shared" si="22"/>
        <v>features.6.block.2.fc1
3.46E-12</v>
      </c>
      <c r="W50" s="126" t="str">
        <f t="shared" si="22"/>
        <v>features.6.block.2.fc2
4.94E-25</v>
      </c>
      <c r="X50" s="126" t="str">
        <f t="shared" si="22"/>
        <v xml:space="preserve">
FALSE</v>
      </c>
      <c r="Y50" s="126" t="str">
        <f t="shared" si="22"/>
        <v>features.5.block.0.0
FALSE</v>
      </c>
      <c r="Z50" s="126" t="str">
        <f t="shared" si="22"/>
        <v>features.6.block.2.fc2
2.61E-67</v>
      </c>
      <c r="AA50" s="126" t="str">
        <f t="shared" si="22"/>
        <v xml:space="preserve">
FALSE</v>
      </c>
      <c r="AB50" s="126" t="str">
        <f t="shared" si="22"/>
        <v>features.6.block.2.fc1
8.16E-06</v>
      </c>
      <c r="AC50" s="126" t="str">
        <f t="shared" si="22"/>
        <v xml:space="preserve">
1.06E-08</v>
      </c>
    </row>
    <row r="51" spans="1:29" ht="29" x14ac:dyDescent="0.35">
      <c r="A51" s="7" t="s">
        <v>124</v>
      </c>
      <c r="B51" s="72">
        <v>4.3296064439747961E-17</v>
      </c>
      <c r="C51" s="72">
        <v>1</v>
      </c>
      <c r="D51" s="72">
        <v>1</v>
      </c>
      <c r="E51" s="72">
        <v>9.3132563399741616E-5</v>
      </c>
      <c r="F51" s="72">
        <v>0.99948598562048263</v>
      </c>
      <c r="G51" s="72">
        <v>7.0771444478710852E-2</v>
      </c>
      <c r="H51" s="72">
        <v>1</v>
      </c>
      <c r="I51" s="72">
        <v>1</v>
      </c>
      <c r="J51" s="72">
        <v>1</v>
      </c>
      <c r="K51" s="72">
        <v>0.99999999999997835</v>
      </c>
      <c r="L51" s="72">
        <v>1</v>
      </c>
      <c r="M51" s="72">
        <v>1</v>
      </c>
      <c r="N51" s="9" t="s">
        <v>149</v>
      </c>
      <c r="P51" s="1" t="s">
        <v>143</v>
      </c>
      <c r="Q51" s="1"/>
      <c r="R51" s="126" t="str">
        <f t="shared" ref="R51:AC51" si="23">CONCATENATE(R30,CHAR(10),TEXT(R9,"0.00E+00"))</f>
        <v>features.7.block.1.0
5.29E-21</v>
      </c>
      <c r="S51" s="126" t="str">
        <f t="shared" si="23"/>
        <v xml:space="preserve">
FALSE</v>
      </c>
      <c r="T51" s="126" t="str">
        <f t="shared" si="23"/>
        <v xml:space="preserve">
FALSE</v>
      </c>
      <c r="U51" s="126" t="str">
        <f t="shared" si="23"/>
        <v>features.7.block.1.0
2.53E-21</v>
      </c>
      <c r="V51" s="126" t="str">
        <f t="shared" si="23"/>
        <v xml:space="preserve">
FALSE</v>
      </c>
      <c r="W51" s="126" t="str">
        <f t="shared" si="23"/>
        <v>features.7.block.2.0
3.19E-08</v>
      </c>
      <c r="X51" s="126" t="str">
        <f t="shared" si="23"/>
        <v>features.7.block.1.0
1.68E-33</v>
      </c>
      <c r="Y51" s="126" t="str">
        <f t="shared" si="23"/>
        <v xml:space="preserve">
FALSE</v>
      </c>
      <c r="Z51" s="126" t="str">
        <f t="shared" si="23"/>
        <v xml:space="preserve">
FALSE</v>
      </c>
      <c r="AA51" s="126" t="str">
        <f t="shared" si="23"/>
        <v>features.7.block.0.0
6.38E-34</v>
      </c>
      <c r="AB51" s="126" t="str">
        <f t="shared" si="23"/>
        <v xml:space="preserve">
FALSE</v>
      </c>
      <c r="AC51" s="126" t="str">
        <f t="shared" si="23"/>
        <v>features.8.block.1.0
FALSE</v>
      </c>
    </row>
    <row r="52" spans="1:29" ht="29" x14ac:dyDescent="0.35">
      <c r="A52" s="7" t="s">
        <v>125</v>
      </c>
      <c r="B52" s="72">
        <v>2.527851327681256E-21</v>
      </c>
      <c r="C52" s="72">
        <v>1</v>
      </c>
      <c r="D52" s="50">
        <v>1.2013044069375279E-21</v>
      </c>
      <c r="E52" s="72">
        <v>2.454723128522135E-68</v>
      </c>
      <c r="F52" s="72">
        <v>1</v>
      </c>
      <c r="G52" s="50">
        <v>1.240624711943028E-13</v>
      </c>
      <c r="H52" s="50">
        <v>9.8573896760042079E-99</v>
      </c>
      <c r="I52" s="72">
        <v>0.96025424856792696</v>
      </c>
      <c r="J52" s="50">
        <v>4.6653417237740486E-118</v>
      </c>
      <c r="K52" s="72">
        <v>1.043564636923742E-80</v>
      </c>
      <c r="L52" s="72">
        <v>1</v>
      </c>
      <c r="M52" s="50">
        <v>6.3856831919058721E-101</v>
      </c>
      <c r="N52" s="9" t="s">
        <v>149</v>
      </c>
      <c r="P52" s="1" t="s">
        <v>144</v>
      </c>
      <c r="Q52" s="1"/>
      <c r="R52" s="126" t="str">
        <f t="shared" ref="R52:AC52" si="24">CONCATENATE(R31,CHAR(10),TEXT(R10,"0.00E+00"))</f>
        <v xml:space="preserve">
FALSE</v>
      </c>
      <c r="S52" s="126" t="str">
        <f t="shared" si="24"/>
        <v xml:space="preserve">
FALSE</v>
      </c>
      <c r="T52" s="126" t="str">
        <f t="shared" si="24"/>
        <v>features.8.block.1.0
2.53E-21</v>
      </c>
      <c r="U52" s="126" t="str">
        <f t="shared" si="24"/>
        <v xml:space="preserve">
3.82E-02</v>
      </c>
      <c r="V52" s="126" t="str">
        <f t="shared" si="24"/>
        <v xml:space="preserve">
FALSE</v>
      </c>
      <c r="W52" s="126" t="str">
        <f t="shared" si="24"/>
        <v>features.8.block.1.0
3.40E-10</v>
      </c>
      <c r="X52" s="126" t="str">
        <f t="shared" si="24"/>
        <v>features.8.block.2.0
4.70E-11</v>
      </c>
      <c r="Y52" s="126" t="str">
        <f t="shared" si="24"/>
        <v xml:space="preserve">
FALSE</v>
      </c>
      <c r="Z52" s="126" t="str">
        <f t="shared" si="24"/>
        <v>features.8.block.2.0
1.82E-04</v>
      </c>
      <c r="AA52" s="126" t="str">
        <f t="shared" si="24"/>
        <v>features.8.block.2.0
1.38E-05</v>
      </c>
      <c r="AB52" s="126" t="str">
        <f t="shared" si="24"/>
        <v xml:space="preserve">
FALSE</v>
      </c>
      <c r="AC52" s="126" t="str">
        <f t="shared" si="24"/>
        <v>features.9.block.2.0
2.53E-22</v>
      </c>
    </row>
    <row r="53" spans="1:29" ht="29" x14ac:dyDescent="0.35">
      <c r="A53" s="55" t="s">
        <v>126</v>
      </c>
      <c r="B53" s="56">
        <v>9.4747657568744627E-20</v>
      </c>
      <c r="C53" s="56">
        <v>0.99124236032330704</v>
      </c>
      <c r="D53" s="56">
        <v>4.3442945899577279E-29</v>
      </c>
      <c r="E53" s="56">
        <v>2.4113559914503591E-34</v>
      </c>
      <c r="F53" s="56">
        <v>0.999999999999999</v>
      </c>
      <c r="G53" s="50">
        <v>1.161548776651688E-6</v>
      </c>
      <c r="H53" s="56">
        <v>4.6966155646112112E-11</v>
      </c>
      <c r="I53" s="56">
        <v>1</v>
      </c>
      <c r="J53" s="56">
        <v>4.2342124969112131E-26</v>
      </c>
      <c r="K53" s="56">
        <v>3.0901002623633379E-52</v>
      </c>
      <c r="L53" s="56">
        <v>1</v>
      </c>
      <c r="M53" s="56">
        <v>3.2423801973958432E-15</v>
      </c>
      <c r="N53" s="76" t="s">
        <v>150</v>
      </c>
      <c r="P53" s="1" t="s">
        <v>145</v>
      </c>
      <c r="Q53" s="1"/>
      <c r="R53" s="126" t="str">
        <f t="shared" ref="R53:AC53" si="25">CONCATENATE(R32,CHAR(10),TEXT(R11,"0.00E+00"))</f>
        <v>features.9.block.2.0
3.90E-14</v>
      </c>
      <c r="S53" s="126" t="str">
        <f t="shared" si="25"/>
        <v xml:space="preserve">
FALSE</v>
      </c>
      <c r="T53" s="126" t="str">
        <f t="shared" si="25"/>
        <v xml:space="preserve">
FALSE</v>
      </c>
      <c r="U53" s="126" t="str">
        <f t="shared" si="25"/>
        <v xml:space="preserve">
FALSE</v>
      </c>
      <c r="V53" s="126" t="str">
        <f t="shared" si="25"/>
        <v xml:space="preserve">
FALSE</v>
      </c>
      <c r="W53" s="126" t="str">
        <f t="shared" si="25"/>
        <v xml:space="preserve">
FALSE</v>
      </c>
      <c r="X53" s="126" t="str">
        <f t="shared" si="25"/>
        <v>features.9.block.2.0
1.38E-05</v>
      </c>
      <c r="Y53" s="126" t="str">
        <f t="shared" si="25"/>
        <v xml:space="preserve">
FALSE</v>
      </c>
      <c r="Z53" s="126" t="str">
        <f t="shared" si="25"/>
        <v xml:space="preserve">
FALSE</v>
      </c>
      <c r="AA53" s="126" t="str">
        <f t="shared" si="25"/>
        <v>features.9.block.1.0
1.31E-02</v>
      </c>
      <c r="AB53" s="126" t="str">
        <f t="shared" si="25"/>
        <v xml:space="preserve">
FALSE</v>
      </c>
      <c r="AC53" s="126" t="str">
        <f t="shared" si="25"/>
        <v>features.10.block.0.0
3.59E-17</v>
      </c>
    </row>
    <row r="54" spans="1:29" ht="29" x14ac:dyDescent="0.35">
      <c r="A54" s="55" t="s">
        <v>127</v>
      </c>
      <c r="B54" s="56">
        <v>9.3132563399741616E-5</v>
      </c>
      <c r="C54" s="56">
        <v>1</v>
      </c>
      <c r="D54" s="56">
        <v>7.9707961039300455E-7</v>
      </c>
      <c r="E54" s="56">
        <v>7.9707961039300455E-7</v>
      </c>
      <c r="F54" s="56">
        <v>1</v>
      </c>
      <c r="G54" s="56">
        <v>1.9053548193704001E-2</v>
      </c>
      <c r="H54" s="56">
        <v>0.96178842758226124</v>
      </c>
      <c r="I54" s="56">
        <v>1</v>
      </c>
      <c r="J54" s="56">
        <v>0.99999999999996669</v>
      </c>
      <c r="K54" s="56">
        <v>1.838572134761929E-3</v>
      </c>
      <c r="L54" s="56">
        <v>1</v>
      </c>
      <c r="M54" s="56">
        <v>0.99999999999462763</v>
      </c>
      <c r="N54" s="76" t="s">
        <v>150</v>
      </c>
      <c r="P54" s="1" t="s">
        <v>146</v>
      </c>
      <c r="Q54" s="1"/>
      <c r="R54" s="126" t="str">
        <f t="shared" ref="R54:AC54" si="26">CONCATENATE(R33,CHAR(10),TEXT(R12,"0.00E+00"))</f>
        <v xml:space="preserve">
2.43E-06</v>
      </c>
      <c r="S54" s="126" t="str">
        <f t="shared" si="26"/>
        <v>features.10.block.2.0
5.04E-05</v>
      </c>
      <c r="T54" s="126" t="str">
        <f t="shared" si="26"/>
        <v xml:space="preserve">
FALSE</v>
      </c>
      <c r="U54" s="126" t="str">
        <f t="shared" si="26"/>
        <v xml:space="preserve">
FALSE</v>
      </c>
      <c r="V54" s="126" t="str">
        <f t="shared" si="26"/>
        <v>features.10.block.2.0
1.05E-15</v>
      </c>
      <c r="W54" s="126" t="str">
        <f t="shared" si="26"/>
        <v xml:space="preserve">
FALSE</v>
      </c>
      <c r="X54" s="126" t="str">
        <f t="shared" si="26"/>
        <v>features.10.block.2.0
5.76E-03</v>
      </c>
      <c r="Y54" s="126" t="str">
        <f t="shared" si="26"/>
        <v>features.10.block.1.0
5.47E-23</v>
      </c>
      <c r="Z54" s="126" t="str">
        <f t="shared" si="26"/>
        <v>features.10.block.2.0
1.91E-16</v>
      </c>
      <c r="AA54" s="126" t="str">
        <f t="shared" si="26"/>
        <v xml:space="preserve">
FALSE</v>
      </c>
      <c r="AB54" s="126" t="str">
        <f t="shared" si="26"/>
        <v>features.10.block.2.0
7.17E-53</v>
      </c>
      <c r="AC54" s="126" t="str">
        <f t="shared" si="26"/>
        <v xml:space="preserve">
1.22E-25</v>
      </c>
    </row>
    <row r="55" spans="1:29" ht="29" x14ac:dyDescent="0.35">
      <c r="A55" s="55" t="s">
        <v>128</v>
      </c>
      <c r="B55" s="56">
        <v>1.213894333138013E-59</v>
      </c>
      <c r="C55" s="56">
        <v>1</v>
      </c>
      <c r="D55" s="56">
        <v>1.050152150140678E-28</v>
      </c>
      <c r="E55" s="56">
        <v>1.412799308712125E-9</v>
      </c>
      <c r="F55" s="56">
        <v>1</v>
      </c>
      <c r="G55" s="56">
        <v>0.9727441946983314</v>
      </c>
      <c r="H55" s="56">
        <v>5.5012734621003682E-10</v>
      </c>
      <c r="I55" s="56">
        <v>0.9999954643317559</v>
      </c>
      <c r="J55" s="56">
        <v>2.385267667127133E-2</v>
      </c>
      <c r="K55" s="56">
        <v>3.3845026632262342E-39</v>
      </c>
      <c r="L55" s="56">
        <v>1</v>
      </c>
      <c r="M55" s="56">
        <v>0.99999999999999956</v>
      </c>
      <c r="N55" s="76" t="s">
        <v>150</v>
      </c>
      <c r="P55" s="1" t="s">
        <v>147</v>
      </c>
      <c r="Q55" s="1"/>
      <c r="R55" s="126" t="str">
        <f t="shared" ref="R55:AC55" si="27">CONCATENATE(R34,CHAR(10),TEXT(R13,"0.00E+00"))</f>
        <v>features.11.block.0.0
5.96E-47</v>
      </c>
      <c r="S55" s="126" t="str">
        <f t="shared" si="27"/>
        <v>features.11.block.2.fc2
9.31E-05</v>
      </c>
      <c r="T55" s="126" t="str">
        <f t="shared" si="27"/>
        <v xml:space="preserve">
FALSE</v>
      </c>
      <c r="U55" s="126" t="str">
        <f t="shared" si="27"/>
        <v>features.11.block.0.0
1.50E-49</v>
      </c>
      <c r="V55" s="126" t="str">
        <f t="shared" si="27"/>
        <v>features.11.block.2.fc2
4.70E-11</v>
      </c>
      <c r="W55" s="126" t="str">
        <f t="shared" si="27"/>
        <v>features.11.block.0.0
3.24E-02</v>
      </c>
      <c r="X55" s="126" t="str">
        <f t="shared" si="27"/>
        <v>features.11.block.3.0
4.67E-41</v>
      </c>
      <c r="Y55" s="126" t="str">
        <f t="shared" si="27"/>
        <v>features.11.block.2.fc1
3.36E-06</v>
      </c>
      <c r="Z55" s="126" t="str">
        <f t="shared" si="27"/>
        <v>features.11.block.0.0
1.06E-08</v>
      </c>
      <c r="AA55" s="126" t="str">
        <f t="shared" si="27"/>
        <v>features.11.block.0.0
2.66E-22</v>
      </c>
      <c r="AB55" s="126" t="str">
        <f t="shared" si="27"/>
        <v xml:space="preserve">
FALSE</v>
      </c>
      <c r="AC55" s="126" t="str">
        <f t="shared" si="27"/>
        <v xml:space="preserve">
FALSE</v>
      </c>
    </row>
    <row r="56" spans="1:29" ht="29" x14ac:dyDescent="0.35">
      <c r="A56" s="55" t="s">
        <v>129</v>
      </c>
      <c r="B56" s="56">
        <v>5.1856979116479421E-55</v>
      </c>
      <c r="C56" s="56">
        <v>0.99999995130455599</v>
      </c>
      <c r="D56" s="50">
        <v>5.5638477973692838E-73</v>
      </c>
      <c r="E56" s="56">
        <v>4.7504017313034421E-31</v>
      </c>
      <c r="F56" s="56">
        <v>0.99887778140824413</v>
      </c>
      <c r="G56" s="56">
        <v>0.33924030681285811</v>
      </c>
      <c r="H56" s="56">
        <v>1.240624711943028E-13</v>
      </c>
      <c r="I56" s="56">
        <v>1</v>
      </c>
      <c r="J56" s="56">
        <v>6.8790755145647128E-2</v>
      </c>
      <c r="K56" s="56">
        <v>3.458226107812958E-12</v>
      </c>
      <c r="L56" s="56">
        <v>1</v>
      </c>
      <c r="M56" s="56">
        <v>1.2578713111848019E-6</v>
      </c>
      <c r="N56" s="76" t="s">
        <v>150</v>
      </c>
      <c r="P56" s="1" t="s">
        <v>148</v>
      </c>
      <c r="Q56" s="1"/>
      <c r="R56" s="126" t="str">
        <f t="shared" ref="R56:AC56" si="28">CONCATENATE(R35,CHAR(10),TEXT(R14,"0.00E+00"))</f>
        <v>features.12.block.3.0
3.84E-65</v>
      </c>
      <c r="S56" s="126" t="str">
        <f t="shared" si="28"/>
        <v xml:space="preserve">
5.76E-03</v>
      </c>
      <c r="T56" s="126" t="str">
        <f t="shared" si="28"/>
        <v xml:space="preserve">
4.49E-02</v>
      </c>
      <c r="U56" s="126" t="str">
        <f t="shared" si="28"/>
        <v>features.12.block.3.0
1.17E-62</v>
      </c>
      <c r="V56" s="126" t="str">
        <f t="shared" si="28"/>
        <v>features.12.block.2.fc1
8.69E-09</v>
      </c>
      <c r="W56" s="126" t="str">
        <f t="shared" si="28"/>
        <v>features.12.block.2.fc1
7.72E-19</v>
      </c>
      <c r="X56" s="126" t="str">
        <f t="shared" si="28"/>
        <v>features.12.block.1.0
2.91E-32</v>
      </c>
      <c r="Y56" s="126" t="str">
        <f t="shared" si="28"/>
        <v>features.12.block.2.fc2
5.29E-29</v>
      </c>
      <c r="Z56" s="126" t="str">
        <f t="shared" si="28"/>
        <v xml:space="preserve">
FALSE</v>
      </c>
      <c r="AA56" s="126" t="str">
        <f t="shared" si="28"/>
        <v>features.12.block.3.0
7.78E-38</v>
      </c>
      <c r="AB56" s="126" t="str">
        <f t="shared" si="28"/>
        <v>features.12.block.3.0
6.45E-40</v>
      </c>
      <c r="AC56" s="126" t="str">
        <f t="shared" si="28"/>
        <v xml:space="preserve">
FALSE</v>
      </c>
    </row>
    <row r="57" spans="1:29" ht="29" x14ac:dyDescent="0.35">
      <c r="A57" s="55" t="s">
        <v>130</v>
      </c>
      <c r="B57" s="50">
        <v>2.6395519188984468E-72</v>
      </c>
      <c r="C57" s="56">
        <v>1</v>
      </c>
      <c r="D57" s="56">
        <v>0.92922855552128913</v>
      </c>
      <c r="E57" s="50">
        <v>2.3998560594315532E-74</v>
      </c>
      <c r="F57" s="56">
        <v>0.99999997919254269</v>
      </c>
      <c r="G57" s="56">
        <v>4.3702351109743023E-33</v>
      </c>
      <c r="H57" s="50">
        <v>7.7444877599609219E-61</v>
      </c>
      <c r="I57" s="56">
        <v>0.99980146178356266</v>
      </c>
      <c r="J57" s="50">
        <v>7.90464948905811E-45</v>
      </c>
      <c r="K57" s="50">
        <v>2.7496109338662921E-133</v>
      </c>
      <c r="L57" s="56">
        <v>0.51271458465071473</v>
      </c>
      <c r="M57" s="50">
        <v>1.1281427841989241E-42</v>
      </c>
      <c r="N57" s="76" t="s">
        <v>150</v>
      </c>
      <c r="P57" s="1" t="s">
        <v>149</v>
      </c>
      <c r="Q57" s="1"/>
      <c r="R57" s="126" t="str">
        <f t="shared" ref="R57:AC57" si="29">CONCATENATE(R36,CHAR(10),TEXT(R15,"0.00E+00"))</f>
        <v>features.13.block.0.0
1.17E-39</v>
      </c>
      <c r="S57" s="126" t="str">
        <f t="shared" si="29"/>
        <v xml:space="preserve">
1.84E-03</v>
      </c>
      <c r="T57" s="126" t="str">
        <f t="shared" si="29"/>
        <v>features.13.block.3.0
1.20E-21</v>
      </c>
      <c r="U57" s="126" t="str">
        <f t="shared" si="29"/>
        <v>features.13.block.1.0
2.11E-84</v>
      </c>
      <c r="V57" s="126" t="str">
        <f t="shared" si="29"/>
        <v>features.13.block.2.fc1
1.17E-39</v>
      </c>
      <c r="W57" s="126" t="str">
        <f t="shared" si="29"/>
        <v>features.13.block.3.0
1.24E-13</v>
      </c>
      <c r="X57" s="126" t="str">
        <f t="shared" si="29"/>
        <v>features.13.block.3.0
9.86E-99</v>
      </c>
      <c r="Y57" s="126" t="str">
        <f t="shared" si="29"/>
        <v>features.13.block.2.fc1
4.92E-57</v>
      </c>
      <c r="Z57" s="126" t="str">
        <f t="shared" si="29"/>
        <v>features.13.block.3.0
4.67E-118</v>
      </c>
      <c r="AA57" s="126" t="str">
        <f t="shared" si="29"/>
        <v>features.13.block.1.0
1.95E-81</v>
      </c>
      <c r="AB57" s="126" t="str">
        <f t="shared" si="29"/>
        <v>features.13.block.2.fc1
1.84E-43</v>
      </c>
      <c r="AC57" s="126" t="str">
        <f t="shared" si="29"/>
        <v>features.13.block.3.0
6.39E-101</v>
      </c>
    </row>
    <row r="58" spans="1:29" ht="29" x14ac:dyDescent="0.35">
      <c r="A58" s="73" t="s">
        <v>131</v>
      </c>
      <c r="B58" s="74">
        <v>5.140143795173258E-4</v>
      </c>
      <c r="C58" s="74">
        <v>0.99999999999999989</v>
      </c>
      <c r="D58" s="74">
        <v>0.9999999913119948</v>
      </c>
      <c r="E58" s="74">
        <v>0.99977576233067644</v>
      </c>
      <c r="F58" s="74">
        <v>0.99855974075723575</v>
      </c>
      <c r="G58" s="74">
        <v>0.99537016444620019</v>
      </c>
      <c r="H58" s="74">
        <v>1.4242880456734839E-27</v>
      </c>
      <c r="I58" s="74">
        <v>5.0765285346146517E-4</v>
      </c>
      <c r="J58" s="50">
        <v>3.2349585525299558E-3</v>
      </c>
      <c r="K58" s="74">
        <v>6.9760701953280878E-14</v>
      </c>
      <c r="L58" s="74">
        <v>1.5051032699417129E-3</v>
      </c>
      <c r="M58" s="74">
        <v>1</v>
      </c>
      <c r="N58" s="81" t="s">
        <v>151</v>
      </c>
      <c r="P58" s="1" t="s">
        <v>150</v>
      </c>
      <c r="Q58" s="1"/>
      <c r="R58" s="126" t="str">
        <f t="shared" ref="R58:AC58" si="30">CONCATENATE(R37,CHAR(10),TEXT(R16,"0.00E+00"))</f>
        <v>features.14.block.3.0
2.64E-72</v>
      </c>
      <c r="S58" s="126" t="str">
        <f t="shared" si="30"/>
        <v xml:space="preserve">
FALSE</v>
      </c>
      <c r="T58" s="126" t="str">
        <f t="shared" si="30"/>
        <v>features.14.block.2.fc2
5.56E-73</v>
      </c>
      <c r="U58" s="126" t="str">
        <f t="shared" si="30"/>
        <v>features.14.block.3.0
2.40E-74</v>
      </c>
      <c r="V58" s="126" t="str">
        <f t="shared" si="30"/>
        <v xml:space="preserve">
FALSE</v>
      </c>
      <c r="W58" s="126" t="str">
        <f t="shared" si="30"/>
        <v>features.14.block.0.0
4.37E-33</v>
      </c>
      <c r="X58" s="126" t="str">
        <f t="shared" si="30"/>
        <v>features.14.block.3.0
7.74E-61</v>
      </c>
      <c r="Y58" s="126" t="str">
        <f t="shared" si="30"/>
        <v xml:space="preserve">
FALSE</v>
      </c>
      <c r="Z58" s="126" t="str">
        <f t="shared" si="30"/>
        <v>features.14.block.3.0
7.90E-45</v>
      </c>
      <c r="AA58" s="126" t="str">
        <f t="shared" si="30"/>
        <v>features.14.block.3.0
2.75E-133</v>
      </c>
      <c r="AB58" s="126" t="str">
        <f t="shared" si="30"/>
        <v xml:space="preserve">
FALSE</v>
      </c>
      <c r="AC58" s="126" t="str">
        <f t="shared" si="30"/>
        <v>features.14.block.3.0
1.13E-42</v>
      </c>
    </row>
    <row r="59" spans="1:29" ht="29" x14ac:dyDescent="0.35">
      <c r="A59" s="73" t="s">
        <v>132</v>
      </c>
      <c r="B59" s="74">
        <v>0.99999757485877971</v>
      </c>
      <c r="C59" s="74">
        <v>1</v>
      </c>
      <c r="D59" s="74">
        <v>1</v>
      </c>
      <c r="E59" s="74">
        <v>0.51503036448818196</v>
      </c>
      <c r="F59" s="74">
        <v>1</v>
      </c>
      <c r="G59" s="74">
        <v>2.1930268365218381E-13</v>
      </c>
      <c r="H59" s="74">
        <v>2.9804535640973499E-16</v>
      </c>
      <c r="I59" s="74">
        <v>1</v>
      </c>
      <c r="J59" s="74">
        <v>0.1174486078157065</v>
      </c>
      <c r="K59" s="74">
        <v>2.0160533626992649E-12</v>
      </c>
      <c r="L59" s="74">
        <v>1</v>
      </c>
      <c r="M59" s="74">
        <v>1</v>
      </c>
      <c r="N59" s="81" t="s">
        <v>151</v>
      </c>
      <c r="P59" s="1" t="s">
        <v>151</v>
      </c>
      <c r="Q59" s="1"/>
      <c r="R59" s="126" t="str">
        <f t="shared" ref="R59:AC59" si="31">CONCATENATE(R38,CHAR(10),TEXT(R17,"0.00E+00"))</f>
        <v>features.15.block.3.0
9.60E-26</v>
      </c>
      <c r="S59" s="126" t="str">
        <f t="shared" si="31"/>
        <v>features.15.block.2.fc2
6.73E-13</v>
      </c>
      <c r="T59" s="126" t="str">
        <f t="shared" si="31"/>
        <v>features.15.block.3.0
2.66E-22</v>
      </c>
      <c r="U59" s="126" t="str">
        <f t="shared" si="31"/>
        <v>features.15.block.3.0
1.05E-15</v>
      </c>
      <c r="V59" s="126" t="str">
        <f t="shared" si="31"/>
        <v>features.15.block.2.fc1
3.38E-39</v>
      </c>
      <c r="W59" s="126" t="str">
        <f t="shared" si="31"/>
        <v>features.15.block.3.0
4.13E-182</v>
      </c>
      <c r="X59" s="126" t="str">
        <f t="shared" si="31"/>
        <v>features.15.block.3.0
1.41E-149</v>
      </c>
      <c r="Y59" s="126" t="str">
        <f t="shared" si="31"/>
        <v>features.15.block.3.0
3.85E-70</v>
      </c>
      <c r="Z59" s="126" t="str">
        <f t="shared" si="31"/>
        <v>features.15.block.0.0
0.00E+00</v>
      </c>
      <c r="AA59" s="126" t="str">
        <f t="shared" si="31"/>
        <v>features.15.block.3.0
1.98E-198</v>
      </c>
      <c r="AB59" s="126" t="str">
        <f t="shared" si="31"/>
        <v>features.15.block.2.fc1
1.83E-58</v>
      </c>
      <c r="AC59" s="126" t="str">
        <f t="shared" si="31"/>
        <v>features.15.block.3.0
1.67E-233</v>
      </c>
    </row>
    <row r="60" spans="1:29" ht="29" x14ac:dyDescent="0.35">
      <c r="A60" s="73" t="s">
        <v>133</v>
      </c>
      <c r="B60" s="74">
        <v>0.99994956179441508</v>
      </c>
      <c r="C60" s="74">
        <v>0.80697951600757256</v>
      </c>
      <c r="D60" s="74">
        <v>1</v>
      </c>
      <c r="E60" s="74">
        <v>1</v>
      </c>
      <c r="F60" s="50">
        <v>3.3845026632262342E-39</v>
      </c>
      <c r="G60" s="74">
        <v>0.99766543951883324</v>
      </c>
      <c r="H60" s="74">
        <v>0.4849696355118181</v>
      </c>
      <c r="I60" s="74">
        <v>1.8581545442298041E-35</v>
      </c>
      <c r="J60" s="74">
        <v>1</v>
      </c>
      <c r="K60" s="74">
        <v>1.3842638494642849E-5</v>
      </c>
      <c r="L60" s="50">
        <v>1.8286385994450381E-58</v>
      </c>
      <c r="M60" s="74">
        <v>0.99999999999907563</v>
      </c>
      <c r="N60" s="81" t="s">
        <v>151</v>
      </c>
      <c r="P60" s="1" t="s">
        <v>152</v>
      </c>
      <c r="Q60" s="1"/>
      <c r="R60" s="126" t="str">
        <f t="shared" ref="R60:AC60" si="32">CONCATENATE(R39,CHAR(10),TEXT(R18,"0.00E+00"))</f>
        <v>features.16.0
2.40E-148</v>
      </c>
      <c r="S60" s="126" t="str">
        <f t="shared" si="32"/>
        <v xml:space="preserve">
FALSE</v>
      </c>
      <c r="T60" s="126" t="str">
        <f t="shared" si="32"/>
        <v xml:space="preserve">
FALSE</v>
      </c>
      <c r="U60" s="126" t="str">
        <f t="shared" si="32"/>
        <v>features.16.0
3.70E-03</v>
      </c>
      <c r="V60" s="126" t="str">
        <f t="shared" si="32"/>
        <v xml:space="preserve">
FALSE</v>
      </c>
      <c r="W60" s="126" t="str">
        <f t="shared" si="32"/>
        <v>features.16.0
5.03E-140</v>
      </c>
      <c r="X60" s="126" t="str">
        <f t="shared" si="32"/>
        <v>features.16.0
1.19E-212</v>
      </c>
      <c r="Y60" s="126" t="str">
        <f t="shared" si="32"/>
        <v>features.16.0
1.23E-203</v>
      </c>
      <c r="Z60" s="126" t="str">
        <f t="shared" si="32"/>
        <v>features.16.0
0.00E+00</v>
      </c>
      <c r="AA60" s="126" t="str">
        <f t="shared" si="32"/>
        <v>features.16.0
5.89E-189</v>
      </c>
      <c r="AB60" s="126" t="str">
        <f t="shared" si="32"/>
        <v xml:space="preserve">
FALSE</v>
      </c>
      <c r="AC60" s="126" t="str">
        <f t="shared" si="32"/>
        <v>features.16.0
0.00E+00</v>
      </c>
    </row>
    <row r="61" spans="1:29" x14ac:dyDescent="0.35">
      <c r="A61" s="73" t="s">
        <v>134</v>
      </c>
      <c r="B61" s="74">
        <v>1</v>
      </c>
      <c r="C61" s="50">
        <v>6.7296703835153783E-13</v>
      </c>
      <c r="D61" s="74">
        <v>0.99999945612132479</v>
      </c>
      <c r="E61" s="74">
        <v>1</v>
      </c>
      <c r="F61" s="74">
        <v>5.0438205584933382E-5</v>
      </c>
      <c r="G61" s="74">
        <v>5.0454549307334114E-103</v>
      </c>
      <c r="H61" s="74">
        <v>1</v>
      </c>
      <c r="I61" s="74">
        <v>1</v>
      </c>
      <c r="J61" s="74">
        <v>1</v>
      </c>
      <c r="K61" s="74">
        <v>0.99996318795309103</v>
      </c>
      <c r="L61" s="74">
        <v>1.5217922657198371E-36</v>
      </c>
      <c r="M61" s="74">
        <v>1</v>
      </c>
      <c r="N61" s="81" t="s">
        <v>151</v>
      </c>
    </row>
    <row r="62" spans="1:29" x14ac:dyDescent="0.35">
      <c r="A62" s="73" t="s">
        <v>135</v>
      </c>
      <c r="B62" s="50">
        <v>9.6049905137288658E-26</v>
      </c>
      <c r="C62" s="74">
        <v>1</v>
      </c>
      <c r="D62" s="50">
        <v>2.66113438101818E-22</v>
      </c>
      <c r="E62" s="50">
        <v>1.045738419167208E-15</v>
      </c>
      <c r="F62" s="74">
        <v>0.99999998651578603</v>
      </c>
      <c r="G62" s="50">
        <v>4.1331458457931039E-182</v>
      </c>
      <c r="H62" s="50">
        <v>1.405935159882604E-149</v>
      </c>
      <c r="I62" s="50">
        <v>3.8512221625519637E-70</v>
      </c>
      <c r="J62" s="74">
        <v>0</v>
      </c>
      <c r="K62" s="50">
        <v>1.98356930329381E-198</v>
      </c>
      <c r="L62" s="74">
        <v>1</v>
      </c>
      <c r="M62" s="50">
        <v>1.670416643036798E-233</v>
      </c>
      <c r="N62" s="81" t="s">
        <v>151</v>
      </c>
    </row>
    <row r="63" spans="1:29" x14ac:dyDescent="0.35">
      <c r="A63" s="51" t="s">
        <v>136</v>
      </c>
      <c r="B63" s="50">
        <v>2.404943654208772E-148</v>
      </c>
      <c r="C63" s="52">
        <v>1</v>
      </c>
      <c r="D63" s="52">
        <v>0.99983177687150404</v>
      </c>
      <c r="E63" s="50">
        <v>3.7045825410822238E-3</v>
      </c>
      <c r="F63" s="52">
        <v>6.1112744934414411E-2</v>
      </c>
      <c r="G63" s="50">
        <v>5.0271216826926082E-140</v>
      </c>
      <c r="H63" s="50">
        <v>1.1881822289344749E-212</v>
      </c>
      <c r="I63" s="50">
        <v>1.226504790306943E-203</v>
      </c>
      <c r="J63" s="52">
        <v>0</v>
      </c>
      <c r="K63" s="50">
        <v>5.8864815922639292E-189</v>
      </c>
      <c r="L63" s="52">
        <v>1</v>
      </c>
      <c r="M63" s="52">
        <v>0</v>
      </c>
      <c r="N63" s="75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E133-F8AB-4882-9184-9FEFBF8A28E8}">
  <sheetPr>
    <tabColor rgb="FF00B050"/>
  </sheetPr>
  <dimension ref="A1:O35"/>
  <sheetViews>
    <sheetView topLeftCell="G1" workbookViewId="0">
      <selection sqref="A1:O2"/>
    </sheetView>
  </sheetViews>
  <sheetFormatPr defaultRowHeight="14.5" x14ac:dyDescent="0.35"/>
  <cols>
    <col min="1" max="4" width="19.81640625" bestFit="1" customWidth="1"/>
    <col min="6" max="9" width="19.81640625" bestFit="1" customWidth="1"/>
    <col min="12" max="15" width="19.81640625" bestFit="1" customWidth="1"/>
  </cols>
  <sheetData>
    <row r="1" spans="1:15" x14ac:dyDescent="0.35">
      <c r="A1" s="165" t="s">
        <v>405</v>
      </c>
      <c r="B1" s="165"/>
      <c r="C1" s="165"/>
      <c r="D1" s="165"/>
      <c r="F1" s="165" t="s">
        <v>407</v>
      </c>
      <c r="G1" s="165"/>
      <c r="H1" s="165"/>
      <c r="I1" s="165"/>
      <c r="L1" s="165" t="s">
        <v>406</v>
      </c>
      <c r="M1" s="165"/>
      <c r="N1" s="165"/>
      <c r="O1" s="165"/>
    </row>
    <row r="2" spans="1:15" x14ac:dyDescent="0.35">
      <c r="A2" t="s">
        <v>7</v>
      </c>
      <c r="B2" t="s">
        <v>9</v>
      </c>
      <c r="C2" t="s">
        <v>8</v>
      </c>
      <c r="D2" t="s">
        <v>10</v>
      </c>
      <c r="F2" t="s">
        <v>7</v>
      </c>
      <c r="G2" t="s">
        <v>9</v>
      </c>
      <c r="H2" t="s">
        <v>8</v>
      </c>
      <c r="I2" t="s">
        <v>10</v>
      </c>
      <c r="L2" t="s">
        <v>7</v>
      </c>
      <c r="M2" t="s">
        <v>9</v>
      </c>
      <c r="N2" t="s">
        <v>8</v>
      </c>
      <c r="O2" t="s">
        <v>10</v>
      </c>
    </row>
    <row r="3" spans="1:15" x14ac:dyDescent="0.35">
      <c r="A3" s="46" t="s">
        <v>46</v>
      </c>
      <c r="B3" s="46" t="s">
        <v>46</v>
      </c>
      <c r="C3" s="46" t="s">
        <v>46</v>
      </c>
      <c r="D3" s="48" t="s">
        <v>111</v>
      </c>
      <c r="F3" s="53" t="s">
        <v>56</v>
      </c>
      <c r="G3" s="46" t="s">
        <v>46</v>
      </c>
      <c r="H3" s="48" t="s">
        <v>47</v>
      </c>
      <c r="I3" s="48" t="s">
        <v>47</v>
      </c>
      <c r="L3" s="48" t="s">
        <v>111</v>
      </c>
      <c r="M3" s="48" t="s">
        <v>111</v>
      </c>
      <c r="N3" s="48" t="s">
        <v>47</v>
      </c>
      <c r="O3" s="48" t="s">
        <v>47</v>
      </c>
    </row>
    <row r="4" spans="1:15" x14ac:dyDescent="0.35">
      <c r="A4" s="48" t="s">
        <v>47</v>
      </c>
      <c r="B4" s="48" t="s">
        <v>111</v>
      </c>
      <c r="C4" s="48" t="s">
        <v>47</v>
      </c>
      <c r="D4" s="55" t="s">
        <v>60</v>
      </c>
      <c r="F4" s="55" t="s">
        <v>57</v>
      </c>
      <c r="G4" s="53" t="s">
        <v>56</v>
      </c>
      <c r="H4" s="53" t="s">
        <v>56</v>
      </c>
      <c r="I4" s="53" t="s">
        <v>56</v>
      </c>
      <c r="L4" s="51" t="s">
        <v>51</v>
      </c>
      <c r="M4" s="55" t="s">
        <v>59</v>
      </c>
      <c r="N4" s="53" t="s">
        <v>54</v>
      </c>
      <c r="O4" s="48" t="s">
        <v>111</v>
      </c>
    </row>
    <row r="5" spans="1:15" x14ac:dyDescent="0.35">
      <c r="A5" s="48" t="s">
        <v>111</v>
      </c>
      <c r="B5" s="55" t="s">
        <v>59</v>
      </c>
      <c r="C5" s="48" t="s">
        <v>111</v>
      </c>
      <c r="D5" s="57" t="s">
        <v>62</v>
      </c>
      <c r="F5" s="55" t="s">
        <v>61</v>
      </c>
      <c r="G5" s="55" t="s">
        <v>57</v>
      </c>
      <c r="H5" s="55" t="s">
        <v>57</v>
      </c>
      <c r="I5" s="55" t="s">
        <v>57</v>
      </c>
      <c r="L5" s="51" t="s">
        <v>52</v>
      </c>
      <c r="M5" s="59" t="s">
        <v>67</v>
      </c>
      <c r="N5" s="55" t="s">
        <v>59</v>
      </c>
      <c r="O5" s="51" t="s">
        <v>51</v>
      </c>
    </row>
    <row r="6" spans="1:15" x14ac:dyDescent="0.35">
      <c r="A6" s="55" t="s">
        <v>59</v>
      </c>
      <c r="B6" s="55" t="s">
        <v>60</v>
      </c>
      <c r="C6" s="53" t="s">
        <v>54</v>
      </c>
      <c r="D6" s="57" t="s">
        <v>63</v>
      </c>
      <c r="F6" s="57" t="s">
        <v>64</v>
      </c>
      <c r="G6" s="55" t="s">
        <v>58</v>
      </c>
      <c r="H6" s="55" t="s">
        <v>61</v>
      </c>
      <c r="I6" s="55" t="s">
        <v>61</v>
      </c>
      <c r="L6" s="51" t="s">
        <v>53</v>
      </c>
      <c r="M6" s="59" t="s">
        <v>68</v>
      </c>
      <c r="N6" s="55" t="s">
        <v>60</v>
      </c>
      <c r="O6" s="51" t="s">
        <v>52</v>
      </c>
    </row>
    <row r="7" spans="1:15" x14ac:dyDescent="0.35">
      <c r="A7" s="55" t="s">
        <v>60</v>
      </c>
      <c r="B7" s="57" t="s">
        <v>65</v>
      </c>
      <c r="C7" s="55" t="s">
        <v>60</v>
      </c>
      <c r="D7" s="57" t="s">
        <v>65</v>
      </c>
      <c r="F7" s="61" t="s">
        <v>72</v>
      </c>
      <c r="G7" s="55" t="s">
        <v>61</v>
      </c>
      <c r="H7" s="57" t="s">
        <v>64</v>
      </c>
      <c r="I7" s="57" t="s">
        <v>64</v>
      </c>
      <c r="L7" s="55" t="s">
        <v>57</v>
      </c>
      <c r="M7" s="59" t="s">
        <v>71</v>
      </c>
      <c r="N7" s="57" t="s">
        <v>63</v>
      </c>
      <c r="O7" s="51" t="s">
        <v>53</v>
      </c>
    </row>
    <row r="8" spans="1:15" x14ac:dyDescent="0.35">
      <c r="A8" s="57" t="s">
        <v>66</v>
      </c>
      <c r="B8" s="57" t="s">
        <v>66</v>
      </c>
      <c r="C8" s="57" t="s">
        <v>64</v>
      </c>
      <c r="D8" s="57" t="s">
        <v>66</v>
      </c>
      <c r="F8" s="61" t="s">
        <v>73</v>
      </c>
      <c r="G8" s="61" t="s">
        <v>72</v>
      </c>
      <c r="H8" s="57" t="s">
        <v>65</v>
      </c>
      <c r="I8" s="57" t="s">
        <v>65</v>
      </c>
      <c r="L8" s="55" t="s">
        <v>58</v>
      </c>
      <c r="M8" s="63" t="s">
        <v>82</v>
      </c>
      <c r="N8" s="57" t="s">
        <v>64</v>
      </c>
      <c r="O8" s="55" t="s">
        <v>58</v>
      </c>
    </row>
    <row r="9" spans="1:15" x14ac:dyDescent="0.35">
      <c r="A9" s="59" t="s">
        <v>67</v>
      </c>
      <c r="B9" s="59" t="s">
        <v>67</v>
      </c>
      <c r="C9" s="57" t="s">
        <v>65</v>
      </c>
      <c r="D9" s="59" t="s">
        <v>67</v>
      </c>
      <c r="F9" s="61" t="s">
        <v>112</v>
      </c>
      <c r="G9" s="61" t="s">
        <v>73</v>
      </c>
      <c r="H9" s="59" t="s">
        <v>67</v>
      </c>
      <c r="I9" s="61" t="s">
        <v>72</v>
      </c>
      <c r="L9" s="55" t="s">
        <v>59</v>
      </c>
      <c r="M9" s="63" t="s">
        <v>83</v>
      </c>
      <c r="N9" s="57" t="s">
        <v>65</v>
      </c>
      <c r="O9" s="55" t="s">
        <v>59</v>
      </c>
    </row>
    <row r="10" spans="1:15" x14ac:dyDescent="0.35">
      <c r="A10" s="59" t="s">
        <v>68</v>
      </c>
      <c r="B10" s="59" t="s">
        <v>68</v>
      </c>
      <c r="C10" s="59" t="s">
        <v>67</v>
      </c>
      <c r="D10" s="59" t="s">
        <v>68</v>
      </c>
      <c r="F10" s="57" t="s">
        <v>78</v>
      </c>
      <c r="G10" s="61" t="s">
        <v>112</v>
      </c>
      <c r="H10" s="59" t="s">
        <v>70</v>
      </c>
      <c r="I10" s="61" t="s">
        <v>73</v>
      </c>
      <c r="L10" s="55" t="s">
        <v>60</v>
      </c>
      <c r="M10" s="63" t="s">
        <v>114</v>
      </c>
      <c r="N10" s="57" t="s">
        <v>66</v>
      </c>
      <c r="O10" s="55" t="s">
        <v>61</v>
      </c>
    </row>
    <row r="11" spans="1:15" x14ac:dyDescent="0.35">
      <c r="A11" s="59" t="s">
        <v>69</v>
      </c>
      <c r="B11" s="59" t="s">
        <v>69</v>
      </c>
      <c r="C11" s="59" t="s">
        <v>68</v>
      </c>
      <c r="D11" s="59" t="s">
        <v>69</v>
      </c>
      <c r="F11" s="57" t="s">
        <v>113</v>
      </c>
      <c r="G11" s="57" t="s">
        <v>77</v>
      </c>
      <c r="H11" s="61" t="s">
        <v>72</v>
      </c>
      <c r="I11" s="61" t="s">
        <v>112</v>
      </c>
      <c r="L11" s="55" t="s">
        <v>61</v>
      </c>
      <c r="M11" s="65" t="s">
        <v>88</v>
      </c>
      <c r="N11" s="59" t="s">
        <v>69</v>
      </c>
      <c r="O11" s="57" t="s">
        <v>64</v>
      </c>
    </row>
    <row r="12" spans="1:15" x14ac:dyDescent="0.35">
      <c r="A12" s="59" t="s">
        <v>70</v>
      </c>
      <c r="B12" s="59" t="s">
        <v>70</v>
      </c>
      <c r="C12" s="59" t="s">
        <v>69</v>
      </c>
      <c r="D12" s="59" t="s">
        <v>70</v>
      </c>
      <c r="F12" s="63" t="s">
        <v>82</v>
      </c>
      <c r="G12" s="57" t="s">
        <v>113</v>
      </c>
      <c r="H12" s="61" t="s">
        <v>73</v>
      </c>
      <c r="I12" s="57" t="s">
        <v>77</v>
      </c>
      <c r="L12" s="57" t="s">
        <v>64</v>
      </c>
      <c r="M12" s="67" t="s">
        <v>93</v>
      </c>
      <c r="N12" s="59" t="s">
        <v>70</v>
      </c>
      <c r="O12" s="61" t="s">
        <v>72</v>
      </c>
    </row>
    <row r="13" spans="1:15" x14ac:dyDescent="0.35">
      <c r="A13" s="59" t="s">
        <v>71</v>
      </c>
      <c r="B13" s="59" t="s">
        <v>71</v>
      </c>
      <c r="C13" s="59" t="s">
        <v>70</v>
      </c>
      <c r="D13" s="59" t="s">
        <v>71</v>
      </c>
      <c r="F13" s="63" t="s">
        <v>83</v>
      </c>
      <c r="G13" s="63" t="s">
        <v>82</v>
      </c>
      <c r="H13" s="61" t="s">
        <v>112</v>
      </c>
      <c r="I13" s="57" t="s">
        <v>78</v>
      </c>
      <c r="L13" s="57" t="s">
        <v>65</v>
      </c>
      <c r="M13" s="67" t="s">
        <v>94</v>
      </c>
      <c r="N13" s="57" t="s">
        <v>78</v>
      </c>
      <c r="O13" s="61" t="s">
        <v>73</v>
      </c>
    </row>
    <row r="14" spans="1:15" x14ac:dyDescent="0.35">
      <c r="A14" s="57" t="s">
        <v>77</v>
      </c>
      <c r="B14" s="57" t="s">
        <v>78</v>
      </c>
      <c r="C14" s="57" t="s">
        <v>78</v>
      </c>
      <c r="D14" s="57" t="s">
        <v>78</v>
      </c>
      <c r="F14" s="67" t="s">
        <v>92</v>
      </c>
      <c r="G14" s="63" t="s">
        <v>83</v>
      </c>
      <c r="H14" s="57" t="s">
        <v>78</v>
      </c>
      <c r="I14" s="57" t="s">
        <v>113</v>
      </c>
      <c r="L14" s="61" t="s">
        <v>72</v>
      </c>
      <c r="M14" s="67" t="s">
        <v>95</v>
      </c>
      <c r="N14" s="57" t="s">
        <v>113</v>
      </c>
      <c r="O14" s="61" t="s">
        <v>112</v>
      </c>
    </row>
    <row r="15" spans="1:15" x14ac:dyDescent="0.35">
      <c r="A15" s="57" t="s">
        <v>78</v>
      </c>
      <c r="B15" s="63" t="s">
        <v>82</v>
      </c>
      <c r="C15" s="65" t="s">
        <v>87</v>
      </c>
      <c r="D15" s="65" t="s">
        <v>87</v>
      </c>
      <c r="F15" s="67" t="s">
        <v>93</v>
      </c>
      <c r="G15" s="63" t="s">
        <v>114</v>
      </c>
      <c r="H15" s="57" t="s">
        <v>113</v>
      </c>
      <c r="I15" s="63" t="s">
        <v>83</v>
      </c>
      <c r="L15" s="57" t="s">
        <v>113</v>
      </c>
      <c r="M15" s="55" t="s">
        <v>128</v>
      </c>
      <c r="N15" s="65" t="s">
        <v>87</v>
      </c>
      <c r="O15" s="57" t="s">
        <v>113</v>
      </c>
    </row>
    <row r="16" spans="1:15" x14ac:dyDescent="0.35">
      <c r="A16" s="57" t="s">
        <v>113</v>
      </c>
      <c r="B16" s="63" t="s">
        <v>83</v>
      </c>
      <c r="C16" s="67" t="s">
        <v>94</v>
      </c>
      <c r="D16" s="67" t="s">
        <v>94</v>
      </c>
      <c r="F16" s="67" t="s">
        <v>96</v>
      </c>
      <c r="G16" s="67" t="s">
        <v>93</v>
      </c>
      <c r="H16" s="63" t="s">
        <v>82</v>
      </c>
      <c r="I16" s="63" t="s">
        <v>114</v>
      </c>
      <c r="L16" s="63" t="s">
        <v>114</v>
      </c>
      <c r="M16" s="73" t="s">
        <v>131</v>
      </c>
      <c r="N16" s="65" t="s">
        <v>88</v>
      </c>
      <c r="O16" s="63" t="s">
        <v>82</v>
      </c>
    </row>
    <row r="17" spans="1:15" x14ac:dyDescent="0.35">
      <c r="A17" s="63" t="s">
        <v>82</v>
      </c>
      <c r="B17" s="65" t="s">
        <v>87</v>
      </c>
      <c r="C17" s="67" t="s">
        <v>95</v>
      </c>
      <c r="D17" s="67" t="s">
        <v>95</v>
      </c>
      <c r="F17" s="70" t="s">
        <v>116</v>
      </c>
      <c r="G17" s="67" t="s">
        <v>96</v>
      </c>
      <c r="H17" s="63" t="s">
        <v>83</v>
      </c>
      <c r="I17" s="67" t="s">
        <v>93</v>
      </c>
      <c r="L17" s="65" t="s">
        <v>88</v>
      </c>
      <c r="M17" s="73" t="s">
        <v>133</v>
      </c>
      <c r="N17" s="65" t="s">
        <v>115</v>
      </c>
      <c r="O17" s="63" t="s">
        <v>83</v>
      </c>
    </row>
    <row r="18" spans="1:15" x14ac:dyDescent="0.35">
      <c r="A18" s="70" t="s">
        <v>119</v>
      </c>
      <c r="B18" s="65" t="s">
        <v>88</v>
      </c>
      <c r="C18" s="70" t="s">
        <v>119</v>
      </c>
      <c r="D18" s="70" t="s">
        <v>119</v>
      </c>
      <c r="F18" s="70" t="s">
        <v>117</v>
      </c>
      <c r="G18" s="70" t="s">
        <v>116</v>
      </c>
      <c r="H18" s="63" t="s">
        <v>114</v>
      </c>
      <c r="I18" s="67" t="s">
        <v>95</v>
      </c>
      <c r="L18" s="65" t="s">
        <v>115</v>
      </c>
      <c r="N18" s="67" t="s">
        <v>92</v>
      </c>
      <c r="O18" s="67" t="s">
        <v>92</v>
      </c>
    </row>
    <row r="19" spans="1:15" x14ac:dyDescent="0.35">
      <c r="A19" s="73" t="s">
        <v>132</v>
      </c>
      <c r="B19" s="65" t="s">
        <v>115</v>
      </c>
      <c r="C19" s="7" t="s">
        <v>123</v>
      </c>
      <c r="D19" s="7" t="s">
        <v>123</v>
      </c>
      <c r="F19" s="70" t="s">
        <v>120</v>
      </c>
      <c r="G19" s="70" t="s">
        <v>117</v>
      </c>
      <c r="H19" s="67" t="s">
        <v>92</v>
      </c>
      <c r="I19" s="67" t="s">
        <v>96</v>
      </c>
      <c r="L19" s="67" t="s">
        <v>92</v>
      </c>
      <c r="N19" s="67" t="s">
        <v>96</v>
      </c>
      <c r="O19" s="67" t="s">
        <v>93</v>
      </c>
    </row>
    <row r="20" spans="1:15" x14ac:dyDescent="0.35">
      <c r="A20" s="73" t="s">
        <v>133</v>
      </c>
      <c r="B20" s="67" t="s">
        <v>94</v>
      </c>
      <c r="C20" s="7" t="s">
        <v>124</v>
      </c>
      <c r="D20" s="7" t="s">
        <v>124</v>
      </c>
      <c r="F20" s="7" t="s">
        <v>121</v>
      </c>
      <c r="G20" s="7" t="s">
        <v>121</v>
      </c>
      <c r="H20" s="67" t="s">
        <v>93</v>
      </c>
      <c r="I20" s="7" t="s">
        <v>122</v>
      </c>
      <c r="L20" s="67" t="s">
        <v>93</v>
      </c>
      <c r="N20" s="7" t="s">
        <v>121</v>
      </c>
      <c r="O20" s="67" t="s">
        <v>94</v>
      </c>
    </row>
    <row r="21" spans="1:15" x14ac:dyDescent="0.35">
      <c r="A21" s="73" t="s">
        <v>134</v>
      </c>
      <c r="B21" s="67" t="s">
        <v>95</v>
      </c>
      <c r="C21" s="55" t="s">
        <v>127</v>
      </c>
      <c r="D21" s="73" t="s">
        <v>134</v>
      </c>
      <c r="F21" s="7" t="s">
        <v>122</v>
      </c>
      <c r="G21" s="7" t="s">
        <v>122</v>
      </c>
      <c r="H21" s="67" t="s">
        <v>95</v>
      </c>
      <c r="I21" s="7" t="s">
        <v>124</v>
      </c>
      <c r="L21" s="67" t="s">
        <v>94</v>
      </c>
      <c r="N21" s="7" t="s">
        <v>122</v>
      </c>
      <c r="O21" s="67" t="s">
        <v>95</v>
      </c>
    </row>
    <row r="22" spans="1:15" x14ac:dyDescent="0.35">
      <c r="B22" s="70" t="s">
        <v>119</v>
      </c>
      <c r="C22" s="73" t="s">
        <v>134</v>
      </c>
      <c r="F22" s="7" t="s">
        <v>124</v>
      </c>
      <c r="G22" s="7" t="s">
        <v>124</v>
      </c>
      <c r="H22" s="67" t="s">
        <v>96</v>
      </c>
      <c r="I22" s="7" t="s">
        <v>125</v>
      </c>
      <c r="L22" s="70" t="s">
        <v>118</v>
      </c>
      <c r="N22" s="7" t="s">
        <v>125</v>
      </c>
      <c r="O22" s="70" t="s">
        <v>116</v>
      </c>
    </row>
    <row r="23" spans="1:15" x14ac:dyDescent="0.35">
      <c r="B23" s="7" t="s">
        <v>123</v>
      </c>
      <c r="F23" s="7" t="s">
        <v>125</v>
      </c>
      <c r="G23" s="7" t="s">
        <v>125</v>
      </c>
      <c r="H23" s="70" t="s">
        <v>116</v>
      </c>
      <c r="I23" s="55" t="s">
        <v>126</v>
      </c>
      <c r="L23" s="70" t="s">
        <v>119</v>
      </c>
      <c r="N23" s="55" t="s">
        <v>126</v>
      </c>
      <c r="O23" s="70" t="s">
        <v>117</v>
      </c>
    </row>
    <row r="24" spans="1:15" x14ac:dyDescent="0.35">
      <c r="B24" s="73" t="s">
        <v>131</v>
      </c>
      <c r="F24" s="55" t="s">
        <v>126</v>
      </c>
      <c r="G24" s="55" t="s">
        <v>126</v>
      </c>
      <c r="H24" s="70" t="s">
        <v>117</v>
      </c>
      <c r="I24" s="55" t="s">
        <v>127</v>
      </c>
      <c r="L24" s="7" t="s">
        <v>121</v>
      </c>
      <c r="N24" s="55" t="s">
        <v>128</v>
      </c>
      <c r="O24" s="70" t="s">
        <v>118</v>
      </c>
    </row>
    <row r="25" spans="1:15" x14ac:dyDescent="0.35">
      <c r="B25" s="73" t="s">
        <v>133</v>
      </c>
      <c r="F25" s="55" t="s">
        <v>127</v>
      </c>
      <c r="G25" s="55" t="s">
        <v>127</v>
      </c>
      <c r="H25" s="7" t="s">
        <v>122</v>
      </c>
      <c r="I25" s="55" t="s">
        <v>128</v>
      </c>
      <c r="L25" s="7" t="s">
        <v>123</v>
      </c>
      <c r="N25" s="55" t="s">
        <v>130</v>
      </c>
      <c r="O25" s="70" t="s">
        <v>119</v>
      </c>
    </row>
    <row r="26" spans="1:15" x14ac:dyDescent="0.35">
      <c r="B26" s="73" t="s">
        <v>134</v>
      </c>
      <c r="F26" s="55" t="s">
        <v>128</v>
      </c>
      <c r="G26" s="55" t="s">
        <v>128</v>
      </c>
      <c r="H26" s="7" t="s">
        <v>124</v>
      </c>
      <c r="I26" s="55" t="s">
        <v>129</v>
      </c>
      <c r="L26" s="7" t="s">
        <v>124</v>
      </c>
      <c r="N26" s="73" t="s">
        <v>131</v>
      </c>
      <c r="O26" s="70" t="s">
        <v>120</v>
      </c>
    </row>
    <row r="27" spans="1:15" x14ac:dyDescent="0.35">
      <c r="F27" s="55" t="s">
        <v>129</v>
      </c>
      <c r="G27" s="55" t="s">
        <v>129</v>
      </c>
      <c r="H27" s="7" t="s">
        <v>125</v>
      </c>
      <c r="I27" s="73" t="s">
        <v>132</v>
      </c>
      <c r="L27" s="73" t="s">
        <v>131</v>
      </c>
      <c r="N27" s="73" t="s">
        <v>135</v>
      </c>
      <c r="O27" s="7" t="s">
        <v>121</v>
      </c>
    </row>
    <row r="28" spans="1:15" x14ac:dyDescent="0.35">
      <c r="F28" s="55" t="s">
        <v>130</v>
      </c>
      <c r="G28" s="55" t="s">
        <v>130</v>
      </c>
      <c r="H28" s="55" t="s">
        <v>126</v>
      </c>
      <c r="I28" s="73" t="s">
        <v>135</v>
      </c>
      <c r="L28" s="73" t="s">
        <v>132</v>
      </c>
      <c r="N28" s="51" t="s">
        <v>136</v>
      </c>
      <c r="O28" s="7" t="s">
        <v>123</v>
      </c>
    </row>
    <row r="29" spans="1:15" x14ac:dyDescent="0.35">
      <c r="F29" s="73" t="s">
        <v>131</v>
      </c>
      <c r="G29" s="73" t="s">
        <v>131</v>
      </c>
      <c r="H29" s="55" t="s">
        <v>127</v>
      </c>
      <c r="I29" s="51" t="s">
        <v>136</v>
      </c>
      <c r="L29" s="73" t="s">
        <v>133</v>
      </c>
      <c r="O29" s="7" t="s">
        <v>124</v>
      </c>
    </row>
    <row r="30" spans="1:15" x14ac:dyDescent="0.35">
      <c r="F30" s="73" t="s">
        <v>132</v>
      </c>
      <c r="G30" s="73" t="s">
        <v>132</v>
      </c>
      <c r="H30" s="55" t="s">
        <v>128</v>
      </c>
      <c r="L30" s="73" t="s">
        <v>134</v>
      </c>
      <c r="O30" s="55" t="s">
        <v>127</v>
      </c>
    </row>
    <row r="31" spans="1:15" x14ac:dyDescent="0.35">
      <c r="F31" s="73" t="s">
        <v>135</v>
      </c>
      <c r="G31" s="73" t="s">
        <v>135</v>
      </c>
      <c r="H31" s="55" t="s">
        <v>129</v>
      </c>
      <c r="L31" s="51" t="s">
        <v>136</v>
      </c>
      <c r="O31" s="55" t="s">
        <v>128</v>
      </c>
    </row>
    <row r="32" spans="1:15" x14ac:dyDescent="0.35">
      <c r="F32" s="51" t="s">
        <v>136</v>
      </c>
      <c r="H32" s="55" t="s">
        <v>130</v>
      </c>
      <c r="O32" s="73" t="s">
        <v>131</v>
      </c>
    </row>
    <row r="33" spans="8:15" x14ac:dyDescent="0.35">
      <c r="H33" s="73" t="s">
        <v>132</v>
      </c>
      <c r="O33" s="73" t="s">
        <v>132</v>
      </c>
    </row>
    <row r="34" spans="8:15" x14ac:dyDescent="0.35">
      <c r="H34" s="73" t="s">
        <v>134</v>
      </c>
      <c r="O34" s="73" t="s">
        <v>133</v>
      </c>
    </row>
    <row r="35" spans="8:15" x14ac:dyDescent="0.35">
      <c r="O35" s="73" t="s">
        <v>134</v>
      </c>
    </row>
  </sheetData>
  <mergeCells count="3">
    <mergeCell ref="A1:D1"/>
    <mergeCell ref="F1:I1"/>
    <mergeCell ref="L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AD9-28E5-47AA-B82A-776311E46CA1}">
  <sheetPr>
    <tabColor rgb="FF00B050"/>
  </sheetPr>
  <dimension ref="A1:AF54"/>
  <sheetViews>
    <sheetView topLeftCell="T22" workbookViewId="0">
      <selection activeCell="T14" sqref="T14:AB14"/>
    </sheetView>
  </sheetViews>
  <sheetFormatPr defaultRowHeight="14.5" x14ac:dyDescent="0.35"/>
  <cols>
    <col min="1" max="1" width="20.1796875" bestFit="1" customWidth="1"/>
    <col min="2" max="2" width="17.26953125" bestFit="1" customWidth="1"/>
    <col min="16" max="16" width="17.81640625" bestFit="1" customWidth="1"/>
    <col min="17" max="17" width="27.26953125" style="121" bestFit="1" customWidth="1"/>
    <col min="18" max="18" width="28.36328125" style="121" bestFit="1" customWidth="1"/>
    <col min="19" max="19" width="27.26953125" style="121" bestFit="1" customWidth="1"/>
    <col min="20" max="21" width="27.6328125" style="121" bestFit="1" customWidth="1"/>
    <col min="22" max="22" width="27.26953125" style="121" bestFit="1" customWidth="1"/>
    <col min="23" max="23" width="27.6328125" style="121" bestFit="1" customWidth="1"/>
    <col min="24" max="25" width="28.36328125" style="121" bestFit="1" customWidth="1"/>
    <col min="26" max="26" width="27.6328125" style="121" bestFit="1" customWidth="1"/>
    <col min="27" max="28" width="28.36328125" style="121" bestFit="1" customWidth="1"/>
  </cols>
  <sheetData>
    <row r="1" spans="1:32" x14ac:dyDescent="0.35">
      <c r="A1">
        <v>0</v>
      </c>
      <c r="B1" s="1"/>
      <c r="C1" s="1" t="s">
        <v>7</v>
      </c>
      <c r="D1" s="1" t="s">
        <v>7</v>
      </c>
      <c r="E1" s="1" t="s">
        <v>7</v>
      </c>
      <c r="F1" s="1" t="s">
        <v>9</v>
      </c>
      <c r="G1" s="1" t="s">
        <v>9</v>
      </c>
      <c r="H1" s="1" t="s">
        <v>9</v>
      </c>
      <c r="I1" s="1" t="s">
        <v>8</v>
      </c>
      <c r="J1" s="1" t="s">
        <v>8</v>
      </c>
      <c r="K1" s="1" t="s">
        <v>8</v>
      </c>
      <c r="L1" s="1" t="s">
        <v>10</v>
      </c>
      <c r="M1" s="1" t="s">
        <v>10</v>
      </c>
      <c r="N1" s="1" t="s">
        <v>10</v>
      </c>
      <c r="Q1" s="88" t="s">
        <v>7</v>
      </c>
      <c r="R1" s="88" t="s">
        <v>7</v>
      </c>
      <c r="S1" s="88" t="s">
        <v>7</v>
      </c>
      <c r="T1" s="88" t="s">
        <v>9</v>
      </c>
      <c r="U1" s="88" t="s">
        <v>9</v>
      </c>
      <c r="V1" s="88" t="s">
        <v>9</v>
      </c>
      <c r="W1" s="88" t="s">
        <v>8</v>
      </c>
      <c r="X1" s="88" t="s">
        <v>8</v>
      </c>
      <c r="Y1" s="88" t="s">
        <v>8</v>
      </c>
      <c r="Z1" s="88" t="s">
        <v>10</v>
      </c>
      <c r="AA1" s="88" t="s">
        <v>10</v>
      </c>
      <c r="AB1" s="88" t="s">
        <v>10</v>
      </c>
    </row>
    <row r="2" spans="1:32" x14ac:dyDescent="0.35">
      <c r="A2" t="s">
        <v>45</v>
      </c>
      <c r="B2" s="31"/>
      <c r="C2" s="31" t="s">
        <v>4</v>
      </c>
      <c r="D2" s="31" t="s">
        <v>5</v>
      </c>
      <c r="E2" s="31" t="s">
        <v>6</v>
      </c>
      <c r="F2" s="31" t="s">
        <v>4</v>
      </c>
      <c r="G2" s="31" t="s">
        <v>5</v>
      </c>
      <c r="H2" s="31" t="s">
        <v>6</v>
      </c>
      <c r="I2" s="31" t="s">
        <v>4</v>
      </c>
      <c r="J2" s="31" t="s">
        <v>5</v>
      </c>
      <c r="K2" s="31" t="s">
        <v>6</v>
      </c>
      <c r="L2" s="31" t="s">
        <v>4</v>
      </c>
      <c r="M2" s="31" t="s">
        <v>5</v>
      </c>
      <c r="N2" s="31" t="s">
        <v>6</v>
      </c>
      <c r="Q2" s="89" t="s">
        <v>4</v>
      </c>
      <c r="R2" s="89" t="s">
        <v>5</v>
      </c>
      <c r="S2" s="89" t="s">
        <v>6</v>
      </c>
      <c r="T2" s="89" t="s">
        <v>4</v>
      </c>
      <c r="U2" s="89" t="s">
        <v>5</v>
      </c>
      <c r="V2" s="89" t="s">
        <v>6</v>
      </c>
      <c r="W2" s="89" t="s">
        <v>4</v>
      </c>
      <c r="X2" s="89" t="s">
        <v>5</v>
      </c>
      <c r="Y2" s="89" t="s">
        <v>6</v>
      </c>
      <c r="Z2" s="89" t="s">
        <v>4</v>
      </c>
      <c r="AA2" s="89" t="s">
        <v>5</v>
      </c>
      <c r="AB2" s="89" t="s">
        <v>6</v>
      </c>
    </row>
    <row r="3" spans="1:32" x14ac:dyDescent="0.35">
      <c r="A3" s="20" t="s">
        <v>46</v>
      </c>
      <c r="B3" s="32" t="s">
        <v>32</v>
      </c>
      <c r="C3" s="20">
        <v>6.1112744934414411E-2</v>
      </c>
      <c r="D3" s="20">
        <v>1</v>
      </c>
      <c r="E3" s="20">
        <v>1</v>
      </c>
      <c r="F3" s="20">
        <v>0.23698086456375611</v>
      </c>
      <c r="G3" s="20">
        <v>5.2515725500884958E-2</v>
      </c>
      <c r="H3" s="20">
        <v>0.68790182259992472</v>
      </c>
      <c r="I3" s="20">
        <v>0.51503036448818196</v>
      </c>
      <c r="J3" s="20">
        <v>0.6837287171426143</v>
      </c>
      <c r="K3" s="20">
        <v>0.12748966132940071</v>
      </c>
      <c r="L3" s="20">
        <v>1.9053548193704001E-2</v>
      </c>
      <c r="M3" s="20">
        <v>0.51271458465071473</v>
      </c>
      <c r="N3" s="20">
        <v>0.6354901868468299</v>
      </c>
      <c r="O3" s="20"/>
      <c r="P3" s="1" t="str" cm="1">
        <f t="array" ref="P3:P15">_xlfn.UNIQUE(B3:B54)</f>
        <v>Stem</v>
      </c>
      <c r="Q3" s="128"/>
      <c r="R3" s="128"/>
      <c r="S3" s="128"/>
      <c r="T3" s="88" t="s">
        <v>50</v>
      </c>
      <c r="U3" s="128"/>
      <c r="V3" s="128"/>
      <c r="W3" s="128"/>
      <c r="X3" s="128"/>
      <c r="Y3" s="128"/>
      <c r="Z3" s="88" t="s">
        <v>50</v>
      </c>
      <c r="AA3" s="128"/>
      <c r="AB3" s="128"/>
      <c r="AC3" s="1"/>
      <c r="AD3" s="1"/>
      <c r="AE3" s="1"/>
      <c r="AF3" s="1"/>
    </row>
    <row r="4" spans="1:32" x14ac:dyDescent="0.35">
      <c r="A4" s="16" t="s">
        <v>47</v>
      </c>
      <c r="B4" s="16" t="s">
        <v>33</v>
      </c>
      <c r="C4" s="16">
        <v>1.2551204111500489E-4</v>
      </c>
      <c r="D4" s="16">
        <v>0.86280388643582817</v>
      </c>
      <c r="E4" s="16">
        <v>0.90645347017408007</v>
      </c>
      <c r="F4" s="16">
        <v>1.3842638494642849E-5</v>
      </c>
      <c r="G4" s="16">
        <v>4.4907133435382003E-2</v>
      </c>
      <c r="H4" s="16">
        <v>0.99999995130455599</v>
      </c>
      <c r="I4" s="17">
        <v>1.682231284959967E-4</v>
      </c>
      <c r="J4" s="16">
        <v>0.96025424856792696</v>
      </c>
      <c r="K4" s="16">
        <v>0.99999999971479081</v>
      </c>
      <c r="L4" s="16">
        <v>1.348421393509673E-8</v>
      </c>
      <c r="M4" s="16">
        <v>0.72763149274820915</v>
      </c>
      <c r="N4" s="16">
        <v>0.99999999999999956</v>
      </c>
      <c r="O4" s="16"/>
      <c r="P4" s="1" t="str">
        <v>Inverted Residue 1</v>
      </c>
      <c r="Q4" s="88" t="s">
        <v>50</v>
      </c>
      <c r="R4" s="88" t="s">
        <v>50</v>
      </c>
      <c r="S4" s="128"/>
      <c r="T4" s="129"/>
      <c r="U4" s="88" t="s">
        <v>51</v>
      </c>
      <c r="V4" s="88" t="s">
        <v>52</v>
      </c>
      <c r="W4" s="88" t="s">
        <v>52</v>
      </c>
      <c r="X4" s="88" t="s">
        <v>51</v>
      </c>
      <c r="Y4" s="88" t="s">
        <v>52</v>
      </c>
      <c r="Z4" s="88" t="s">
        <v>51</v>
      </c>
      <c r="AA4" s="88" t="s">
        <v>51</v>
      </c>
      <c r="AB4" s="128"/>
      <c r="AC4" s="1"/>
      <c r="AD4" s="1"/>
      <c r="AE4" s="1"/>
      <c r="AF4" s="1"/>
    </row>
    <row r="5" spans="1:32" x14ac:dyDescent="0.35">
      <c r="A5" s="16" t="s">
        <v>48</v>
      </c>
      <c r="B5" s="16" t="s">
        <v>33</v>
      </c>
      <c r="C5" s="16">
        <v>1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/>
      <c r="P5" s="1" t="str">
        <v>Inverted Residue 2</v>
      </c>
      <c r="Q5" s="121" t="s">
        <v>51</v>
      </c>
      <c r="R5" s="88" t="s">
        <v>53</v>
      </c>
      <c r="S5" s="128"/>
      <c r="T5" s="88" t="s">
        <v>56</v>
      </c>
      <c r="U5" s="129"/>
      <c r="V5" s="129"/>
      <c r="W5" s="88" t="s">
        <v>55</v>
      </c>
      <c r="X5" s="129"/>
      <c r="Y5" s="128"/>
      <c r="Z5" s="88" t="s">
        <v>56</v>
      </c>
      <c r="AA5" s="129"/>
      <c r="AB5" s="128"/>
      <c r="AC5" s="1"/>
      <c r="AD5" s="1"/>
      <c r="AE5" s="1"/>
      <c r="AF5" s="1"/>
    </row>
    <row r="6" spans="1:32" x14ac:dyDescent="0.35">
      <c r="A6" s="16" t="s">
        <v>49</v>
      </c>
      <c r="B6" s="16" t="s">
        <v>33</v>
      </c>
      <c r="C6" s="16">
        <v>0.99983177687150404</v>
      </c>
      <c r="D6" s="16">
        <v>0.99705135870899886</v>
      </c>
      <c r="E6" s="16">
        <v>1</v>
      </c>
      <c r="F6" s="16">
        <v>0.99816142786523809</v>
      </c>
      <c r="G6" s="16">
        <v>0.98419030824746367</v>
      </c>
      <c r="H6" s="16">
        <v>1</v>
      </c>
      <c r="I6" s="16">
        <v>0.99983177687150404</v>
      </c>
      <c r="J6" s="16">
        <v>0.99877962679942434</v>
      </c>
      <c r="K6" s="16">
        <v>1</v>
      </c>
      <c r="L6" s="16">
        <v>0.99983177687150404</v>
      </c>
      <c r="M6" s="16">
        <v>0.99877962679942434</v>
      </c>
      <c r="N6" s="16">
        <v>1</v>
      </c>
      <c r="O6" s="16"/>
      <c r="P6" s="1" t="str">
        <v>Inverted Residue 3</v>
      </c>
      <c r="Q6" s="88" t="s">
        <v>56</v>
      </c>
      <c r="R6" s="88" t="s">
        <v>55</v>
      </c>
      <c r="S6" s="128"/>
      <c r="T6" s="88" t="s">
        <v>58</v>
      </c>
      <c r="U6" s="88" t="s">
        <v>57</v>
      </c>
      <c r="V6" s="88" t="s">
        <v>58</v>
      </c>
      <c r="W6" s="88" t="s">
        <v>58</v>
      </c>
      <c r="X6" s="129"/>
      <c r="Y6" s="88" t="s">
        <v>60</v>
      </c>
      <c r="Z6" s="88" t="s">
        <v>58</v>
      </c>
      <c r="AA6" s="88" t="s">
        <v>57</v>
      </c>
      <c r="AB6" s="88" t="s">
        <v>58</v>
      </c>
      <c r="AC6" s="1"/>
      <c r="AD6" s="1"/>
      <c r="AE6" s="1"/>
      <c r="AF6" s="1"/>
    </row>
    <row r="7" spans="1:32" x14ac:dyDescent="0.35">
      <c r="A7" s="16" t="s">
        <v>50</v>
      </c>
      <c r="B7" s="16" t="s">
        <v>33</v>
      </c>
      <c r="C7" s="17">
        <v>3.8989699383371863E-14</v>
      </c>
      <c r="D7" s="17">
        <v>7.773941077768152E-11</v>
      </c>
      <c r="E7" s="16">
        <v>0.99999999999998801</v>
      </c>
      <c r="F7" s="17">
        <v>4.8695444035950358E-8</v>
      </c>
      <c r="G7" s="17">
        <v>3.402815753304427E-10</v>
      </c>
      <c r="H7" s="16">
        <v>1</v>
      </c>
      <c r="I7" s="16">
        <v>8.7576396766929094E-3</v>
      </c>
      <c r="J7" s="17">
        <v>1.9797325263251729E-22</v>
      </c>
      <c r="K7" s="16">
        <v>1</v>
      </c>
      <c r="L7" s="17">
        <v>2.1930268365218381E-13</v>
      </c>
      <c r="M7" s="17">
        <v>1.479832155624119E-10</v>
      </c>
      <c r="N7" s="16">
        <v>1</v>
      </c>
      <c r="O7" s="16"/>
      <c r="P7" s="1" t="str">
        <v>Inverted Residue .4</v>
      </c>
      <c r="Q7" s="88" t="s">
        <v>58</v>
      </c>
      <c r="R7" s="88" t="s">
        <v>57</v>
      </c>
      <c r="S7" s="128"/>
      <c r="T7" s="88" t="s">
        <v>66</v>
      </c>
      <c r="U7" s="129"/>
      <c r="V7" s="88" t="s">
        <v>63</v>
      </c>
      <c r="W7" s="88" t="s">
        <v>64</v>
      </c>
      <c r="X7" s="88" t="s">
        <v>66</v>
      </c>
      <c r="Y7" s="128"/>
      <c r="Z7" s="88" t="s">
        <v>62</v>
      </c>
      <c r="AA7" s="88" t="s">
        <v>66</v>
      </c>
      <c r="AB7" s="88" t="s">
        <v>63</v>
      </c>
      <c r="AC7" s="1"/>
      <c r="AD7" s="1"/>
      <c r="AE7" s="1"/>
      <c r="AF7" s="1"/>
    </row>
    <row r="8" spans="1:32" x14ac:dyDescent="0.35">
      <c r="A8" s="21" t="s">
        <v>51</v>
      </c>
      <c r="B8" s="33" t="s">
        <v>34</v>
      </c>
      <c r="C8" s="17">
        <v>2.820711655906156E-11</v>
      </c>
      <c r="D8" s="21">
        <v>2.9804535640973499E-16</v>
      </c>
      <c r="E8" s="21">
        <v>0.99997328140396202</v>
      </c>
      <c r="F8" s="21">
        <v>8.6972830393244492E-4</v>
      </c>
      <c r="G8" s="17">
        <v>2.2479212144743419E-17</v>
      </c>
      <c r="H8" s="21">
        <v>1</v>
      </c>
      <c r="I8" s="21">
        <v>8.7576396766929094E-3</v>
      </c>
      <c r="J8" s="17">
        <v>8.9658728957199553E-39</v>
      </c>
      <c r="K8" s="21">
        <v>1</v>
      </c>
      <c r="L8" s="17">
        <v>2.2443084356065412E-9</v>
      </c>
      <c r="M8" s="17">
        <v>8.2836110889446232E-27</v>
      </c>
      <c r="N8" s="21">
        <v>1</v>
      </c>
      <c r="O8" s="21"/>
      <c r="P8" s="1" t="str">
        <v>Inverted Residue .5</v>
      </c>
      <c r="Q8" s="88" t="s">
        <v>62</v>
      </c>
      <c r="R8" s="128"/>
      <c r="S8" s="88" t="s">
        <v>63</v>
      </c>
      <c r="T8" s="129"/>
      <c r="U8" s="129"/>
      <c r="V8" s="88" t="s">
        <v>67</v>
      </c>
      <c r="W8" s="88" t="s">
        <v>71</v>
      </c>
      <c r="X8" s="129"/>
      <c r="Y8" s="88" t="s">
        <v>71</v>
      </c>
      <c r="Z8" s="88" t="s">
        <v>71</v>
      </c>
      <c r="AA8" s="129"/>
      <c r="AB8" s="88" t="s">
        <v>70</v>
      </c>
      <c r="AC8" s="1"/>
      <c r="AD8" s="1"/>
      <c r="AE8" s="1"/>
      <c r="AF8" s="1"/>
    </row>
    <row r="9" spans="1:32" x14ac:dyDescent="0.35">
      <c r="A9" s="21" t="s">
        <v>52</v>
      </c>
      <c r="B9" s="33" t="s">
        <v>34</v>
      </c>
      <c r="C9" s="21">
        <v>4.6298355537997774E-3</v>
      </c>
      <c r="D9" s="21">
        <v>1.1598697554267099E-17</v>
      </c>
      <c r="E9" s="21">
        <v>1</v>
      </c>
      <c r="F9" s="21">
        <v>1.2551204111500489E-4</v>
      </c>
      <c r="G9" s="21">
        <v>4.8695444035950358E-8</v>
      </c>
      <c r="H9" s="17">
        <v>1.2949402305475899E-50</v>
      </c>
      <c r="I9" s="17">
        <v>5.140143795173258E-4</v>
      </c>
      <c r="J9" s="21">
        <v>1.5757444469028781E-14</v>
      </c>
      <c r="K9" s="17">
        <v>1.6453224167204381E-27</v>
      </c>
      <c r="L9" s="21">
        <v>3.2352956527301337E-2</v>
      </c>
      <c r="M9" s="21">
        <v>2.4571613899838639E-21</v>
      </c>
      <c r="N9" s="21">
        <v>0.99761418592448126</v>
      </c>
      <c r="O9" s="21"/>
      <c r="P9" s="1" t="str">
        <v>Inverted Residue .6</v>
      </c>
      <c r="Q9" s="88" t="s">
        <v>71</v>
      </c>
      <c r="R9" s="88" t="s">
        <v>70</v>
      </c>
      <c r="S9" s="88" t="s">
        <v>70</v>
      </c>
      <c r="T9" s="88" t="s">
        <v>72</v>
      </c>
      <c r="U9" s="88" t="s">
        <v>72</v>
      </c>
      <c r="V9" s="88" t="s">
        <v>72</v>
      </c>
      <c r="W9" s="88" t="s">
        <v>72</v>
      </c>
      <c r="X9" s="88" t="s">
        <v>72</v>
      </c>
      <c r="Y9" s="88" t="s">
        <v>75</v>
      </c>
      <c r="Z9" s="88" t="s">
        <v>72</v>
      </c>
      <c r="AA9" s="88" t="s">
        <v>72</v>
      </c>
      <c r="AB9" s="88" t="s">
        <v>75</v>
      </c>
      <c r="AC9" s="1"/>
      <c r="AD9" s="1"/>
      <c r="AE9" s="1"/>
      <c r="AF9" s="1"/>
    </row>
    <row r="10" spans="1:32" x14ac:dyDescent="0.35">
      <c r="A10" s="21" t="s">
        <v>53</v>
      </c>
      <c r="B10" s="33" t="s">
        <v>34</v>
      </c>
      <c r="C10" s="21">
        <v>8.6972830393244492E-4</v>
      </c>
      <c r="D10" s="17">
        <v>3.3845026632262342E-39</v>
      </c>
      <c r="E10" s="21">
        <v>0.99999999999999967</v>
      </c>
      <c r="F10" s="21">
        <v>0.73913038672604903</v>
      </c>
      <c r="G10" s="21">
        <v>9.3132563399741616E-5</v>
      </c>
      <c r="H10" s="21">
        <v>2.66113438101818E-22</v>
      </c>
      <c r="I10" s="21">
        <v>0.71406108938773216</v>
      </c>
      <c r="J10" s="21">
        <v>1.9853821643737031E-4</v>
      </c>
      <c r="K10" s="21">
        <v>1</v>
      </c>
      <c r="L10" s="21">
        <v>0.4849696355118181</v>
      </c>
      <c r="M10" s="21">
        <v>0.14639725818087859</v>
      </c>
      <c r="N10" s="21">
        <v>1.8807497242705841E-2</v>
      </c>
      <c r="O10" s="21"/>
      <c r="P10" s="1" t="str">
        <v>Inverted Residue .7</v>
      </c>
      <c r="Q10" s="88" t="s">
        <v>73</v>
      </c>
      <c r="R10" s="88" t="s">
        <v>73</v>
      </c>
      <c r="S10" s="129"/>
      <c r="T10" s="88" t="s">
        <v>81</v>
      </c>
      <c r="U10" s="88" t="s">
        <v>78</v>
      </c>
      <c r="V10" s="88" t="s">
        <v>80</v>
      </c>
      <c r="W10" s="88" t="s">
        <v>81</v>
      </c>
      <c r="X10" s="88" t="s">
        <v>79</v>
      </c>
      <c r="Y10" s="128"/>
      <c r="Z10" s="129"/>
      <c r="AA10" s="88" t="s">
        <v>79</v>
      </c>
      <c r="AB10" s="128"/>
      <c r="AC10" s="1"/>
      <c r="AD10" s="1"/>
      <c r="AE10" s="1"/>
      <c r="AF10" s="1"/>
    </row>
    <row r="11" spans="1:32" x14ac:dyDescent="0.35">
      <c r="A11" s="22" t="s">
        <v>54</v>
      </c>
      <c r="B11" s="34" t="s">
        <v>35</v>
      </c>
      <c r="C11" s="22">
        <v>2.9486412910011898E-3</v>
      </c>
      <c r="D11" s="22">
        <v>0.86280388643582817</v>
      </c>
      <c r="E11" s="22">
        <v>0.9999999913119948</v>
      </c>
      <c r="F11" s="22">
        <v>2.284636495568472E-2</v>
      </c>
      <c r="G11" s="22">
        <v>0.9999999999717929</v>
      </c>
      <c r="H11" s="22">
        <v>1.113695060809213E-7</v>
      </c>
      <c r="I11" s="22">
        <v>0.33924030681285811</v>
      </c>
      <c r="J11" s="22">
        <v>0.99999999999999045</v>
      </c>
      <c r="K11" s="22">
        <v>0.36450981315316999</v>
      </c>
      <c r="L11" s="22">
        <v>0.15443289176760841</v>
      </c>
      <c r="M11" s="22">
        <v>0.99999999999997413</v>
      </c>
      <c r="N11" s="22">
        <v>2.041926604386071E-3</v>
      </c>
      <c r="O11" s="22"/>
      <c r="P11" s="1" t="str">
        <v>Inverted Residue .8</v>
      </c>
      <c r="Q11" s="121" t="s">
        <v>77</v>
      </c>
      <c r="R11" s="88" t="s">
        <v>79</v>
      </c>
      <c r="S11" s="88" t="s">
        <v>77</v>
      </c>
      <c r="T11" s="88" t="s">
        <v>84</v>
      </c>
      <c r="U11" s="88" t="s">
        <v>82</v>
      </c>
      <c r="V11" s="88" t="s">
        <v>84</v>
      </c>
      <c r="W11" s="88" t="s">
        <v>86</v>
      </c>
      <c r="X11" s="88" t="s">
        <v>83</v>
      </c>
      <c r="Y11" s="128"/>
      <c r="Z11" s="88" t="s">
        <v>86</v>
      </c>
      <c r="AA11" s="88" t="s">
        <v>86</v>
      </c>
      <c r="AB11" s="128"/>
      <c r="AC11" s="1"/>
      <c r="AD11" s="1"/>
      <c r="AE11" s="1"/>
      <c r="AF11" s="1"/>
    </row>
    <row r="12" spans="1:32" x14ac:dyDescent="0.35">
      <c r="A12" s="22" t="s">
        <v>55</v>
      </c>
      <c r="B12" s="34" t="s">
        <v>35</v>
      </c>
      <c r="C12" s="22">
        <v>1.5346390564693779E-18</v>
      </c>
      <c r="D12" s="17">
        <v>1.918859589311014E-19</v>
      </c>
      <c r="E12" s="22">
        <v>1</v>
      </c>
      <c r="F12" s="22">
        <v>1.113695060809213E-7</v>
      </c>
      <c r="G12" s="22">
        <v>0.86280388643582817</v>
      </c>
      <c r="H12" s="22">
        <v>0.99994956179441508</v>
      </c>
      <c r="I12" s="17">
        <v>1.9285241824994172E-5</v>
      </c>
      <c r="J12" s="22">
        <v>0.99974747758041316</v>
      </c>
      <c r="K12" s="22">
        <v>1</v>
      </c>
      <c r="L12" s="22">
        <v>3.2352956527301337E-2</v>
      </c>
      <c r="M12" s="22">
        <v>0.99901426546769834</v>
      </c>
      <c r="N12" s="22">
        <v>1</v>
      </c>
      <c r="O12" s="22"/>
      <c r="P12" s="1" t="str">
        <v>Inverted Residue .9</v>
      </c>
      <c r="Q12" s="88" t="s">
        <v>85</v>
      </c>
      <c r="R12" s="88" t="s">
        <v>82</v>
      </c>
      <c r="S12" s="88" t="s">
        <v>85</v>
      </c>
      <c r="T12" s="88" t="s">
        <v>91</v>
      </c>
      <c r="U12" s="88" t="s">
        <v>88</v>
      </c>
      <c r="V12" s="88" t="s">
        <v>91</v>
      </c>
      <c r="W12" s="88" t="s">
        <v>91</v>
      </c>
      <c r="X12" s="88" t="s">
        <v>91</v>
      </c>
      <c r="Y12" s="88" t="s">
        <v>91</v>
      </c>
      <c r="Z12" s="88" t="s">
        <v>91</v>
      </c>
      <c r="AA12" s="88" t="s">
        <v>91</v>
      </c>
      <c r="AB12" s="88" t="s">
        <v>91</v>
      </c>
      <c r="AC12" s="1"/>
      <c r="AD12" s="1"/>
      <c r="AE12" s="1"/>
      <c r="AF12" s="1"/>
    </row>
    <row r="13" spans="1:32" x14ac:dyDescent="0.35">
      <c r="A13" s="22" t="s">
        <v>56</v>
      </c>
      <c r="B13" s="34" t="s">
        <v>35</v>
      </c>
      <c r="C13" s="17">
        <v>5.6723166494676379E-22</v>
      </c>
      <c r="D13" s="22">
        <v>3.5800149477577373E-15</v>
      </c>
      <c r="E13" s="22">
        <v>1</v>
      </c>
      <c r="F13" s="17">
        <v>1.168289654423001E-12</v>
      </c>
      <c r="G13" s="22">
        <v>0.99999999858720068</v>
      </c>
      <c r="H13" s="22">
        <v>6.3788292383545346E-34</v>
      </c>
      <c r="I13" s="22">
        <v>3.9196467388036299E-4</v>
      </c>
      <c r="J13" s="22">
        <v>0.99773664056901701</v>
      </c>
      <c r="K13" s="22">
        <v>0.51973547523924757</v>
      </c>
      <c r="L13" s="17">
        <v>1.240624711943028E-13</v>
      </c>
      <c r="M13" s="22">
        <v>0.1068727673786477</v>
      </c>
      <c r="N13" s="22">
        <v>1</v>
      </c>
      <c r="O13" s="22"/>
      <c r="P13" s="1" t="str">
        <v>Inverted Residue .10</v>
      </c>
      <c r="Q13" s="88" t="s">
        <v>88</v>
      </c>
      <c r="R13" s="88" t="s">
        <v>87</v>
      </c>
      <c r="T13" s="88" t="s">
        <v>92</v>
      </c>
      <c r="U13" s="88" t="s">
        <v>96</v>
      </c>
      <c r="V13" s="88" t="s">
        <v>96</v>
      </c>
      <c r="W13" s="88" t="s">
        <v>96</v>
      </c>
      <c r="X13" s="88" t="s">
        <v>93</v>
      </c>
      <c r="Y13" s="88" t="s">
        <v>94</v>
      </c>
      <c r="Z13" s="88" t="s">
        <v>96</v>
      </c>
      <c r="AA13" s="88" t="s">
        <v>96</v>
      </c>
      <c r="AB13" s="88" t="s">
        <v>96</v>
      </c>
      <c r="AC13" s="1"/>
      <c r="AD13" s="1"/>
      <c r="AE13" s="1"/>
      <c r="AF13" s="1"/>
    </row>
    <row r="14" spans="1:32" x14ac:dyDescent="0.35">
      <c r="A14" s="23" t="s">
        <v>57</v>
      </c>
      <c r="B14" s="20" t="s">
        <v>36</v>
      </c>
      <c r="C14" s="23">
        <v>3.6900608683083041E-7</v>
      </c>
      <c r="D14" s="17">
        <v>3.3845026632262342E-39</v>
      </c>
      <c r="E14" s="23">
        <v>1</v>
      </c>
      <c r="F14" s="23">
        <v>3.6812046908991251E-5</v>
      </c>
      <c r="G14" s="17">
        <v>3.9196467388036299E-4</v>
      </c>
      <c r="H14" s="30">
        <v>5.56384779736928E-73</v>
      </c>
      <c r="I14" s="23">
        <v>0.78565405479424744</v>
      </c>
      <c r="J14" s="23">
        <v>6.3577144909883129E-4</v>
      </c>
      <c r="K14" s="23">
        <v>1</v>
      </c>
      <c r="L14" s="23">
        <v>0.15443289176760841</v>
      </c>
      <c r="M14" s="17">
        <v>1.087998784664854E-5</v>
      </c>
      <c r="N14" s="23">
        <v>4.3467742682115106E-3</v>
      </c>
      <c r="O14" s="23"/>
      <c r="P14" s="1" t="str">
        <v>Inverted Residue .11</v>
      </c>
      <c r="Q14" s="88" t="s">
        <v>96</v>
      </c>
      <c r="R14" s="88" t="s">
        <v>95</v>
      </c>
      <c r="S14" s="88" t="s">
        <v>92</v>
      </c>
      <c r="T14" s="128"/>
      <c r="U14" s="128"/>
      <c r="V14" s="128"/>
      <c r="W14" s="128"/>
      <c r="X14" s="128"/>
      <c r="Y14" s="128"/>
      <c r="Z14" s="128"/>
      <c r="AA14" s="128"/>
      <c r="AB14" s="128"/>
      <c r="AC14" s="1"/>
      <c r="AD14" s="1"/>
      <c r="AE14" s="1"/>
      <c r="AF14" s="1"/>
    </row>
    <row r="15" spans="1:32" x14ac:dyDescent="0.35">
      <c r="A15" s="23" t="s">
        <v>58</v>
      </c>
      <c r="B15" s="20" t="s">
        <v>36</v>
      </c>
      <c r="C15" s="17">
        <v>8.2873783617900435E-17</v>
      </c>
      <c r="D15" s="23">
        <v>4.6298355537997774E-3</v>
      </c>
      <c r="E15" s="23">
        <v>1</v>
      </c>
      <c r="F15" s="17">
        <v>4.1928894555716279E-26</v>
      </c>
      <c r="G15" s="23">
        <v>0.99999999999999944</v>
      </c>
      <c r="H15" s="17">
        <v>6.4993528801190209E-86</v>
      </c>
      <c r="I15" s="17">
        <v>4.6487864535216721E-20</v>
      </c>
      <c r="J15" s="23">
        <v>0.99999999985201682</v>
      </c>
      <c r="K15" s="23">
        <v>1</v>
      </c>
      <c r="L15" s="17">
        <v>7.7224614927399764E-19</v>
      </c>
      <c r="M15" s="23">
        <v>0.99999999924530059</v>
      </c>
      <c r="N15" s="17">
        <v>9.4491744232742963E-23</v>
      </c>
      <c r="O15" s="17"/>
      <c r="P15" s="1" t="str">
        <v>Inverted Residue .12</v>
      </c>
      <c r="Q15" s="88" t="s">
        <v>97</v>
      </c>
      <c r="R15" s="88" t="s">
        <v>97</v>
      </c>
      <c r="S15" s="88"/>
      <c r="T15" s="88" t="s">
        <v>97</v>
      </c>
      <c r="U15" s="88" t="s">
        <v>97</v>
      </c>
      <c r="V15" s="88"/>
      <c r="W15" s="88" t="s">
        <v>97</v>
      </c>
      <c r="X15" s="88" t="s">
        <v>97</v>
      </c>
      <c r="Y15" s="88" t="s">
        <v>97</v>
      </c>
      <c r="Z15" s="88" t="s">
        <v>97</v>
      </c>
      <c r="AA15" s="88" t="s">
        <v>97</v>
      </c>
      <c r="AB15" s="88"/>
      <c r="AC15" s="1"/>
      <c r="AD15" s="1"/>
      <c r="AE15" s="1"/>
      <c r="AF15" s="1"/>
    </row>
    <row r="16" spans="1:32" x14ac:dyDescent="0.35">
      <c r="A16" s="23" t="s">
        <v>59</v>
      </c>
      <c r="B16" s="20" t="s">
        <v>36</v>
      </c>
      <c r="C16" s="23">
        <v>0.57522490634277323</v>
      </c>
      <c r="D16" s="23">
        <v>0.20053099551396869</v>
      </c>
      <c r="E16" s="23">
        <v>0.92955228820075964</v>
      </c>
      <c r="F16" s="23">
        <v>0.57522490634277323</v>
      </c>
      <c r="G16" s="23">
        <v>0.86878123214447811</v>
      </c>
      <c r="H16" s="23">
        <v>0.114402770617178</v>
      </c>
      <c r="I16" s="23">
        <v>0.57522490634277323</v>
      </c>
      <c r="J16" s="23">
        <v>0.99768685303905225</v>
      </c>
      <c r="K16" s="23">
        <v>2.7680125819489068E-3</v>
      </c>
      <c r="L16" s="23">
        <v>0.57522490634277323</v>
      </c>
      <c r="M16" s="23">
        <v>0.99768685303905225</v>
      </c>
      <c r="N16" s="23">
        <v>0.99843719446686263</v>
      </c>
      <c r="O16" s="23"/>
      <c r="P16" s="1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1"/>
      <c r="AD16" s="1"/>
      <c r="AE16" s="1"/>
      <c r="AF16" s="1"/>
    </row>
    <row r="17" spans="1:32" x14ac:dyDescent="0.35">
      <c r="A17" s="23" t="s">
        <v>60</v>
      </c>
      <c r="B17" s="20" t="s">
        <v>36</v>
      </c>
      <c r="C17" s="23">
        <v>0.9676470434726987</v>
      </c>
      <c r="D17" s="23">
        <v>0.36724284954996672</v>
      </c>
      <c r="E17" s="23">
        <v>1.122218591755879E-3</v>
      </c>
      <c r="F17" s="23">
        <v>0.93888725506558557</v>
      </c>
      <c r="G17" s="23">
        <v>0.36724284954996672</v>
      </c>
      <c r="H17" s="23">
        <v>9.8807434232840573E-6</v>
      </c>
      <c r="I17" s="23">
        <v>0.68790182259992472</v>
      </c>
      <c r="J17" s="23">
        <v>0.56331564741138507</v>
      </c>
      <c r="K17" s="17">
        <v>7.8832504818009139E-34</v>
      </c>
      <c r="L17" s="23">
        <v>7.0771444478710852E-2</v>
      </c>
      <c r="M17" s="23">
        <v>0.46190782651296952</v>
      </c>
      <c r="N17" s="23">
        <v>0.99999999999999989</v>
      </c>
      <c r="O17" s="23"/>
      <c r="P17" s="1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1"/>
      <c r="AD17" s="1"/>
      <c r="AE17" s="1"/>
      <c r="AF17" s="1"/>
    </row>
    <row r="18" spans="1:32" x14ac:dyDescent="0.35">
      <c r="A18" s="23" t="s">
        <v>61</v>
      </c>
      <c r="B18" s="20" t="s">
        <v>36</v>
      </c>
      <c r="C18" s="23">
        <v>1.168289654423001E-12</v>
      </c>
      <c r="D18" s="23">
        <v>0.84556710823239156</v>
      </c>
      <c r="E18" s="23">
        <v>0.99999999965971842</v>
      </c>
      <c r="F18" s="23">
        <v>5.6723166494676379E-22</v>
      </c>
      <c r="G18" s="23">
        <v>1</v>
      </c>
      <c r="H18" s="23">
        <v>4.0368089073880516E-40</v>
      </c>
      <c r="I18" s="23">
        <v>4.6966155646112112E-11</v>
      </c>
      <c r="J18" s="23">
        <v>0.90441242068569194</v>
      </c>
      <c r="K18" s="23">
        <v>1</v>
      </c>
      <c r="L18" s="23">
        <v>1.168289654423001E-12</v>
      </c>
      <c r="M18" s="23">
        <v>0.999943745209251</v>
      </c>
      <c r="N18" s="23">
        <v>8.746227021178405E-3</v>
      </c>
      <c r="O18" s="23"/>
      <c r="P18" s="1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1"/>
      <c r="AD18" s="1"/>
      <c r="AE18" s="1"/>
      <c r="AF18" s="1"/>
    </row>
    <row r="19" spans="1:32" x14ac:dyDescent="0.35">
      <c r="A19" s="18" t="s">
        <v>62</v>
      </c>
      <c r="B19" s="35" t="s">
        <v>37</v>
      </c>
      <c r="C19" s="17">
        <v>1.168289654423001E-12</v>
      </c>
      <c r="D19" s="18">
        <v>0.99999883845122339</v>
      </c>
      <c r="E19" s="18">
        <v>0.12132136960569349</v>
      </c>
      <c r="F19" s="18">
        <v>1.2551204111500489E-4</v>
      </c>
      <c r="G19" s="18">
        <v>0.99999999992226063</v>
      </c>
      <c r="H19" s="18">
        <v>0.99999999999999811</v>
      </c>
      <c r="I19" s="18">
        <v>4.6298355537997774E-3</v>
      </c>
      <c r="J19" s="18">
        <v>1</v>
      </c>
      <c r="K19" s="18">
        <v>1</v>
      </c>
      <c r="L19" s="17">
        <v>7.7224614927399764E-19</v>
      </c>
      <c r="M19" s="18">
        <v>0.99999902574657795</v>
      </c>
      <c r="N19" s="18">
        <v>0.83887463348315316</v>
      </c>
      <c r="O19" s="18"/>
      <c r="P19" s="1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1"/>
      <c r="AD19" s="1"/>
      <c r="AE19" s="1"/>
      <c r="AF19" s="1"/>
    </row>
    <row r="20" spans="1:32" x14ac:dyDescent="0.35">
      <c r="A20" s="18" t="s">
        <v>63</v>
      </c>
      <c r="B20" s="35" t="s">
        <v>37</v>
      </c>
      <c r="C20" s="18">
        <v>2.334560481166707E-3</v>
      </c>
      <c r="D20" s="18">
        <v>1</v>
      </c>
      <c r="E20" s="17">
        <v>7.7754249024820046E-38</v>
      </c>
      <c r="F20" s="18">
        <v>3.2352956527301337E-2</v>
      </c>
      <c r="G20" s="18">
        <v>1</v>
      </c>
      <c r="H20" s="17">
        <v>2.2443084356065412E-9</v>
      </c>
      <c r="I20" s="18">
        <v>0.1067839002741523</v>
      </c>
      <c r="J20" s="18">
        <v>1</v>
      </c>
      <c r="K20" s="18">
        <v>1</v>
      </c>
      <c r="L20" s="18">
        <v>5.5654150471749074E-9</v>
      </c>
      <c r="M20" s="18">
        <v>1</v>
      </c>
      <c r="N20" s="17">
        <v>1.4509042313489029E-131</v>
      </c>
      <c r="O20" s="17"/>
      <c r="P20" s="32" t="s">
        <v>32</v>
      </c>
      <c r="Q20" s="127" t="s">
        <v>11</v>
      </c>
      <c r="R20" s="127" t="s">
        <v>11</v>
      </c>
      <c r="S20" s="127" t="s">
        <v>11</v>
      </c>
      <c r="T20" s="127">
        <v>1.9E-2</v>
      </c>
      <c r="U20" s="127" t="s">
        <v>11</v>
      </c>
      <c r="V20" s="127" t="s">
        <v>11</v>
      </c>
      <c r="W20" s="127" t="s">
        <v>11</v>
      </c>
      <c r="X20" s="127" t="s">
        <v>11</v>
      </c>
      <c r="Y20" s="127" t="s">
        <v>11</v>
      </c>
      <c r="Z20" s="127">
        <v>1.9053548193704001E-2</v>
      </c>
      <c r="AA20" s="127" t="s">
        <v>11</v>
      </c>
      <c r="AB20" s="127"/>
      <c r="AC20" s="1"/>
      <c r="AD20" s="1"/>
      <c r="AE20" s="1"/>
      <c r="AF20" s="1"/>
    </row>
    <row r="21" spans="1:32" x14ac:dyDescent="0.35">
      <c r="A21" s="18" t="s">
        <v>64</v>
      </c>
      <c r="B21" s="35" t="s">
        <v>37</v>
      </c>
      <c r="C21" s="18">
        <v>0.99987448795888501</v>
      </c>
      <c r="D21" s="18">
        <v>1</v>
      </c>
      <c r="E21" s="18">
        <v>0.99816142786523809</v>
      </c>
      <c r="F21" s="18">
        <v>2.284636495568472E-2</v>
      </c>
      <c r="G21" s="18">
        <v>1</v>
      </c>
      <c r="H21" s="18">
        <v>0.98094645180629603</v>
      </c>
      <c r="I21" s="17">
        <v>8.8418329764702732E-10</v>
      </c>
      <c r="J21" s="18">
        <v>1</v>
      </c>
      <c r="K21" s="18">
        <v>1</v>
      </c>
      <c r="L21" s="18">
        <v>0.76301913543624389</v>
      </c>
      <c r="M21" s="18">
        <v>1</v>
      </c>
      <c r="N21" s="18">
        <v>4.3688962072540114E-46</v>
      </c>
      <c r="O21" s="18"/>
      <c r="P21" s="32" t="s">
        <v>33</v>
      </c>
      <c r="Q21" s="127">
        <v>3.8989699383371863E-14</v>
      </c>
      <c r="R21" s="127">
        <v>7.773941077768152E-11</v>
      </c>
      <c r="S21" s="127" t="s">
        <v>11</v>
      </c>
      <c r="T21" s="127">
        <v>4.8695444035950358E-8</v>
      </c>
      <c r="U21" s="127">
        <v>3.402815753304427E-10</v>
      </c>
      <c r="V21" s="127" t="s">
        <v>11</v>
      </c>
      <c r="W21" s="127">
        <v>1.682231284959967E-4</v>
      </c>
      <c r="X21" s="127">
        <v>1.9797325263251729E-22</v>
      </c>
      <c r="Y21" s="127" t="s">
        <v>11</v>
      </c>
      <c r="Z21" s="127">
        <v>2.1930268365218381E-13</v>
      </c>
      <c r="AA21" s="127">
        <v>1.479832155624119E-10</v>
      </c>
      <c r="AB21" s="127" t="s">
        <v>21</v>
      </c>
      <c r="AC21" s="1"/>
      <c r="AD21" s="1"/>
      <c r="AE21" s="1"/>
      <c r="AF21" s="1"/>
    </row>
    <row r="22" spans="1:32" x14ac:dyDescent="0.35">
      <c r="A22" s="18" t="s">
        <v>65</v>
      </c>
      <c r="B22" s="35" t="s">
        <v>37</v>
      </c>
      <c r="C22" s="18">
        <v>0.99999652535152628</v>
      </c>
      <c r="D22" s="18">
        <v>0.99999999998315936</v>
      </c>
      <c r="E22" s="18">
        <v>1</v>
      </c>
      <c r="F22" s="18">
        <v>0.99999999998315936</v>
      </c>
      <c r="G22" s="18">
        <v>1</v>
      </c>
      <c r="H22" s="18">
        <v>0.99999999999999645</v>
      </c>
      <c r="I22" s="18">
        <v>0.955092866564618</v>
      </c>
      <c r="J22" s="18">
        <v>1</v>
      </c>
      <c r="K22" s="18">
        <v>1</v>
      </c>
      <c r="L22" s="18">
        <v>0.99999999999978073</v>
      </c>
      <c r="M22" s="18">
        <v>1</v>
      </c>
      <c r="N22" s="18">
        <v>1</v>
      </c>
      <c r="O22" s="18"/>
      <c r="P22" s="32" t="s">
        <v>34</v>
      </c>
      <c r="Q22" s="127">
        <v>2.820711655906156E-11</v>
      </c>
      <c r="R22" s="127">
        <v>3.3845026632262342E-39</v>
      </c>
      <c r="S22" s="127" t="s">
        <v>11</v>
      </c>
      <c r="T22" s="127">
        <v>1.2551204111500489E-4</v>
      </c>
      <c r="U22" s="127">
        <v>2.2479212144743419E-17</v>
      </c>
      <c r="V22" s="127">
        <v>1.2949402305475899E-50</v>
      </c>
      <c r="W22" s="127">
        <v>5.140143795173258E-4</v>
      </c>
      <c r="X22" s="127">
        <v>8.9658728957199553E-39</v>
      </c>
      <c r="Y22" s="127">
        <v>1.6453224167204381E-27</v>
      </c>
      <c r="Z22" s="127">
        <v>2.2443084356065412E-9</v>
      </c>
      <c r="AA22" s="127">
        <v>8.2836110889446232E-27</v>
      </c>
      <c r="AB22" s="127">
        <v>1.8807497242705841E-2</v>
      </c>
      <c r="AC22" s="1"/>
      <c r="AD22" s="1"/>
      <c r="AE22" s="1"/>
      <c r="AF22" s="1"/>
    </row>
    <row r="23" spans="1:32" x14ac:dyDescent="0.35">
      <c r="A23" s="18" t="s">
        <v>66</v>
      </c>
      <c r="B23" s="35" t="s">
        <v>37</v>
      </c>
      <c r="C23" s="18">
        <v>1.9285241824994172E-5</v>
      </c>
      <c r="D23" s="18">
        <v>0.97715363504431529</v>
      </c>
      <c r="E23" s="18">
        <v>1</v>
      </c>
      <c r="F23" s="17">
        <v>3.1923094571434119E-8</v>
      </c>
      <c r="G23" s="18">
        <v>0.955092866564618</v>
      </c>
      <c r="H23" s="18">
        <v>1</v>
      </c>
      <c r="I23" s="18">
        <v>2.4893806564397472E-7</v>
      </c>
      <c r="J23" s="17">
        <v>1.220373200575612E-3</v>
      </c>
      <c r="K23" s="18">
        <v>1</v>
      </c>
      <c r="L23" s="18">
        <v>9.9948438318163314E-12</v>
      </c>
      <c r="M23" s="17">
        <v>3.3237267859549253E-8</v>
      </c>
      <c r="N23" s="18">
        <v>1</v>
      </c>
      <c r="O23" s="18"/>
      <c r="P23" s="32" t="s">
        <v>35</v>
      </c>
      <c r="Q23" s="127">
        <v>1.5346390564693779E-18</v>
      </c>
      <c r="R23" s="127">
        <v>1.918859589311014E-19</v>
      </c>
      <c r="S23" s="127" t="s">
        <v>11</v>
      </c>
      <c r="T23" s="127">
        <v>1.113695060809213E-7</v>
      </c>
      <c r="U23" s="127" t="s">
        <v>11</v>
      </c>
      <c r="V23" s="127">
        <v>1.113695060809213E-7</v>
      </c>
      <c r="W23" s="127">
        <v>1.9285241824994172E-5</v>
      </c>
      <c r="X23" s="127" t="s">
        <v>11</v>
      </c>
      <c r="Y23" s="127" t="s">
        <v>11</v>
      </c>
      <c r="Z23" s="127">
        <v>3.2352956527301337E-2</v>
      </c>
      <c r="AA23" s="127" t="s">
        <v>11</v>
      </c>
      <c r="AB23" s="127">
        <v>2.041926604386071E-3</v>
      </c>
      <c r="AC23" s="1"/>
      <c r="AD23" s="1"/>
      <c r="AE23" s="1"/>
      <c r="AF23" s="1"/>
    </row>
    <row r="24" spans="1:32" x14ac:dyDescent="0.35">
      <c r="A24" s="24" t="s">
        <v>67</v>
      </c>
      <c r="B24" s="36" t="s">
        <v>38</v>
      </c>
      <c r="C24" s="24">
        <v>3.1923094571434119E-8</v>
      </c>
      <c r="D24" s="24">
        <v>1</v>
      </c>
      <c r="E24" s="24">
        <v>0.99999988863049394</v>
      </c>
      <c r="F24" s="24">
        <v>0.76301913543624389</v>
      </c>
      <c r="G24" s="24">
        <v>1</v>
      </c>
      <c r="H24" s="17">
        <v>7.8319155503437783E-27</v>
      </c>
      <c r="I24" s="24">
        <v>0.99629541745891781</v>
      </c>
      <c r="J24" s="24">
        <v>0.99999999999988765</v>
      </c>
      <c r="K24" s="24">
        <v>0.86188756165359359</v>
      </c>
      <c r="L24" s="24">
        <v>0.99766543951883324</v>
      </c>
      <c r="M24" s="24">
        <v>1</v>
      </c>
      <c r="N24" s="24">
        <v>0.99999998936383228</v>
      </c>
      <c r="O24" s="24"/>
      <c r="P24" s="32" t="s">
        <v>36</v>
      </c>
      <c r="Q24" s="127">
        <v>8.2873783617900435E-17</v>
      </c>
      <c r="R24" s="127">
        <v>3.3845026632262342E-39</v>
      </c>
      <c r="S24" s="127">
        <v>1.122218591755879E-3</v>
      </c>
      <c r="T24" s="127">
        <v>4.1928894555716279E-26</v>
      </c>
      <c r="U24" s="127">
        <v>3.9196467388036299E-4</v>
      </c>
      <c r="V24" s="127">
        <v>6.4993528801190209E-86</v>
      </c>
      <c r="W24" s="127">
        <v>4.6487864535216721E-20</v>
      </c>
      <c r="X24" s="127">
        <v>6.3577144909883129E-4</v>
      </c>
      <c r="Y24" s="127">
        <v>7.8832504818009139E-34</v>
      </c>
      <c r="Z24" s="127">
        <v>7.7224614927399764E-19</v>
      </c>
      <c r="AA24" s="127">
        <v>1.087998784664854E-5</v>
      </c>
      <c r="AB24" s="127">
        <v>9.4491744232742963E-23</v>
      </c>
      <c r="AC24" s="1"/>
      <c r="AD24" s="1"/>
      <c r="AE24" s="1"/>
      <c r="AF24" s="1"/>
    </row>
    <row r="25" spans="1:32" x14ac:dyDescent="0.35">
      <c r="A25" s="24" t="s">
        <v>68</v>
      </c>
      <c r="B25" s="36" t="s">
        <v>38</v>
      </c>
      <c r="C25" s="24">
        <v>9.8807434232840573E-6</v>
      </c>
      <c r="D25" s="24">
        <v>0.99999999992226063</v>
      </c>
      <c r="E25" s="24">
        <v>0.99993127286383343</v>
      </c>
      <c r="F25" s="24">
        <v>0.99999999443458498</v>
      </c>
      <c r="G25" s="24">
        <v>1</v>
      </c>
      <c r="H25" s="24">
        <v>1.208205309470976E-23</v>
      </c>
      <c r="I25" s="24">
        <v>0.99999999999997835</v>
      </c>
      <c r="J25" s="24">
        <v>0.99999995254875329</v>
      </c>
      <c r="K25" s="24">
        <v>0.40228029459432979</v>
      </c>
      <c r="L25" s="24">
        <v>0.99999999999961464</v>
      </c>
      <c r="M25" s="24">
        <v>0.99999999924530059</v>
      </c>
      <c r="N25" s="24">
        <v>0.99999992530876447</v>
      </c>
      <c r="O25" s="24"/>
      <c r="P25" s="32" t="s">
        <v>37</v>
      </c>
      <c r="Q25" s="127">
        <v>1.168289654423001E-12</v>
      </c>
      <c r="R25" s="127" t="s">
        <v>11</v>
      </c>
      <c r="S25" s="127">
        <v>7.7754249024820046E-38</v>
      </c>
      <c r="T25" s="127">
        <v>3.1923094571434119E-8</v>
      </c>
      <c r="U25" s="127" t="s">
        <v>11</v>
      </c>
      <c r="V25" s="127">
        <v>2.2443084356065412E-9</v>
      </c>
      <c r="W25" s="127">
        <v>8.8418329764702732E-10</v>
      </c>
      <c r="X25" s="127">
        <v>1.220373200575612E-3</v>
      </c>
      <c r="Y25" s="127" t="s">
        <v>11</v>
      </c>
      <c r="Z25" s="127">
        <v>7.7224614927399764E-19</v>
      </c>
      <c r="AA25" s="127">
        <v>3.3237267859549253E-8</v>
      </c>
      <c r="AB25" s="127">
        <v>1.4509042313489029E-131</v>
      </c>
      <c r="AC25" s="1"/>
      <c r="AD25" s="1"/>
      <c r="AE25" s="1"/>
      <c r="AF25" s="1"/>
    </row>
    <row r="26" spans="1:32" x14ac:dyDescent="0.35">
      <c r="A26" s="24" t="s">
        <v>69</v>
      </c>
      <c r="B26" s="36" t="s">
        <v>38</v>
      </c>
      <c r="C26" s="24">
        <v>0.99932957240549158</v>
      </c>
      <c r="D26" s="24">
        <v>1.9285241824994172E-5</v>
      </c>
      <c r="E26" s="24">
        <v>2.2443084356065412E-9</v>
      </c>
      <c r="F26" s="24">
        <v>0.99124236032330704</v>
      </c>
      <c r="G26" s="24">
        <v>0.955092866564618</v>
      </c>
      <c r="H26" s="24">
        <v>3.7585550675657738E-51</v>
      </c>
      <c r="I26" s="24">
        <v>1</v>
      </c>
      <c r="J26" s="24">
        <v>4.8911942996628134E-3</v>
      </c>
      <c r="K26" s="24">
        <v>1</v>
      </c>
      <c r="L26" s="24">
        <v>1</v>
      </c>
      <c r="M26" s="24">
        <v>0.99936422855090112</v>
      </c>
      <c r="N26" s="24">
        <v>0.99999839724999251</v>
      </c>
      <c r="O26" s="24"/>
      <c r="P26" s="32" t="s">
        <v>38</v>
      </c>
      <c r="Q26" s="127">
        <v>3.458226107812958E-12</v>
      </c>
      <c r="R26" s="127">
        <v>3.1923094571434119E-8</v>
      </c>
      <c r="S26" s="127">
        <v>3.3845026632262342E-39</v>
      </c>
      <c r="T26" s="127" t="s">
        <v>11</v>
      </c>
      <c r="U26" s="127">
        <v>8.7576396766929094E-3</v>
      </c>
      <c r="V26" s="127">
        <v>1.0820995532293509E-51</v>
      </c>
      <c r="W26" s="127">
        <v>7.7224614927399764E-19</v>
      </c>
      <c r="X26" s="127">
        <v>7.0771119274836087E-7</v>
      </c>
      <c r="Y26" s="127">
        <v>3.2423801973958432E-15</v>
      </c>
      <c r="Z26" s="127">
        <v>3.0305948869746912E-18</v>
      </c>
      <c r="AA26" s="127" t="s">
        <v>11</v>
      </c>
      <c r="AB26" s="127">
        <v>2.1925707043259681E-54</v>
      </c>
      <c r="AC26" s="1"/>
      <c r="AD26" s="1"/>
      <c r="AE26" s="1"/>
      <c r="AF26" s="1"/>
    </row>
    <row r="27" spans="1:32" x14ac:dyDescent="0.35">
      <c r="A27" s="24" t="s">
        <v>70</v>
      </c>
      <c r="B27" s="36" t="s">
        <v>38</v>
      </c>
      <c r="C27" s="24">
        <v>5.0438205584933382E-5</v>
      </c>
      <c r="D27" s="17">
        <v>3.1923094571434119E-8</v>
      </c>
      <c r="E27" s="17">
        <v>3.3845026632262342E-39</v>
      </c>
      <c r="F27" s="24">
        <v>0.99999992614603173</v>
      </c>
      <c r="G27" s="24">
        <v>8.7576396766929094E-3</v>
      </c>
      <c r="H27" s="24">
        <v>1.0820995532293509E-51</v>
      </c>
      <c r="I27" s="24">
        <v>1</v>
      </c>
      <c r="J27" s="24">
        <v>1</v>
      </c>
      <c r="K27" s="24">
        <v>6.6569854056430112E-3</v>
      </c>
      <c r="L27" s="24">
        <v>1</v>
      </c>
      <c r="M27" s="24">
        <v>1</v>
      </c>
      <c r="N27" s="17">
        <v>2.1925707043259681E-54</v>
      </c>
      <c r="O27" s="17"/>
      <c r="P27" s="32" t="s">
        <v>39</v>
      </c>
      <c r="Q27" s="127">
        <v>5.5012734621003682E-10</v>
      </c>
      <c r="R27" s="127">
        <v>3.7963523261952142E-56</v>
      </c>
      <c r="S27" s="127" t="s">
        <v>11</v>
      </c>
      <c r="T27" s="127">
        <v>1.240624711943028E-13</v>
      </c>
      <c r="U27" s="127">
        <v>8.7522698247480294E-53</v>
      </c>
      <c r="V27" s="127">
        <v>3.3511207137447161E-27</v>
      </c>
      <c r="W27" s="127">
        <v>1.83008522618505E-47</v>
      </c>
      <c r="X27" s="127">
        <v>5.3115811875040262E-182</v>
      </c>
      <c r="Y27" s="127">
        <v>4.0745483613636383E-39</v>
      </c>
      <c r="Z27" s="127">
        <v>1.2949402305475899E-50</v>
      </c>
      <c r="AA27" s="127">
        <v>4.4484760729544887E-154</v>
      </c>
      <c r="AB27" s="127">
        <v>4.204662274469072E-128</v>
      </c>
      <c r="AC27" s="1"/>
      <c r="AD27" s="1"/>
      <c r="AE27" s="1"/>
      <c r="AF27" s="1"/>
    </row>
    <row r="28" spans="1:32" x14ac:dyDescent="0.35">
      <c r="A28" s="24" t="s">
        <v>71</v>
      </c>
      <c r="B28" s="36" t="s">
        <v>38</v>
      </c>
      <c r="C28" s="17">
        <v>3.458226107812958E-12</v>
      </c>
      <c r="D28" s="24">
        <v>0.99987448795888501</v>
      </c>
      <c r="E28" s="24">
        <v>1</v>
      </c>
      <c r="F28" s="24">
        <v>0.99932957240549158</v>
      </c>
      <c r="G28" s="24">
        <v>0.90645347017408007</v>
      </c>
      <c r="H28" s="24">
        <v>0.9999996309939132</v>
      </c>
      <c r="I28" s="17">
        <v>7.7224614927399764E-19</v>
      </c>
      <c r="J28" s="24">
        <v>7.0771119274836087E-7</v>
      </c>
      <c r="K28" s="17">
        <v>3.2423801973958432E-15</v>
      </c>
      <c r="L28" s="17">
        <v>3.0305948869746912E-18</v>
      </c>
      <c r="M28" s="24">
        <v>0.99161859979378952</v>
      </c>
      <c r="N28" s="24">
        <v>1</v>
      </c>
      <c r="O28" s="24"/>
      <c r="P28" s="32" t="s">
        <v>40</v>
      </c>
      <c r="Q28" s="127">
        <v>4.6298355537997774E-3</v>
      </c>
      <c r="R28" s="127">
        <v>2.185738596483581E-25</v>
      </c>
      <c r="S28" s="127">
        <v>2.6430735322449501E-23</v>
      </c>
      <c r="T28" s="127">
        <v>4.9504061134201882E-6</v>
      </c>
      <c r="U28" s="127">
        <v>7.7754249024820046E-38</v>
      </c>
      <c r="V28" s="127">
        <v>1.4242880456734839E-27</v>
      </c>
      <c r="W28" s="127">
        <v>1.6698232803194559E-7</v>
      </c>
      <c r="X28" s="127">
        <v>3.3049857869967827E-5</v>
      </c>
      <c r="Y28" s="127" t="s">
        <v>11</v>
      </c>
      <c r="Z28" s="127">
        <v>1.6840591736383231E-11</v>
      </c>
      <c r="AA28" s="127">
        <v>1.3452860879497699E-25</v>
      </c>
      <c r="AB28" s="127" t="s">
        <v>21</v>
      </c>
      <c r="AC28" s="1"/>
      <c r="AD28" s="1"/>
      <c r="AE28" s="1"/>
      <c r="AF28" s="1"/>
    </row>
    <row r="29" spans="1:32" x14ac:dyDescent="0.35">
      <c r="A29" s="25" t="s">
        <v>72</v>
      </c>
      <c r="B29" s="37" t="s">
        <v>39</v>
      </c>
      <c r="C29" s="25">
        <v>2.9727623726529142E-4</v>
      </c>
      <c r="D29" s="25">
        <v>6.0586569339323469E-44</v>
      </c>
      <c r="E29" s="25">
        <v>1</v>
      </c>
      <c r="F29" s="17">
        <v>1.240624711943028E-13</v>
      </c>
      <c r="G29" s="17">
        <v>8.7522698247480294E-53</v>
      </c>
      <c r="H29" s="17">
        <v>3.3511207137447161E-27</v>
      </c>
      <c r="I29" s="17">
        <v>1.83008522618505E-47</v>
      </c>
      <c r="J29" s="17">
        <v>5.3115811875040262E-182</v>
      </c>
      <c r="K29" s="25">
        <v>1</v>
      </c>
      <c r="L29" s="17">
        <v>1.2949402305475899E-50</v>
      </c>
      <c r="M29" s="17">
        <v>4.4484760729544887E-154</v>
      </c>
      <c r="N29" s="25">
        <v>1</v>
      </c>
      <c r="O29" s="25"/>
      <c r="P29" s="32" t="s">
        <v>41</v>
      </c>
      <c r="Q29" s="127">
        <v>3.1923094571434119E-8</v>
      </c>
      <c r="R29" s="127">
        <v>2.0822370290439729E-66</v>
      </c>
      <c r="S29" s="127">
        <v>1.045738419167208E-15</v>
      </c>
      <c r="T29" s="127">
        <v>2.6430735322449501E-23</v>
      </c>
      <c r="U29" s="127">
        <v>1.143154095141778E-105</v>
      </c>
      <c r="V29" s="127">
        <v>2.9112115071309389E-32</v>
      </c>
      <c r="W29" s="127">
        <v>1.1679391231761289E-62</v>
      </c>
      <c r="X29" s="127">
        <v>5.001368427739879E-231</v>
      </c>
      <c r="Y29" s="127" t="s">
        <v>11</v>
      </c>
      <c r="Z29" s="127">
        <v>2.6866680931156952E-57</v>
      </c>
      <c r="AA29" s="127">
        <v>6.5066924147814262E-113</v>
      </c>
      <c r="AB29" s="127" t="s">
        <v>21</v>
      </c>
      <c r="AC29" s="1"/>
      <c r="AD29" s="1"/>
      <c r="AE29" s="1"/>
      <c r="AF29" s="1"/>
    </row>
    <row r="30" spans="1:32" x14ac:dyDescent="0.35">
      <c r="A30" s="25" t="s">
        <v>73</v>
      </c>
      <c r="B30" s="37" t="s">
        <v>39</v>
      </c>
      <c r="C30" s="17">
        <v>5.5012734621003682E-10</v>
      </c>
      <c r="D30" s="17">
        <v>3.7963523261952142E-56</v>
      </c>
      <c r="E30" s="25">
        <v>1</v>
      </c>
      <c r="F30" s="25">
        <v>0.26086961327395092</v>
      </c>
      <c r="G30" s="25">
        <v>7.7224614927399764E-19</v>
      </c>
      <c r="H30" s="25">
        <v>0.99999883845122339</v>
      </c>
      <c r="I30" s="25">
        <v>1.2013044069375279E-21</v>
      </c>
      <c r="J30" s="17">
        <v>9.0805711554375239E-159</v>
      </c>
      <c r="K30" s="25">
        <v>1</v>
      </c>
      <c r="L30" s="25">
        <v>1.6840591736383231E-11</v>
      </c>
      <c r="M30" s="25">
        <v>1.270882463829253E-79</v>
      </c>
      <c r="N30" s="25">
        <v>1</v>
      </c>
      <c r="O30" s="25"/>
      <c r="P30" s="32" t="s">
        <v>42</v>
      </c>
      <c r="Q30" s="127">
        <v>3.3733096401047361E-35</v>
      </c>
      <c r="R30" s="127">
        <v>5.5638477973692838E-73</v>
      </c>
      <c r="S30" s="127">
        <v>4.6298355537997774E-3</v>
      </c>
      <c r="T30" s="127">
        <v>6.7186205577721868E-104</v>
      </c>
      <c r="U30" s="127">
        <v>2.3998560594315532E-74</v>
      </c>
      <c r="V30" s="127">
        <v>7.0134550586825282E-6</v>
      </c>
      <c r="W30" s="127">
        <v>4.6843790067146826E-112</v>
      </c>
      <c r="X30" s="127">
        <v>5.2438014827760843E-155</v>
      </c>
      <c r="Y30" s="127">
        <v>1.214235090957781E-79</v>
      </c>
      <c r="Z30" s="127">
        <v>2.089901580498296E-165</v>
      </c>
      <c r="AA30" s="127">
        <v>6.6144919240883313E-65</v>
      </c>
      <c r="AB30" s="127">
        <v>9.8484234329583541E-7</v>
      </c>
      <c r="AC30" s="1"/>
      <c r="AD30" s="1"/>
      <c r="AE30" s="1"/>
      <c r="AF30" s="1"/>
    </row>
    <row r="31" spans="1:32" x14ac:dyDescent="0.35">
      <c r="A31" s="25" t="s">
        <v>74</v>
      </c>
      <c r="B31" s="37" t="s">
        <v>39</v>
      </c>
      <c r="C31" s="25">
        <v>3.1923094571434119E-8</v>
      </c>
      <c r="D31" s="25">
        <v>0.99999999999996103</v>
      </c>
      <c r="E31" s="25">
        <v>1</v>
      </c>
      <c r="F31" s="25">
        <v>1.113695060809213E-7</v>
      </c>
      <c r="G31" s="25">
        <v>1</v>
      </c>
      <c r="H31" s="25">
        <v>5.4387867517963772E-7</v>
      </c>
      <c r="I31" s="25">
        <v>9.3132563399741616E-5</v>
      </c>
      <c r="J31" s="25">
        <v>1</v>
      </c>
      <c r="K31" s="25">
        <v>5.4772304363935804E-32</v>
      </c>
      <c r="L31" s="25">
        <v>2.0160533626992649E-12</v>
      </c>
      <c r="M31" s="25">
        <v>1</v>
      </c>
      <c r="N31" s="25">
        <v>1</v>
      </c>
      <c r="O31" s="25"/>
      <c r="P31" s="32" t="s">
        <v>43</v>
      </c>
      <c r="Q31" s="127">
        <v>3.7963523261952142E-56</v>
      </c>
      <c r="R31" s="127">
        <v>1.4495075047826989E-90</v>
      </c>
      <c r="S31" s="127">
        <v>2.66113438101818E-22</v>
      </c>
      <c r="T31" s="127">
        <v>2.9522028872401471E-30</v>
      </c>
      <c r="U31" s="127">
        <v>1.1959484177270701E-14</v>
      </c>
      <c r="V31" s="127">
        <v>3.7226817068810093E-85</v>
      </c>
      <c r="W31" s="127">
        <v>1.584378530636991E-143</v>
      </c>
      <c r="X31" s="127">
        <v>7.7727522562061908E-227</v>
      </c>
      <c r="Y31" s="127">
        <v>0</v>
      </c>
      <c r="Z31" s="127">
        <v>6.6978574091944809E-160</v>
      </c>
      <c r="AA31" s="127">
        <v>2.8244471163600462E-100</v>
      </c>
      <c r="AB31" s="127">
        <v>4.6028370679034483E-244</v>
      </c>
      <c r="AC31" s="1"/>
      <c r="AD31" s="1"/>
      <c r="AE31" s="1"/>
      <c r="AF31" s="1"/>
    </row>
    <row r="32" spans="1:32" x14ac:dyDescent="0.35">
      <c r="A32" s="25" t="s">
        <v>75</v>
      </c>
      <c r="B32" s="37" t="s">
        <v>39</v>
      </c>
      <c r="C32" s="25">
        <v>0.33924030681285811</v>
      </c>
      <c r="D32" s="25">
        <v>0.99983177687150404</v>
      </c>
      <c r="E32" s="25">
        <v>0.68790182259992472</v>
      </c>
      <c r="F32" s="25">
        <v>0.99705135870899886</v>
      </c>
      <c r="G32" s="25">
        <v>1</v>
      </c>
      <c r="H32" s="25">
        <v>1</v>
      </c>
      <c r="I32" s="25">
        <v>8.8418329764702732E-10</v>
      </c>
      <c r="J32" s="25">
        <v>0.99999999993607946</v>
      </c>
      <c r="K32" s="17">
        <v>4.0745483613636383E-39</v>
      </c>
      <c r="L32" s="25">
        <v>2.9727623726529142E-4</v>
      </c>
      <c r="M32" s="25">
        <v>7.9316601342255938E-4</v>
      </c>
      <c r="N32" s="17">
        <v>4.204662274469072E-128</v>
      </c>
      <c r="O32" s="17"/>
      <c r="P32" s="32" t="s">
        <v>44</v>
      </c>
      <c r="Q32" s="127">
        <v>5.3926073520730547E-89</v>
      </c>
      <c r="R32" s="127">
        <v>2.089901580498296E-165</v>
      </c>
      <c r="S32" s="127"/>
      <c r="T32" s="127">
        <v>4.6843790067146826E-112</v>
      </c>
      <c r="U32" s="127">
        <v>1.2729379227998621E-162</v>
      </c>
      <c r="V32" s="127" t="s">
        <v>11</v>
      </c>
      <c r="W32" s="127">
        <v>6.2672177835785651E-156</v>
      </c>
      <c r="X32" s="127">
        <v>6.1162364502226952E-297</v>
      </c>
      <c r="Y32" s="127">
        <v>1.6768526622663208E-148</v>
      </c>
      <c r="Z32" s="127">
        <v>1.1598697554267099E-17</v>
      </c>
      <c r="AA32" s="127">
        <v>9.9592948151581392E-270</v>
      </c>
      <c r="AB32" s="127" t="s">
        <v>21</v>
      </c>
      <c r="AC32" s="1"/>
      <c r="AD32" s="1"/>
      <c r="AE32" s="1"/>
      <c r="AF32" s="1"/>
    </row>
    <row r="33" spans="1:32" x14ac:dyDescent="0.35">
      <c r="A33" s="25" t="s">
        <v>76</v>
      </c>
      <c r="B33" s="37" t="s">
        <v>39</v>
      </c>
      <c r="C33" s="25">
        <v>0.45499406440791129</v>
      </c>
      <c r="D33" s="25">
        <v>2.1659689066834469E-14</v>
      </c>
      <c r="E33" s="25">
        <v>1</v>
      </c>
      <c r="F33" s="25">
        <v>0.1067839002741523</v>
      </c>
      <c r="G33" s="25">
        <v>8.2873783617900435E-17</v>
      </c>
      <c r="H33" s="25">
        <v>0.99999999999998801</v>
      </c>
      <c r="I33" s="25">
        <v>1.918859589311014E-19</v>
      </c>
      <c r="J33" s="25">
        <v>2.7747383884747689E-132</v>
      </c>
      <c r="K33" s="25">
        <v>1</v>
      </c>
      <c r="L33" s="25">
        <v>1.83008522618505E-47</v>
      </c>
      <c r="M33" s="25">
        <v>2.603731892635298E-102</v>
      </c>
      <c r="N33" s="25">
        <v>1</v>
      </c>
      <c r="O33" s="25"/>
      <c r="P33" s="1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1"/>
      <c r="AD33" s="1"/>
      <c r="AE33" s="1"/>
      <c r="AF33" s="1"/>
    </row>
    <row r="34" spans="1:32" x14ac:dyDescent="0.35">
      <c r="A34" s="18" t="s">
        <v>77</v>
      </c>
      <c r="B34" s="38" t="s">
        <v>40</v>
      </c>
      <c r="C34" s="18">
        <v>4.6298355537997774E-3</v>
      </c>
      <c r="D34" s="18">
        <v>0.9869488633312915</v>
      </c>
      <c r="E34" s="17">
        <v>2.0924884743097259E-10</v>
      </c>
      <c r="F34" s="18">
        <v>2.284636495568472E-2</v>
      </c>
      <c r="G34" s="18">
        <v>7.773941077768152E-11</v>
      </c>
      <c r="H34" s="18">
        <v>0.9999996309939132</v>
      </c>
      <c r="I34" s="18">
        <v>2.425141220284132E-6</v>
      </c>
      <c r="J34" s="18">
        <v>0.99998912001215334</v>
      </c>
      <c r="K34" s="18">
        <v>1</v>
      </c>
      <c r="L34" s="18">
        <v>1.6840591736383231E-11</v>
      </c>
      <c r="M34" s="18">
        <v>0.76827702061238412</v>
      </c>
      <c r="N34" s="18">
        <v>1</v>
      </c>
      <c r="O34" s="18"/>
      <c r="P34" s="1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1"/>
      <c r="AD34" s="1"/>
      <c r="AE34" s="1"/>
      <c r="AF34" s="1"/>
    </row>
    <row r="35" spans="1:32" x14ac:dyDescent="0.35">
      <c r="A35" s="18" t="s">
        <v>78</v>
      </c>
      <c r="B35" s="38" t="s">
        <v>40</v>
      </c>
      <c r="C35" s="18">
        <v>0.99999983301767192</v>
      </c>
      <c r="D35" s="18">
        <v>1.9285241824994172E-5</v>
      </c>
      <c r="E35" s="18">
        <v>3.9196467388036299E-4</v>
      </c>
      <c r="F35" s="18">
        <v>1</v>
      </c>
      <c r="G35" s="17">
        <v>7.7754249024820046E-38</v>
      </c>
      <c r="H35" s="18">
        <v>1</v>
      </c>
      <c r="I35" s="18">
        <v>0.99887778140824413</v>
      </c>
      <c r="J35" s="18">
        <v>7.9316601342255938E-4</v>
      </c>
      <c r="K35" s="18">
        <v>1</v>
      </c>
      <c r="L35" s="18">
        <v>4.6298355537997774E-3</v>
      </c>
      <c r="M35" s="18">
        <v>8.6172191085540611E-17</v>
      </c>
      <c r="N35" s="18">
        <v>1</v>
      </c>
      <c r="O35" s="18"/>
      <c r="P35" s="1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1"/>
      <c r="AD35" s="1"/>
      <c r="AE35" s="1"/>
      <c r="AF35" s="1"/>
    </row>
    <row r="36" spans="1:32" ht="29" x14ac:dyDescent="0.35">
      <c r="A36" s="18" t="s">
        <v>79</v>
      </c>
      <c r="B36" s="38" t="s">
        <v>40</v>
      </c>
      <c r="C36" s="18">
        <v>0.82695748928708979</v>
      </c>
      <c r="D36" s="17">
        <v>2.185738596483581E-25</v>
      </c>
      <c r="E36" s="18">
        <v>0.9999996309939132</v>
      </c>
      <c r="F36" s="18">
        <v>0.15443289176760841</v>
      </c>
      <c r="G36" s="18">
        <v>1.050152150140678E-28</v>
      </c>
      <c r="H36" s="18">
        <v>1.9053548193704001E-2</v>
      </c>
      <c r="I36" s="18">
        <v>1</v>
      </c>
      <c r="J36" s="17">
        <v>3.3049857869967827E-5</v>
      </c>
      <c r="K36" s="18">
        <v>1</v>
      </c>
      <c r="L36" s="18">
        <v>4.9504061134201882E-6</v>
      </c>
      <c r="M36" s="17">
        <v>1.3452860879497699E-25</v>
      </c>
      <c r="N36" s="18">
        <v>0.16112536651684689</v>
      </c>
      <c r="O36" s="18"/>
      <c r="P36" s="1" t="s">
        <v>32</v>
      </c>
      <c r="Q36" s="88" t="str">
        <f>CONCATENATE(Q3,CHAR(10), TEXT(Q20, "0.00E+00"))</f>
        <v xml:space="preserve">
None</v>
      </c>
      <c r="R36" s="88" t="str">
        <f t="shared" ref="R36:AB36" si="0">CONCATENATE(R3,CHAR(10), TEXT(R20, "0.00E+00"))</f>
        <v xml:space="preserve">
None</v>
      </c>
      <c r="S36" s="88" t="str">
        <f t="shared" si="0"/>
        <v xml:space="preserve">
None</v>
      </c>
      <c r="T36" s="88" t="str">
        <f t="shared" si="0"/>
        <v>features.1.block.2.0
1.90E-02</v>
      </c>
      <c r="U36" s="88" t="str">
        <f t="shared" si="0"/>
        <v xml:space="preserve">
None</v>
      </c>
      <c r="V36" s="88" t="str">
        <f t="shared" si="0"/>
        <v xml:space="preserve">
None</v>
      </c>
      <c r="W36" s="88" t="str">
        <f t="shared" si="0"/>
        <v xml:space="preserve">
None</v>
      </c>
      <c r="X36" s="88" t="str">
        <f t="shared" si="0"/>
        <v xml:space="preserve">
None</v>
      </c>
      <c r="Y36" s="88" t="str">
        <f t="shared" si="0"/>
        <v xml:space="preserve">
None</v>
      </c>
      <c r="Z36" s="88" t="str">
        <f t="shared" si="0"/>
        <v>features.1.block.2.0
1.91E-02</v>
      </c>
      <c r="AA36" s="88" t="str">
        <f t="shared" si="0"/>
        <v xml:space="preserve">
None</v>
      </c>
      <c r="AB36" s="88" t="str">
        <f t="shared" si="0"/>
        <v xml:space="preserve">
0.00E+00</v>
      </c>
      <c r="AC36" s="1"/>
      <c r="AD36" s="1"/>
      <c r="AE36" s="1"/>
      <c r="AF36" s="1"/>
    </row>
    <row r="37" spans="1:32" ht="44" customHeight="1" x14ac:dyDescent="0.35">
      <c r="A37" s="18" t="s">
        <v>80</v>
      </c>
      <c r="B37" s="38" t="s">
        <v>40</v>
      </c>
      <c r="C37" s="18">
        <v>0.99999999999987599</v>
      </c>
      <c r="D37" s="18">
        <v>0.99987448795888501</v>
      </c>
      <c r="E37" s="17">
        <v>2.6430735322449501E-23</v>
      </c>
      <c r="F37" s="18">
        <v>1</v>
      </c>
      <c r="G37" s="18">
        <v>1.161548776651688E-6</v>
      </c>
      <c r="H37" s="17">
        <v>1.4242880456734839E-27</v>
      </c>
      <c r="I37" s="18">
        <v>1</v>
      </c>
      <c r="J37" s="18">
        <v>0.99594302973241455</v>
      </c>
      <c r="K37" s="18">
        <v>1</v>
      </c>
      <c r="L37" s="18">
        <v>7.3853968232725039E-8</v>
      </c>
      <c r="M37" s="18">
        <v>7.2961666211235574E-5</v>
      </c>
      <c r="N37" s="18">
        <v>0.9787965056724921</v>
      </c>
      <c r="O37" s="18"/>
      <c r="P37" s="1" t="s">
        <v>33</v>
      </c>
      <c r="Q37" s="88" t="str">
        <f t="shared" ref="Q37:AB48" si="1">CONCATENATE(Q4,CHAR(10), TEXT(Q21, "0.00E+00"))</f>
        <v>features.1.block.2.0
3.90E-14</v>
      </c>
      <c r="R37" s="88" t="str">
        <f t="shared" si="1"/>
        <v>features.1.block.2.0
7.77E-11</v>
      </c>
      <c r="S37" s="88" t="str">
        <f t="shared" si="1"/>
        <v xml:space="preserve">
None</v>
      </c>
      <c r="T37" s="88" t="str">
        <f t="shared" si="1"/>
        <v xml:space="preserve">
4.87E-08</v>
      </c>
      <c r="U37" s="88" t="str">
        <f t="shared" si="1"/>
        <v>features.2.block.0.0
3.40E-10</v>
      </c>
      <c r="V37" s="88" t="str">
        <f t="shared" si="1"/>
        <v>features.2.block.1.0
None</v>
      </c>
      <c r="W37" s="88" t="str">
        <f t="shared" si="1"/>
        <v>features.2.block.1.0
1.68E-04</v>
      </c>
      <c r="X37" s="88" t="str">
        <f t="shared" si="1"/>
        <v>features.2.block.0.0
1.98E-22</v>
      </c>
      <c r="Y37" s="88" t="str">
        <f t="shared" si="1"/>
        <v>features.2.block.1.0
None</v>
      </c>
      <c r="Z37" s="88" t="str">
        <f t="shared" si="1"/>
        <v>features.2.block.0.0
2.19E-13</v>
      </c>
      <c r="AA37" s="88" t="str">
        <f t="shared" si="1"/>
        <v>features.2.block.0.0
1.48E-10</v>
      </c>
      <c r="AB37" s="88" t="str">
        <f t="shared" si="1"/>
        <v xml:space="preserve">
NA</v>
      </c>
      <c r="AC37" s="1"/>
      <c r="AD37" s="1"/>
      <c r="AE37" s="1"/>
      <c r="AF37" s="1"/>
    </row>
    <row r="38" spans="1:32" ht="44" customHeight="1" x14ac:dyDescent="0.35">
      <c r="A38" s="18" t="s">
        <v>81</v>
      </c>
      <c r="B38" s="38" t="s">
        <v>40</v>
      </c>
      <c r="C38" s="18">
        <v>0.36724284954996672</v>
      </c>
      <c r="D38" s="18">
        <v>1</v>
      </c>
      <c r="E38" s="18">
        <v>0.99977576233067644</v>
      </c>
      <c r="F38" s="17">
        <v>4.9504061134201882E-6</v>
      </c>
      <c r="G38" s="18">
        <v>1</v>
      </c>
      <c r="H38" s="18">
        <v>1</v>
      </c>
      <c r="I38" s="17">
        <v>1.6698232803194559E-7</v>
      </c>
      <c r="J38" s="18">
        <v>1</v>
      </c>
      <c r="K38" s="18">
        <v>1</v>
      </c>
      <c r="L38" s="18">
        <v>7.773941077768152E-11</v>
      </c>
      <c r="M38" s="18">
        <v>1</v>
      </c>
      <c r="N38" s="18">
        <v>1</v>
      </c>
      <c r="O38" s="18"/>
      <c r="P38" s="1" t="s">
        <v>34</v>
      </c>
      <c r="Q38" s="88" t="str">
        <f t="shared" si="1"/>
        <v>features.2.block.0.0
2.82E-11</v>
      </c>
      <c r="R38" s="88" t="str">
        <f t="shared" si="1"/>
        <v>features.2.block.2.0
3.38E-39</v>
      </c>
      <c r="S38" s="88" t="str">
        <f t="shared" si="1"/>
        <v xml:space="preserve">
None</v>
      </c>
      <c r="T38" s="88" t="str">
        <f t="shared" si="1"/>
        <v>features.3.block.2.0
1.26E-04</v>
      </c>
      <c r="U38" s="88" t="str">
        <f t="shared" si="1"/>
        <v xml:space="preserve">
2.25E-17</v>
      </c>
      <c r="V38" s="88" t="str">
        <f t="shared" si="1"/>
        <v xml:space="preserve">
1.29E-50</v>
      </c>
      <c r="W38" s="88" t="str">
        <f t="shared" si="1"/>
        <v>features.3.block.1.0
5.14E-04</v>
      </c>
      <c r="X38" s="88" t="str">
        <f t="shared" si="1"/>
        <v xml:space="preserve">
8.97E-39</v>
      </c>
      <c r="Y38" s="88" t="str">
        <f t="shared" si="1"/>
        <v xml:space="preserve">
1.65E-27</v>
      </c>
      <c r="Z38" s="88" t="str">
        <f t="shared" si="1"/>
        <v>features.3.block.2.0
2.24E-09</v>
      </c>
      <c r="AA38" s="88" t="str">
        <f t="shared" si="1"/>
        <v xml:space="preserve">
8.28E-27</v>
      </c>
      <c r="AB38" s="88" t="str">
        <f t="shared" si="1"/>
        <v xml:space="preserve">
1.88E-02</v>
      </c>
      <c r="AC38" s="1"/>
      <c r="AD38" s="1"/>
      <c r="AE38" s="1"/>
      <c r="AF38" s="1"/>
    </row>
    <row r="39" spans="1:32" ht="29" x14ac:dyDescent="0.35">
      <c r="A39" s="26" t="s">
        <v>82</v>
      </c>
      <c r="B39" s="25" t="s">
        <v>41</v>
      </c>
      <c r="C39" s="26">
        <v>5.2515725500884958E-2</v>
      </c>
      <c r="D39" s="19">
        <v>2.0822370290439729E-66</v>
      </c>
      <c r="E39" s="26">
        <v>1</v>
      </c>
      <c r="F39" s="26">
        <v>0.42527252356759487</v>
      </c>
      <c r="G39" s="19">
        <v>1.143154095141778E-105</v>
      </c>
      <c r="H39" s="26">
        <v>1</v>
      </c>
      <c r="I39" s="26">
        <v>1.2013044069375279E-21</v>
      </c>
      <c r="J39" s="26">
        <v>5.655055321337531E-139</v>
      </c>
      <c r="K39" s="26">
        <v>1</v>
      </c>
      <c r="L39" s="26">
        <v>8.6880052469512098E-9</v>
      </c>
      <c r="M39" s="26">
        <v>4.2965263759612453E-56</v>
      </c>
      <c r="N39" s="26">
        <v>1</v>
      </c>
      <c r="O39" s="26"/>
      <c r="P39" s="1" t="s">
        <v>35</v>
      </c>
      <c r="Q39" s="88" t="str">
        <f t="shared" si="1"/>
        <v>features.3.block.2.0
1.53E-18</v>
      </c>
      <c r="R39" s="88" t="str">
        <f t="shared" si="1"/>
        <v>features.3.block.1.0
1.92E-19</v>
      </c>
      <c r="S39" s="88" t="str">
        <f t="shared" si="1"/>
        <v xml:space="preserve">
None</v>
      </c>
      <c r="T39" s="88" t="str">
        <f t="shared" si="1"/>
        <v>features.4.block.1.0
1.11E-07</v>
      </c>
      <c r="U39" s="88" t="str">
        <f t="shared" si="1"/>
        <v>features.4.block.0.0
None</v>
      </c>
      <c r="V39" s="88" t="str">
        <f t="shared" si="1"/>
        <v>features.4.block.1.0
1.11E-07</v>
      </c>
      <c r="W39" s="88" t="str">
        <f t="shared" si="1"/>
        <v>features.4.block.1.0
1.93E-05</v>
      </c>
      <c r="X39" s="88" t="str">
        <f t="shared" si="1"/>
        <v xml:space="preserve">
None</v>
      </c>
      <c r="Y39" s="88" t="str">
        <f t="shared" si="1"/>
        <v>features.4.block.2.fc2
None</v>
      </c>
      <c r="Z39" s="88" t="str">
        <f t="shared" si="1"/>
        <v>features.4.block.1.0
3.24E-02</v>
      </c>
      <c r="AA39" s="88" t="str">
        <f t="shared" si="1"/>
        <v>features.4.block.0.0
None</v>
      </c>
      <c r="AB39" s="88" t="str">
        <f t="shared" si="1"/>
        <v>features.4.block.1.0
2.04E-03</v>
      </c>
      <c r="AC39" s="1"/>
      <c r="AD39" s="1"/>
      <c r="AE39" s="1"/>
      <c r="AF39" s="1"/>
    </row>
    <row r="40" spans="1:32" ht="29" x14ac:dyDescent="0.35">
      <c r="A40" s="26" t="s">
        <v>83</v>
      </c>
      <c r="B40" s="25" t="s">
        <v>41</v>
      </c>
      <c r="C40" s="26">
        <v>3.6900608683083041E-7</v>
      </c>
      <c r="D40" s="26">
        <v>4.4255725709607187E-50</v>
      </c>
      <c r="E40" s="26">
        <v>1</v>
      </c>
      <c r="F40" s="26">
        <v>5.285215232807774E-21</v>
      </c>
      <c r="G40" s="26">
        <v>6.2158512455527271E-45</v>
      </c>
      <c r="H40" s="26">
        <v>1</v>
      </c>
      <c r="I40" s="26">
        <v>3.7963523261952142E-56</v>
      </c>
      <c r="J40" s="19">
        <v>5.001368427739879E-231</v>
      </c>
      <c r="K40" s="26">
        <v>1</v>
      </c>
      <c r="L40" s="26">
        <v>2.4113559914503591E-34</v>
      </c>
      <c r="M40" s="26">
        <v>9.0847750432330793E-92</v>
      </c>
      <c r="N40" s="26">
        <v>1</v>
      </c>
      <c r="O40" s="26"/>
      <c r="P40" s="1" t="s">
        <v>36</v>
      </c>
      <c r="Q40" s="88" t="str">
        <f t="shared" si="1"/>
        <v>features.4.block.1.0
8.29E-17</v>
      </c>
      <c r="R40" s="88" t="str">
        <f t="shared" si="1"/>
        <v>features.4.block.0.0
3.38E-39</v>
      </c>
      <c r="S40" s="88" t="str">
        <f t="shared" si="1"/>
        <v xml:space="preserve">
1.12E-03</v>
      </c>
      <c r="T40" s="88" t="str">
        <f t="shared" si="1"/>
        <v>features.5.block.3.0
4.19E-26</v>
      </c>
      <c r="U40" s="88" t="str">
        <f t="shared" si="1"/>
        <v xml:space="preserve">
3.92E-04</v>
      </c>
      <c r="V40" s="88" t="str">
        <f t="shared" si="1"/>
        <v>features.5.block.1.0
6.50E-86</v>
      </c>
      <c r="W40" s="88" t="str">
        <f t="shared" si="1"/>
        <v>features.5.block.2.fc1
4.65E-20</v>
      </c>
      <c r="X40" s="88" t="str">
        <f t="shared" si="1"/>
        <v>features.5.block.3.0
6.36E-04</v>
      </c>
      <c r="Y40" s="88" t="str">
        <f t="shared" si="1"/>
        <v xml:space="preserve">
7.88E-34</v>
      </c>
      <c r="Z40" s="88" t="str">
        <f t="shared" si="1"/>
        <v>features.5.block.0.0
7.72E-19</v>
      </c>
      <c r="AA40" s="88" t="str">
        <f t="shared" si="1"/>
        <v>features.5.block.3.0
1.09E-05</v>
      </c>
      <c r="AB40" s="88" t="str">
        <f t="shared" si="1"/>
        <v>features.5.block.1.0
9.45E-23</v>
      </c>
      <c r="AC40" s="1"/>
      <c r="AD40" s="1"/>
      <c r="AE40" s="1"/>
      <c r="AF40" s="1"/>
    </row>
    <row r="41" spans="1:32" ht="29" x14ac:dyDescent="0.35">
      <c r="A41" s="26" t="s">
        <v>84</v>
      </c>
      <c r="B41" s="25" t="s">
        <v>41</v>
      </c>
      <c r="C41" s="26">
        <v>0.36724284954996672</v>
      </c>
      <c r="D41" s="26">
        <v>2.7255805301668649E-2</v>
      </c>
      <c r="E41" s="26">
        <v>1.682231284959967E-4</v>
      </c>
      <c r="F41" s="19">
        <v>2.6430735322449501E-23</v>
      </c>
      <c r="G41" s="26">
        <v>1.6698232803194559E-7</v>
      </c>
      <c r="H41" s="19">
        <v>2.9112115071309389E-32</v>
      </c>
      <c r="I41" s="26">
        <v>1</v>
      </c>
      <c r="J41" s="26">
        <v>0.99999999999271227</v>
      </c>
      <c r="K41" s="26">
        <v>1</v>
      </c>
      <c r="L41" s="26">
        <v>1</v>
      </c>
      <c r="M41" s="26">
        <v>0.99901426546769834</v>
      </c>
      <c r="N41" s="26">
        <v>0.36450981315316999</v>
      </c>
      <c r="O41" s="26"/>
      <c r="P41" s="1" t="s">
        <v>37</v>
      </c>
      <c r="Q41" s="88" t="str">
        <f t="shared" si="1"/>
        <v>features.5.block.0.0
1.17E-12</v>
      </c>
      <c r="R41" s="88" t="str">
        <f t="shared" si="1"/>
        <v xml:space="preserve">
None</v>
      </c>
      <c r="S41" s="88" t="str">
        <f t="shared" si="1"/>
        <v>features.5.block.1.0
7.78E-38</v>
      </c>
      <c r="T41" s="88" t="str">
        <f t="shared" si="1"/>
        <v xml:space="preserve">
3.19E-08</v>
      </c>
      <c r="U41" s="88" t="str">
        <f t="shared" si="1"/>
        <v xml:space="preserve">
None</v>
      </c>
      <c r="V41" s="88" t="str">
        <f t="shared" si="1"/>
        <v>features.6.block.0.0
2.24E-09</v>
      </c>
      <c r="W41" s="88" t="str">
        <f t="shared" si="1"/>
        <v>features.6.block.3.0
8.84E-10</v>
      </c>
      <c r="X41" s="88" t="str">
        <f t="shared" si="1"/>
        <v xml:space="preserve">
1.22E-03</v>
      </c>
      <c r="Y41" s="88" t="str">
        <f t="shared" si="1"/>
        <v>features.6.block.3.0
None</v>
      </c>
      <c r="Z41" s="88" t="str">
        <f t="shared" si="1"/>
        <v>features.6.block.3.0
7.72E-19</v>
      </c>
      <c r="AA41" s="88" t="str">
        <f t="shared" si="1"/>
        <v xml:space="preserve">
3.32E-08</v>
      </c>
      <c r="AB41" s="88" t="str">
        <f t="shared" si="1"/>
        <v>features.6.block.2.fc2
1.45E-131</v>
      </c>
      <c r="AC41" s="1"/>
      <c r="AD41" s="1"/>
      <c r="AE41" s="1"/>
      <c r="AF41" s="1"/>
    </row>
    <row r="42" spans="1:32" ht="29" x14ac:dyDescent="0.35">
      <c r="A42" s="26" t="s">
        <v>85</v>
      </c>
      <c r="B42" s="25" t="s">
        <v>41</v>
      </c>
      <c r="C42" s="19">
        <v>3.1923094571434119E-8</v>
      </c>
      <c r="D42" s="26">
        <v>1.109647746892832E-24</v>
      </c>
      <c r="E42" s="19">
        <v>1.045738419167208E-15</v>
      </c>
      <c r="F42" s="26">
        <v>2.2479212144743419E-17</v>
      </c>
      <c r="G42" s="26">
        <v>0.99999999999993028</v>
      </c>
      <c r="H42" s="26">
        <v>1.050152150140678E-28</v>
      </c>
      <c r="I42" s="26">
        <v>0.99999999999999967</v>
      </c>
      <c r="J42" s="26">
        <v>0.99877962679942434</v>
      </c>
      <c r="K42" s="26">
        <v>1</v>
      </c>
      <c r="L42" s="26">
        <v>1</v>
      </c>
      <c r="M42" s="26">
        <v>0.99999999999997413</v>
      </c>
      <c r="N42" s="26">
        <v>0.99999999865547318</v>
      </c>
      <c r="O42" s="26"/>
      <c r="P42" s="1" t="s">
        <v>38</v>
      </c>
      <c r="Q42" s="88" t="str">
        <f t="shared" si="1"/>
        <v>features.6.block.3.0
3.46E-12</v>
      </c>
      <c r="R42" s="88" t="str">
        <f t="shared" si="1"/>
        <v>features.6.block.2.fc2
3.19E-08</v>
      </c>
      <c r="S42" s="88" t="str">
        <f t="shared" si="1"/>
        <v>features.6.block.2.fc2
3.38E-39</v>
      </c>
      <c r="T42" s="88" t="str">
        <f t="shared" si="1"/>
        <v>features.7.block.0.0
None</v>
      </c>
      <c r="U42" s="88" t="str">
        <f t="shared" si="1"/>
        <v>features.7.block.0.0
8.76E-03</v>
      </c>
      <c r="V42" s="88" t="str">
        <f t="shared" si="1"/>
        <v>features.7.block.0.0
1.08E-51</v>
      </c>
      <c r="W42" s="88" t="str">
        <f t="shared" si="1"/>
        <v>features.7.block.0.0
7.72E-19</v>
      </c>
      <c r="X42" s="88" t="str">
        <f t="shared" si="1"/>
        <v>features.7.block.0.0
7.08E-07</v>
      </c>
      <c r="Y42" s="88" t="str">
        <f t="shared" si="1"/>
        <v>features.7.block.2.fc2
3.24E-15</v>
      </c>
      <c r="Z42" s="88" t="str">
        <f t="shared" si="1"/>
        <v>features.7.block.0.0
3.03E-18</v>
      </c>
      <c r="AA42" s="88" t="str">
        <f t="shared" si="1"/>
        <v>features.7.block.0.0
None</v>
      </c>
      <c r="AB42" s="88" t="str">
        <f t="shared" si="1"/>
        <v>features.7.block.2.fc2
2.19E-54</v>
      </c>
      <c r="AC42" s="1"/>
      <c r="AD42" s="1"/>
      <c r="AE42" s="1"/>
      <c r="AF42" s="1"/>
    </row>
    <row r="43" spans="1:32" ht="29" x14ac:dyDescent="0.35">
      <c r="A43" s="26" t="s">
        <v>86</v>
      </c>
      <c r="B43" s="25" t="s">
        <v>41</v>
      </c>
      <c r="C43" s="26">
        <v>3.8211572417738697E-2</v>
      </c>
      <c r="D43" s="26">
        <v>3.1923094571434119E-8</v>
      </c>
      <c r="E43" s="26">
        <v>1</v>
      </c>
      <c r="F43" s="26">
        <v>5.4387867517963772E-7</v>
      </c>
      <c r="G43" s="26">
        <v>8.7522698247480294E-53</v>
      </c>
      <c r="H43" s="26">
        <v>1</v>
      </c>
      <c r="I43" s="19">
        <v>1.1679391231761289E-62</v>
      </c>
      <c r="J43" s="26">
        <v>1.4016688322339379E-163</v>
      </c>
      <c r="K43" s="26">
        <v>1</v>
      </c>
      <c r="L43" s="19">
        <v>2.6866680931156952E-57</v>
      </c>
      <c r="M43" s="19">
        <v>6.5066924147814262E-113</v>
      </c>
      <c r="N43" s="26">
        <v>1</v>
      </c>
      <c r="O43" s="26"/>
      <c r="P43" s="1" t="s">
        <v>39</v>
      </c>
      <c r="Q43" s="88" t="str">
        <f t="shared" si="1"/>
        <v>features.7.block.1.0
5.50E-10</v>
      </c>
      <c r="R43" s="88" t="str">
        <f t="shared" si="1"/>
        <v>features.7.block.1.0
3.80E-56</v>
      </c>
      <c r="S43" s="88" t="str">
        <f t="shared" si="1"/>
        <v xml:space="preserve">
None</v>
      </c>
      <c r="T43" s="88" t="str">
        <f t="shared" si="1"/>
        <v>features.8.block.3.0
1.24E-13</v>
      </c>
      <c r="U43" s="88" t="str">
        <f t="shared" si="1"/>
        <v>features.8.block.1.0
8.75E-53</v>
      </c>
      <c r="V43" s="88" t="str">
        <f t="shared" si="1"/>
        <v>features.8.block.2.fc2
3.35E-27</v>
      </c>
      <c r="W43" s="88" t="str">
        <f t="shared" si="1"/>
        <v>features.8.block.3.0
1.83E-47</v>
      </c>
      <c r="X43" s="88" t="str">
        <f t="shared" si="1"/>
        <v>features.8.block.2.fc1
5.31E-182</v>
      </c>
      <c r="Y43" s="88" t="str">
        <f t="shared" si="1"/>
        <v xml:space="preserve">
4.07E-39</v>
      </c>
      <c r="Z43" s="88" t="str">
        <f t="shared" si="1"/>
        <v xml:space="preserve">
1.29E-50</v>
      </c>
      <c r="AA43" s="88" t="str">
        <f t="shared" si="1"/>
        <v>features.8.block.2.fc1
4.45E-154</v>
      </c>
      <c r="AB43" s="88" t="str">
        <f t="shared" si="1"/>
        <v xml:space="preserve">
4.20E-128</v>
      </c>
      <c r="AC43" s="1"/>
      <c r="AD43" s="1"/>
      <c r="AE43" s="1"/>
      <c r="AF43" s="1"/>
    </row>
    <row r="44" spans="1:32" ht="29" x14ac:dyDescent="0.35">
      <c r="A44" s="27" t="s">
        <v>87</v>
      </c>
      <c r="B44" s="38" t="s">
        <v>42</v>
      </c>
      <c r="C44" s="27">
        <v>7.9707961039300455E-7</v>
      </c>
      <c r="D44" s="17">
        <v>8.9801460878349132E-66</v>
      </c>
      <c r="E44" s="27">
        <v>1</v>
      </c>
      <c r="F44" s="27">
        <v>7.0771444478710852E-2</v>
      </c>
      <c r="G44" s="27">
        <v>7.0562677454433879E-58</v>
      </c>
      <c r="H44" s="27">
        <v>0.99999996807690539</v>
      </c>
      <c r="I44" s="27">
        <v>1.576497202618777E-16</v>
      </c>
      <c r="J44" s="27">
        <v>5.4017712735869157E-33</v>
      </c>
      <c r="K44" s="27">
        <v>1</v>
      </c>
      <c r="L44" s="27">
        <v>1.113695060809213E-7</v>
      </c>
      <c r="M44" s="27">
        <v>4.8911942996628134E-3</v>
      </c>
      <c r="N44" s="27">
        <v>1</v>
      </c>
      <c r="O44" s="27"/>
      <c r="P44" s="1" t="s">
        <v>40</v>
      </c>
      <c r="Q44" s="88" t="str">
        <f t="shared" si="1"/>
        <v>features.8.block.0.0
4.63E-03</v>
      </c>
      <c r="R44" s="88" t="str">
        <f t="shared" si="1"/>
        <v>features.8.block.2.fc1
2.19E-25</v>
      </c>
      <c r="S44" s="88" t="str">
        <f t="shared" si="1"/>
        <v>features.8.block.0.0
2.64E-23</v>
      </c>
      <c r="T44" s="88" t="str">
        <f t="shared" si="1"/>
        <v>features.9.block.2.fc1
4.95E-06</v>
      </c>
      <c r="U44" s="88" t="str">
        <f t="shared" si="1"/>
        <v>features.9.block.0.0
7.78E-38</v>
      </c>
      <c r="V44" s="88" t="str">
        <f t="shared" si="1"/>
        <v>features.9.block.2.fc1
1.42E-27</v>
      </c>
      <c r="W44" s="88" t="str">
        <f t="shared" si="1"/>
        <v>features.9.block.3.0
1.67E-07</v>
      </c>
      <c r="X44" s="88" t="str">
        <f t="shared" si="1"/>
        <v>features.9.block.1.0
3.30E-05</v>
      </c>
      <c r="Y44" s="88" t="str">
        <f t="shared" si="1"/>
        <v xml:space="preserve">
None</v>
      </c>
      <c r="Z44" s="88" t="str">
        <f t="shared" si="1"/>
        <v>features.9.block.3.0
1.68E-11</v>
      </c>
      <c r="AA44" s="88" t="str">
        <f t="shared" si="1"/>
        <v>features.9.block.3.0
1.35E-25</v>
      </c>
      <c r="AB44" s="88" t="str">
        <f t="shared" si="1"/>
        <v xml:space="preserve">
NA</v>
      </c>
      <c r="AC44" s="1"/>
      <c r="AD44" s="1"/>
      <c r="AE44" s="1"/>
      <c r="AF44" s="1"/>
    </row>
    <row r="45" spans="1:32" ht="29" x14ac:dyDescent="0.35">
      <c r="A45" s="27" t="s">
        <v>88</v>
      </c>
      <c r="B45" s="38" t="s">
        <v>42</v>
      </c>
      <c r="C45" s="17">
        <v>3.3733096401047361E-35</v>
      </c>
      <c r="D45" s="27">
        <v>5.2525601200730668E-42</v>
      </c>
      <c r="E45" s="27">
        <v>0.999999999999999</v>
      </c>
      <c r="F45" s="27">
        <v>5.947395794988822E-18</v>
      </c>
      <c r="G45" s="17">
        <v>2.3998560594315532E-74</v>
      </c>
      <c r="H45" s="27">
        <v>0.99999999999961464</v>
      </c>
      <c r="I45" s="27">
        <v>4.3702351109743023E-33</v>
      </c>
      <c r="J45" s="27">
        <v>4.5528921742181858E-2</v>
      </c>
      <c r="K45" s="27">
        <v>1</v>
      </c>
      <c r="L45" s="27">
        <v>8.9801460878349132E-66</v>
      </c>
      <c r="M45" s="27">
        <v>2.969449419363383E-12</v>
      </c>
      <c r="N45" s="27">
        <v>1</v>
      </c>
      <c r="O45" s="27"/>
      <c r="P45" s="1" t="s">
        <v>41</v>
      </c>
      <c r="Q45" s="88" t="str">
        <f t="shared" si="1"/>
        <v>features.9.block.2.fc2
3.19E-08</v>
      </c>
      <c r="R45" s="88" t="str">
        <f t="shared" si="1"/>
        <v>features.9.block.0.0
2.08E-66</v>
      </c>
      <c r="S45" s="88" t="str">
        <f t="shared" si="1"/>
        <v>features.9.block.2.fc2
1.05E-15</v>
      </c>
      <c r="T45" s="88" t="str">
        <f t="shared" si="1"/>
        <v>features.10.block.3.0
2.64E-23</v>
      </c>
      <c r="U45" s="88" t="str">
        <f t="shared" si="1"/>
        <v>features.10.block.1.0
1.14E-105</v>
      </c>
      <c r="V45" s="88" t="str">
        <f t="shared" si="1"/>
        <v>features.10.block.3.0
2.91E-32</v>
      </c>
      <c r="W45" s="88" t="str">
        <f t="shared" si="1"/>
        <v>features.10.block.3.0
1.17E-62</v>
      </c>
      <c r="X45" s="88" t="str">
        <f t="shared" si="1"/>
        <v>features.10.block.3.0
5.00E-231</v>
      </c>
      <c r="Y45" s="88" t="str">
        <f t="shared" si="1"/>
        <v>features.10.block.3.0
None</v>
      </c>
      <c r="Z45" s="88" t="str">
        <f t="shared" si="1"/>
        <v>features.10.block.3.0
2.69E-57</v>
      </c>
      <c r="AA45" s="88" t="str">
        <f t="shared" si="1"/>
        <v>features.10.block.3.0
6.51E-113</v>
      </c>
      <c r="AB45" s="88" t="str">
        <f t="shared" si="1"/>
        <v>features.10.block.3.0
NA</v>
      </c>
      <c r="AC45" s="1"/>
      <c r="AD45" s="1"/>
      <c r="AE45" s="1"/>
      <c r="AF45" s="1"/>
    </row>
    <row r="46" spans="1:32" ht="29" x14ac:dyDescent="0.35">
      <c r="A46" s="27" t="s">
        <v>89</v>
      </c>
      <c r="B46" s="38" t="s">
        <v>42</v>
      </c>
      <c r="C46" s="27">
        <v>6.7296703835153783E-13</v>
      </c>
      <c r="D46" s="27">
        <v>5.5638477973692838E-73</v>
      </c>
      <c r="E46" s="27">
        <v>1</v>
      </c>
      <c r="F46" s="27">
        <v>0.955092866564618</v>
      </c>
      <c r="G46" s="27">
        <v>1.8925852581976919E-54</v>
      </c>
      <c r="H46" s="27">
        <v>0.68790182259992472</v>
      </c>
      <c r="I46" s="27">
        <v>6.7296703835153783E-13</v>
      </c>
      <c r="J46" s="27">
        <v>1.911321190952992E-5</v>
      </c>
      <c r="K46" s="27">
        <v>1</v>
      </c>
      <c r="L46" s="27">
        <v>0.63275715045003333</v>
      </c>
      <c r="M46" s="27">
        <v>1</v>
      </c>
      <c r="N46" s="27">
        <v>0.98529972709649205</v>
      </c>
      <c r="O46" s="27"/>
      <c r="P46" s="1" t="s">
        <v>42</v>
      </c>
      <c r="Q46" s="88" t="str">
        <f t="shared" si="1"/>
        <v>features.10.block.1.0
3.37E-35</v>
      </c>
      <c r="R46" s="88" t="str">
        <f t="shared" si="1"/>
        <v>features.10.block.0.0
5.56E-73</v>
      </c>
      <c r="S46" s="88" t="str">
        <f t="shared" si="1"/>
        <v xml:space="preserve">
4.63E-03</v>
      </c>
      <c r="T46" s="88" t="str">
        <f t="shared" si="1"/>
        <v>features.11.block.0.0
6.72E-104</v>
      </c>
      <c r="U46" s="88" t="str">
        <f t="shared" si="1"/>
        <v>features.11.block.3.0
2.40E-74</v>
      </c>
      <c r="V46" s="88" t="str">
        <f t="shared" si="1"/>
        <v>features.11.block.3.0
7.01E-06</v>
      </c>
      <c r="W46" s="88" t="str">
        <f t="shared" si="1"/>
        <v>features.11.block.3.0
4.68E-112</v>
      </c>
      <c r="X46" s="88" t="str">
        <f t="shared" si="1"/>
        <v>features.11.block.1.0
5.24E-155</v>
      </c>
      <c r="Y46" s="88" t="str">
        <f t="shared" si="1"/>
        <v>features.11.block.2.fc1
1.21E-79</v>
      </c>
      <c r="Z46" s="88" t="str">
        <f t="shared" si="1"/>
        <v>features.11.block.3.0
2.09E-165</v>
      </c>
      <c r="AA46" s="88" t="str">
        <f t="shared" si="1"/>
        <v>features.11.block.3.0
6.61E-65</v>
      </c>
      <c r="AB46" s="88" t="str">
        <f t="shared" si="1"/>
        <v>features.11.block.3.0
9.85E-07</v>
      </c>
      <c r="AC46" s="1"/>
      <c r="AD46" s="1"/>
      <c r="AE46" s="1"/>
      <c r="AF46" s="1"/>
    </row>
    <row r="47" spans="1:32" ht="29" x14ac:dyDescent="0.35">
      <c r="A47" s="27" t="s">
        <v>90</v>
      </c>
      <c r="B47" s="38" t="s">
        <v>42</v>
      </c>
      <c r="C47" s="27">
        <v>0.99999999999999645</v>
      </c>
      <c r="D47" s="27">
        <v>0.1371961135641718</v>
      </c>
      <c r="E47" s="27">
        <v>4.6298355537997774E-3</v>
      </c>
      <c r="F47" s="27">
        <v>0.80697951600757256</v>
      </c>
      <c r="G47" s="27">
        <v>2.66113438101818E-22</v>
      </c>
      <c r="H47" s="27">
        <v>8.6972830393244492E-4</v>
      </c>
      <c r="I47" s="27">
        <v>4.8695444035950358E-8</v>
      </c>
      <c r="J47" s="27">
        <v>0.99987869986183586</v>
      </c>
      <c r="K47" s="27">
        <v>1</v>
      </c>
      <c r="L47" s="27">
        <v>1</v>
      </c>
      <c r="M47" s="27">
        <v>1</v>
      </c>
      <c r="N47" s="27">
        <v>0.16112536651684689</v>
      </c>
      <c r="O47" s="27"/>
      <c r="P47" s="1" t="s">
        <v>43</v>
      </c>
      <c r="Q47" s="88" t="str">
        <f t="shared" si="1"/>
        <v>features.11.block.3.0
3.80E-56</v>
      </c>
      <c r="R47" s="88" t="str">
        <f t="shared" si="1"/>
        <v>features.11.block.2.fc2
1.45E-90</v>
      </c>
      <c r="S47" s="88" t="str">
        <f t="shared" si="1"/>
        <v>features.11.block.0.0
2.66E-22</v>
      </c>
      <c r="T47" s="88" t="str">
        <f t="shared" si="1"/>
        <v xml:space="preserve">
2.95E-30</v>
      </c>
      <c r="U47" s="88" t="str">
        <f t="shared" si="1"/>
        <v xml:space="preserve">
1.20E-14</v>
      </c>
      <c r="V47" s="88" t="str">
        <f t="shared" si="1"/>
        <v xml:space="preserve">
3.72E-85</v>
      </c>
      <c r="W47" s="88" t="str">
        <f t="shared" si="1"/>
        <v xml:space="preserve">
1.58E-143</v>
      </c>
      <c r="X47" s="88" t="str">
        <f t="shared" si="1"/>
        <v xml:space="preserve">
7.77E-227</v>
      </c>
      <c r="Y47" s="88" t="str">
        <f t="shared" si="1"/>
        <v xml:space="preserve">
0.00E+00</v>
      </c>
      <c r="Z47" s="88" t="str">
        <f t="shared" si="1"/>
        <v xml:space="preserve">
6.70E-160</v>
      </c>
      <c r="AA47" s="88" t="str">
        <f t="shared" si="1"/>
        <v xml:space="preserve">
2.82E-100</v>
      </c>
      <c r="AB47" s="88" t="str">
        <f t="shared" si="1"/>
        <v xml:space="preserve">
4.60E-244</v>
      </c>
      <c r="AC47" s="1"/>
      <c r="AD47" s="1"/>
      <c r="AE47" s="1"/>
      <c r="AF47" s="1"/>
    </row>
    <row r="48" spans="1:32" ht="29" x14ac:dyDescent="0.35">
      <c r="A48" s="27" t="s">
        <v>91</v>
      </c>
      <c r="B48" s="38" t="s">
        <v>42</v>
      </c>
      <c r="C48" s="27">
        <v>5.4870066049419023E-24</v>
      </c>
      <c r="D48" s="27">
        <v>7.7224614927399764E-19</v>
      </c>
      <c r="E48" s="27">
        <v>1</v>
      </c>
      <c r="F48" s="17">
        <v>6.7186205577721868E-104</v>
      </c>
      <c r="G48" s="27">
        <v>4.6740756862825874E-41</v>
      </c>
      <c r="H48" s="17">
        <v>7.0134550586825282E-6</v>
      </c>
      <c r="I48" s="17">
        <v>4.6843790067146826E-112</v>
      </c>
      <c r="J48" s="17">
        <v>5.2438014827760843E-155</v>
      </c>
      <c r="K48" s="17">
        <v>1.214235090957781E-79</v>
      </c>
      <c r="L48" s="17">
        <v>2.089901580498296E-165</v>
      </c>
      <c r="M48" s="17">
        <v>6.6144919240883313E-65</v>
      </c>
      <c r="N48" s="17">
        <v>9.8484234329583541E-7</v>
      </c>
      <c r="O48" s="17"/>
      <c r="P48" s="1" t="s">
        <v>44</v>
      </c>
      <c r="Q48" s="88" t="str">
        <f t="shared" si="1"/>
        <v>features.12.0
5.39E-89</v>
      </c>
      <c r="R48" s="88" t="str">
        <f t="shared" si="1"/>
        <v>features.12.0
2.09E-165</v>
      </c>
      <c r="S48" s="88" t="str">
        <f t="shared" si="1"/>
        <v xml:space="preserve">
0.00E+00</v>
      </c>
      <c r="T48" s="88" t="str">
        <f t="shared" si="1"/>
        <v>features.12.0
4.68E-112</v>
      </c>
      <c r="U48" s="88" t="str">
        <f t="shared" si="1"/>
        <v>features.12.0
1.27E-162</v>
      </c>
      <c r="V48" s="88" t="str">
        <f t="shared" si="1"/>
        <v xml:space="preserve">
None</v>
      </c>
      <c r="W48" s="88" t="str">
        <f t="shared" si="1"/>
        <v>features.12.0
6.27E-156</v>
      </c>
      <c r="X48" s="88" t="str">
        <f t="shared" si="1"/>
        <v>features.12.0
6.12E-297</v>
      </c>
      <c r="Y48" s="88" t="str">
        <f t="shared" si="1"/>
        <v>features.12.0
1.68E-148</v>
      </c>
      <c r="Z48" s="88" t="str">
        <f t="shared" si="1"/>
        <v>features.12.0
1.16E-17</v>
      </c>
      <c r="AA48" s="88" t="str">
        <f t="shared" si="1"/>
        <v>features.12.0
9.96E-270</v>
      </c>
      <c r="AB48" s="88" t="str">
        <f t="shared" si="1"/>
        <v xml:space="preserve">
NA</v>
      </c>
      <c r="AC48" s="1"/>
      <c r="AD48" s="1"/>
      <c r="AE48" s="1"/>
      <c r="AF48" s="1"/>
    </row>
    <row r="49" spans="1:32" x14ac:dyDescent="0.35">
      <c r="A49" s="28" t="s">
        <v>92</v>
      </c>
      <c r="B49" s="39" t="s">
        <v>43</v>
      </c>
      <c r="C49" s="28">
        <v>3.0305948869746912E-18</v>
      </c>
      <c r="D49" s="28">
        <v>1</v>
      </c>
      <c r="E49" s="17">
        <v>2.66113438101818E-22</v>
      </c>
      <c r="F49" s="17">
        <v>2.9522028872401471E-30</v>
      </c>
      <c r="G49" s="28">
        <v>1</v>
      </c>
      <c r="H49" s="28">
        <v>0.1371961135641718</v>
      </c>
      <c r="I49" s="28">
        <v>2.284636495568472E-2</v>
      </c>
      <c r="J49" s="28">
        <v>8.1080101929464927E-36</v>
      </c>
      <c r="K49" s="28">
        <v>2.041926604386071E-3</v>
      </c>
      <c r="L49" s="28">
        <v>1.885928027292221E-31</v>
      </c>
      <c r="M49" s="28">
        <v>2.0650291391172052E-15</v>
      </c>
      <c r="N49" s="28">
        <v>0.99997562887262159</v>
      </c>
      <c r="O49" s="28"/>
      <c r="P49" s="1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1"/>
      <c r="AD49" s="1"/>
      <c r="AE49" s="1"/>
      <c r="AF49" s="1"/>
    </row>
    <row r="50" spans="1:32" x14ac:dyDescent="0.35">
      <c r="A50" s="28" t="s">
        <v>93</v>
      </c>
      <c r="B50" s="39" t="s">
        <v>43</v>
      </c>
      <c r="C50" s="28">
        <v>7.0771444478710852E-2</v>
      </c>
      <c r="D50" s="28">
        <v>1</v>
      </c>
      <c r="E50" s="28">
        <v>1.682231284959967E-4</v>
      </c>
      <c r="F50" s="28">
        <v>1</v>
      </c>
      <c r="G50" s="28">
        <v>1</v>
      </c>
      <c r="H50" s="28">
        <v>5.0438205584933382E-5</v>
      </c>
      <c r="I50" s="28">
        <v>0.66075969318714201</v>
      </c>
      <c r="J50" s="17">
        <v>5.7046947689623379E-67</v>
      </c>
      <c r="K50" s="28">
        <v>0.99999999754247859</v>
      </c>
      <c r="L50" s="28">
        <v>0.99999999999999811</v>
      </c>
      <c r="M50" s="28">
        <v>2.4526280867415511E-9</v>
      </c>
      <c r="N50" s="28">
        <v>1</v>
      </c>
      <c r="O50" s="28"/>
      <c r="P50" s="1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1"/>
      <c r="AD50" s="1"/>
      <c r="AE50" s="1"/>
      <c r="AF50" s="1"/>
    </row>
    <row r="51" spans="1:32" x14ac:dyDescent="0.35">
      <c r="A51" s="28" t="s">
        <v>94</v>
      </c>
      <c r="B51" s="39" t="s">
        <v>43</v>
      </c>
      <c r="C51" s="28">
        <v>4.8695444035950358E-8</v>
      </c>
      <c r="D51" s="28">
        <v>1</v>
      </c>
      <c r="E51" s="28">
        <v>0.99998071475817496</v>
      </c>
      <c r="F51" s="28">
        <v>0.99960803532611964</v>
      </c>
      <c r="G51" s="28">
        <v>1</v>
      </c>
      <c r="H51" s="28">
        <v>1.8925852581976919E-54</v>
      </c>
      <c r="I51" s="28">
        <v>1.412799308712125E-9</v>
      </c>
      <c r="J51" s="28">
        <v>1.5757444469028781E-14</v>
      </c>
      <c r="K51" s="17">
        <v>4.8712267595200452E-54</v>
      </c>
      <c r="L51" s="28">
        <v>0.68790182259992472</v>
      </c>
      <c r="M51" s="28">
        <v>0.91479567364157521</v>
      </c>
      <c r="N51" s="28">
        <v>1.6583364418153789E-80</v>
      </c>
      <c r="O51" s="28"/>
      <c r="P51" s="1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1"/>
      <c r="AD51" s="1"/>
      <c r="AE51" s="1"/>
      <c r="AF51" s="1"/>
    </row>
    <row r="52" spans="1:32" x14ac:dyDescent="0.35">
      <c r="A52" s="28" t="s">
        <v>95</v>
      </c>
      <c r="B52" s="39" t="s">
        <v>43</v>
      </c>
      <c r="C52" s="28">
        <v>0.99960803532611964</v>
      </c>
      <c r="D52" s="17">
        <v>1.4495075047826989E-90</v>
      </c>
      <c r="E52" s="28">
        <v>2.2664703991124299E-20</v>
      </c>
      <c r="F52" s="28">
        <v>2.9486412910011898E-3</v>
      </c>
      <c r="G52" s="28">
        <v>5.5654150471749074E-9</v>
      </c>
      <c r="H52" s="28">
        <v>2.6580516062331328E-70</v>
      </c>
      <c r="I52" s="28">
        <v>0.97715363504431529</v>
      </c>
      <c r="J52" s="28">
        <v>1</v>
      </c>
      <c r="K52" s="28">
        <v>0.99999987245591715</v>
      </c>
      <c r="L52" s="28">
        <v>6.0128866720584896E-28</v>
      </c>
      <c r="M52" s="28">
        <v>0.99161859979378952</v>
      </c>
      <c r="N52" s="28">
        <v>0.72370613686326046</v>
      </c>
      <c r="O52" s="28"/>
      <c r="P52" s="1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1"/>
      <c r="AD52" s="1"/>
      <c r="AE52" s="1"/>
      <c r="AF52" s="1"/>
    </row>
    <row r="53" spans="1:32" x14ac:dyDescent="0.35">
      <c r="A53" s="28" t="s">
        <v>96</v>
      </c>
      <c r="B53" s="39" t="s">
        <v>43</v>
      </c>
      <c r="C53" s="17">
        <v>3.7963523261952142E-56</v>
      </c>
      <c r="D53" s="28">
        <v>3.5877207661542398E-82</v>
      </c>
      <c r="E53" s="28">
        <v>1</v>
      </c>
      <c r="F53" s="28">
        <v>1</v>
      </c>
      <c r="G53" s="17">
        <v>1.1959484177270701E-14</v>
      </c>
      <c r="H53" s="17">
        <v>3.7226817068810093E-85</v>
      </c>
      <c r="I53" s="17">
        <v>1.584378530636991E-143</v>
      </c>
      <c r="J53" s="28">
        <v>7.7727522562061908E-227</v>
      </c>
      <c r="K53" s="28">
        <v>0</v>
      </c>
      <c r="L53" s="17">
        <v>6.6978574091944809E-160</v>
      </c>
      <c r="M53" s="17">
        <v>2.8244471163600462E-100</v>
      </c>
      <c r="N53" s="17">
        <v>4.6028370679034483E-244</v>
      </c>
      <c r="O53" s="17"/>
      <c r="P53" s="1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1"/>
      <c r="AD53" s="1"/>
      <c r="AE53" s="1"/>
      <c r="AF53" s="1"/>
    </row>
    <row r="54" spans="1:32" x14ac:dyDescent="0.35">
      <c r="A54" s="29" t="s">
        <v>97</v>
      </c>
      <c r="B54" s="36" t="s">
        <v>44</v>
      </c>
      <c r="C54" s="17">
        <v>5.3926073520730547E-89</v>
      </c>
      <c r="D54" s="17">
        <v>2.089901580498296E-165</v>
      </c>
      <c r="E54" s="29">
        <v>1</v>
      </c>
      <c r="F54" s="17">
        <v>4.6843790067146826E-112</v>
      </c>
      <c r="G54" s="17">
        <v>1.2729379227998621E-162</v>
      </c>
      <c r="H54" s="29">
        <v>0.99999988863049394</v>
      </c>
      <c r="I54" s="17">
        <v>6.2672177835785651E-156</v>
      </c>
      <c r="J54" s="17">
        <v>6.1162364502226952E-297</v>
      </c>
      <c r="K54" s="17">
        <v>1.6768526622663208E-148</v>
      </c>
      <c r="L54" s="17">
        <v>1.1598697554267099E-17</v>
      </c>
      <c r="M54" s="17">
        <v>9.9592948151581392E-270</v>
      </c>
      <c r="N54" s="29">
        <v>1</v>
      </c>
      <c r="O54" s="29"/>
      <c r="P54" s="1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1"/>
      <c r="AD54" s="1"/>
      <c r="AE54" s="1"/>
      <c r="AF54" s="1"/>
    </row>
  </sheetData>
  <autoFilter ref="A2:AB54" xr:uid="{6D38FAD9-28E5-47AA-B82A-776311E46CA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BC4F-BC3C-4830-98F4-F549B27C41A0}">
  <sheetPr>
    <tabColor rgb="FF00B050"/>
  </sheetPr>
  <dimension ref="A1:O35"/>
  <sheetViews>
    <sheetView topLeftCell="G1" workbookViewId="0">
      <selection sqref="A1:O2"/>
    </sheetView>
  </sheetViews>
  <sheetFormatPr defaultRowHeight="14.5" x14ac:dyDescent="0.35"/>
  <cols>
    <col min="1" max="4" width="20.1796875" bestFit="1" customWidth="1"/>
    <col min="6" max="9" width="20.1796875" bestFit="1" customWidth="1"/>
    <col min="12" max="12" width="20.1796875" bestFit="1" customWidth="1"/>
    <col min="13" max="13" width="19.1796875" bestFit="1" customWidth="1"/>
    <col min="14" max="15" width="20.1796875" bestFit="1" customWidth="1"/>
  </cols>
  <sheetData>
    <row r="1" spans="1:15" x14ac:dyDescent="0.35">
      <c r="A1" s="165" t="s">
        <v>405</v>
      </c>
      <c r="B1" s="165"/>
      <c r="C1" s="165"/>
      <c r="D1" s="165"/>
      <c r="F1" s="165" t="s">
        <v>407</v>
      </c>
      <c r="G1" s="165"/>
      <c r="H1" s="165"/>
      <c r="I1" s="165"/>
      <c r="L1" s="165" t="s">
        <v>406</v>
      </c>
      <c r="M1" s="165"/>
      <c r="N1" s="165"/>
      <c r="O1" s="165"/>
    </row>
    <row r="2" spans="1:15" x14ac:dyDescent="0.35">
      <c r="A2" t="s">
        <v>7</v>
      </c>
      <c r="B2" t="s">
        <v>9</v>
      </c>
      <c r="C2" t="s">
        <v>8</v>
      </c>
      <c r="D2" t="s">
        <v>10</v>
      </c>
      <c r="F2" t="s">
        <v>7</v>
      </c>
      <c r="G2" t="s">
        <v>9</v>
      </c>
      <c r="H2" t="s">
        <v>8</v>
      </c>
      <c r="I2" t="s">
        <v>10</v>
      </c>
      <c r="L2" t="s">
        <v>7</v>
      </c>
      <c r="M2" t="s">
        <v>9</v>
      </c>
      <c r="N2" t="s">
        <v>8</v>
      </c>
      <c r="O2" t="s">
        <v>10</v>
      </c>
    </row>
    <row r="3" spans="1:15" x14ac:dyDescent="0.35">
      <c r="A3" s="9" t="s">
        <v>49</v>
      </c>
      <c r="B3" s="9" t="s">
        <v>49</v>
      </c>
      <c r="C3" s="9" t="s">
        <v>49</v>
      </c>
      <c r="D3" s="134" t="s">
        <v>65</v>
      </c>
      <c r="F3" s="9" t="s">
        <v>49</v>
      </c>
      <c r="G3" s="9" t="s">
        <v>49</v>
      </c>
      <c r="H3" s="9" t="s">
        <v>49</v>
      </c>
      <c r="I3" s="134" t="s">
        <v>63</v>
      </c>
      <c r="L3" s="9" t="s">
        <v>49</v>
      </c>
      <c r="M3" s="9" t="s">
        <v>49</v>
      </c>
      <c r="N3" s="9" t="s">
        <v>49</v>
      </c>
      <c r="O3" s="134" t="s">
        <v>65</v>
      </c>
    </row>
    <row r="4" spans="1:15" x14ac:dyDescent="0.35">
      <c r="A4" s="75" t="s">
        <v>60</v>
      </c>
      <c r="B4" s="134" t="s">
        <v>65</v>
      </c>
      <c r="C4" s="84" t="s">
        <v>67</v>
      </c>
      <c r="D4" s="84" t="s">
        <v>67</v>
      </c>
      <c r="F4" s="134" t="s">
        <v>62</v>
      </c>
      <c r="G4" s="77" t="s">
        <v>54</v>
      </c>
      <c r="H4" s="77" t="s">
        <v>54</v>
      </c>
      <c r="I4" s="134" t="s">
        <v>64</v>
      </c>
      <c r="L4" s="9" t="s">
        <v>50</v>
      </c>
      <c r="M4" s="9" t="s">
        <v>50</v>
      </c>
      <c r="N4" s="9" t="s">
        <v>50</v>
      </c>
      <c r="O4" s="134" t="s">
        <v>66</v>
      </c>
    </row>
    <row r="5" spans="1:15" x14ac:dyDescent="0.35">
      <c r="A5" s="134" t="s">
        <v>64</v>
      </c>
      <c r="B5" s="84" t="s">
        <v>68</v>
      </c>
      <c r="C5" s="84" t="s">
        <v>68</v>
      </c>
      <c r="D5" s="84" t="s">
        <v>68</v>
      </c>
      <c r="F5" s="134" t="s">
        <v>63</v>
      </c>
      <c r="G5" s="77" t="s">
        <v>56</v>
      </c>
      <c r="H5" s="77" t="s">
        <v>55</v>
      </c>
      <c r="I5" s="134" t="s">
        <v>65</v>
      </c>
      <c r="L5" s="137" t="s">
        <v>51</v>
      </c>
      <c r="M5" s="137" t="s">
        <v>51</v>
      </c>
      <c r="N5" s="137" t="s">
        <v>51</v>
      </c>
      <c r="O5" s="84" t="s">
        <v>67</v>
      </c>
    </row>
    <row r="6" spans="1:15" x14ac:dyDescent="0.35">
      <c r="A6" s="134" t="s">
        <v>65</v>
      </c>
      <c r="B6" s="84" t="s">
        <v>69</v>
      </c>
      <c r="C6" s="84" t="s">
        <v>69</v>
      </c>
      <c r="D6" s="84" t="s">
        <v>69</v>
      </c>
      <c r="F6" s="134" t="s">
        <v>64</v>
      </c>
      <c r="G6" s="75" t="s">
        <v>58</v>
      </c>
      <c r="H6" s="77" t="s">
        <v>56</v>
      </c>
      <c r="I6" s="84" t="s">
        <v>67</v>
      </c>
      <c r="L6" s="137" t="s">
        <v>52</v>
      </c>
      <c r="M6" s="77" t="s">
        <v>55</v>
      </c>
      <c r="N6" s="137" t="s">
        <v>53</v>
      </c>
      <c r="O6" s="84" t="s">
        <v>68</v>
      </c>
    </row>
    <row r="7" spans="1:15" x14ac:dyDescent="0.35">
      <c r="A7" s="84" t="s">
        <v>69</v>
      </c>
      <c r="B7" s="84" t="s">
        <v>70</v>
      </c>
      <c r="C7" s="84" t="s">
        <v>70</v>
      </c>
      <c r="D7" s="84" t="s">
        <v>70</v>
      </c>
      <c r="F7" s="134" t="s">
        <v>65</v>
      </c>
      <c r="G7" s="75" t="s">
        <v>61</v>
      </c>
      <c r="H7" s="75" t="s">
        <v>58</v>
      </c>
      <c r="I7" s="84" t="s">
        <v>68</v>
      </c>
      <c r="L7" s="137" t="s">
        <v>53</v>
      </c>
      <c r="M7" s="134" t="s">
        <v>62</v>
      </c>
      <c r="N7" s="77" t="s">
        <v>55</v>
      </c>
      <c r="O7" s="84" t="s">
        <v>69</v>
      </c>
    </row>
    <row r="8" spans="1:15" x14ac:dyDescent="0.35">
      <c r="A8" s="134" t="s">
        <v>78</v>
      </c>
      <c r="B8" s="84" t="s">
        <v>71</v>
      </c>
      <c r="C8" s="134" t="s">
        <v>78</v>
      </c>
      <c r="D8" s="138" t="s">
        <v>84</v>
      </c>
      <c r="F8" s="134" t="s">
        <v>66</v>
      </c>
      <c r="G8" s="134" t="s">
        <v>62</v>
      </c>
      <c r="H8" s="75" t="s">
        <v>59</v>
      </c>
      <c r="I8" s="84" t="s">
        <v>69</v>
      </c>
      <c r="L8" s="77" t="s">
        <v>54</v>
      </c>
      <c r="M8" s="134" t="s">
        <v>64</v>
      </c>
      <c r="N8" s="75" t="s">
        <v>57</v>
      </c>
      <c r="O8" s="84" t="s">
        <v>71</v>
      </c>
    </row>
    <row r="9" spans="1:15" x14ac:dyDescent="0.35">
      <c r="A9" s="134" t="s">
        <v>80</v>
      </c>
      <c r="B9" s="136" t="s">
        <v>75</v>
      </c>
      <c r="C9" s="134" t="s">
        <v>79</v>
      </c>
      <c r="D9" s="138" t="s">
        <v>85</v>
      </c>
      <c r="F9" s="84" t="s">
        <v>67</v>
      </c>
      <c r="G9" s="134" t="s">
        <v>63</v>
      </c>
      <c r="H9" s="134" t="s">
        <v>62</v>
      </c>
      <c r="I9" s="84" t="s">
        <v>70</v>
      </c>
      <c r="L9" s="77" t="s">
        <v>55</v>
      </c>
      <c r="M9" s="134" t="s">
        <v>65</v>
      </c>
      <c r="N9" s="75" t="s">
        <v>58</v>
      </c>
      <c r="O9" s="136" t="s">
        <v>72</v>
      </c>
    </row>
    <row r="10" spans="1:15" x14ac:dyDescent="0.35">
      <c r="A10" s="135" t="s">
        <v>90</v>
      </c>
      <c r="B10" s="134" t="s">
        <v>78</v>
      </c>
      <c r="C10" s="134" t="s">
        <v>80</v>
      </c>
      <c r="D10" s="135" t="s">
        <v>90</v>
      </c>
      <c r="F10" s="84" t="s">
        <v>68</v>
      </c>
      <c r="G10" s="134" t="s">
        <v>64</v>
      </c>
      <c r="H10" s="134" t="s">
        <v>63</v>
      </c>
      <c r="I10" s="84" t="s">
        <v>71</v>
      </c>
      <c r="L10" s="77" t="s">
        <v>56</v>
      </c>
      <c r="M10" s="134" t="s">
        <v>66</v>
      </c>
      <c r="N10" s="75" t="s">
        <v>61</v>
      </c>
      <c r="O10" s="136" t="s">
        <v>73</v>
      </c>
    </row>
    <row r="11" spans="1:15" x14ac:dyDescent="0.35">
      <c r="A11" s="78" t="s">
        <v>95</v>
      </c>
      <c r="B11" s="134" t="s">
        <v>80</v>
      </c>
      <c r="C11" s="138" t="s">
        <v>84</v>
      </c>
      <c r="D11" s="78" t="s">
        <v>93</v>
      </c>
      <c r="F11" s="84" t="s">
        <v>71</v>
      </c>
      <c r="G11" s="134" t="s">
        <v>65</v>
      </c>
      <c r="H11" s="134" t="s">
        <v>64</v>
      </c>
      <c r="I11" s="136" t="s">
        <v>74</v>
      </c>
      <c r="L11" s="75" t="s">
        <v>57</v>
      </c>
      <c r="M11" s="84" t="s">
        <v>71</v>
      </c>
      <c r="N11" s="134" t="s">
        <v>62</v>
      </c>
      <c r="O11" s="136" t="s">
        <v>74</v>
      </c>
    </row>
    <row r="12" spans="1:15" x14ac:dyDescent="0.35">
      <c r="B12" s="78" t="s">
        <v>93</v>
      </c>
      <c r="C12" s="138" t="s">
        <v>85</v>
      </c>
      <c r="F12" s="136" t="s">
        <v>74</v>
      </c>
      <c r="G12" s="84" t="s">
        <v>67</v>
      </c>
      <c r="H12" s="134" t="s">
        <v>65</v>
      </c>
      <c r="I12" s="134" t="s">
        <v>81</v>
      </c>
      <c r="L12" s="75" t="s">
        <v>58</v>
      </c>
      <c r="M12" s="136" t="s">
        <v>73</v>
      </c>
      <c r="N12" s="134" t="s">
        <v>63</v>
      </c>
      <c r="O12" s="136" t="s">
        <v>76</v>
      </c>
    </row>
    <row r="13" spans="1:15" x14ac:dyDescent="0.35">
      <c r="B13" s="78" t="s">
        <v>94</v>
      </c>
      <c r="C13" s="78" t="s">
        <v>95</v>
      </c>
      <c r="F13" s="136" t="s">
        <v>75</v>
      </c>
      <c r="G13" s="84" t="s">
        <v>68</v>
      </c>
      <c r="H13" s="84" t="s">
        <v>67</v>
      </c>
      <c r="I13" s="138" t="s">
        <v>84</v>
      </c>
      <c r="L13" s="75" t="s">
        <v>61</v>
      </c>
      <c r="M13" s="136" t="s">
        <v>75</v>
      </c>
      <c r="N13" s="134" t="s">
        <v>64</v>
      </c>
      <c r="O13" s="134" t="s">
        <v>77</v>
      </c>
    </row>
    <row r="14" spans="1:15" x14ac:dyDescent="0.35">
      <c r="B14" s="78" t="s">
        <v>96</v>
      </c>
      <c r="F14" s="134" t="s">
        <v>77</v>
      </c>
      <c r="G14" s="136" t="s">
        <v>74</v>
      </c>
      <c r="H14" s="84" t="s">
        <v>68</v>
      </c>
      <c r="I14" s="138" t="s">
        <v>85</v>
      </c>
      <c r="L14" s="134" t="s">
        <v>64</v>
      </c>
      <c r="M14" s="136" t="s">
        <v>76</v>
      </c>
      <c r="N14" s="134" t="s">
        <v>65</v>
      </c>
      <c r="O14" s="134" t="s">
        <v>78</v>
      </c>
    </row>
    <row r="15" spans="1:15" x14ac:dyDescent="0.35">
      <c r="F15" s="134" t="s">
        <v>80</v>
      </c>
      <c r="G15" s="136" t="s">
        <v>75</v>
      </c>
      <c r="H15" s="84" t="s">
        <v>70</v>
      </c>
      <c r="I15" s="135" t="s">
        <v>89</v>
      </c>
      <c r="L15" s="134" t="s">
        <v>65</v>
      </c>
      <c r="M15" s="134" t="s">
        <v>77</v>
      </c>
      <c r="N15" s="134" t="s">
        <v>66</v>
      </c>
      <c r="O15" s="134" t="s">
        <v>80</v>
      </c>
    </row>
    <row r="16" spans="1:15" x14ac:dyDescent="0.35">
      <c r="F16" s="134" t="s">
        <v>81</v>
      </c>
      <c r="G16" s="134" t="s">
        <v>81</v>
      </c>
      <c r="H16" s="136" t="s">
        <v>74</v>
      </c>
      <c r="I16" s="135" t="s">
        <v>90</v>
      </c>
      <c r="L16" s="134" t="s">
        <v>66</v>
      </c>
      <c r="M16" s="134" t="s">
        <v>78</v>
      </c>
      <c r="N16" s="84" t="s">
        <v>69</v>
      </c>
      <c r="O16" s="134" t="s">
        <v>81</v>
      </c>
    </row>
    <row r="17" spans="6:15" x14ac:dyDescent="0.35">
      <c r="F17" s="78" t="s">
        <v>92</v>
      </c>
      <c r="G17" s="138" t="s">
        <v>85</v>
      </c>
      <c r="H17" s="136" t="s">
        <v>75</v>
      </c>
      <c r="I17" s="78" t="s">
        <v>95</v>
      </c>
      <c r="L17" s="84" t="s">
        <v>67</v>
      </c>
      <c r="M17" s="134" t="s">
        <v>81</v>
      </c>
      <c r="N17" s="136" t="s">
        <v>72</v>
      </c>
      <c r="O17" s="138" t="s">
        <v>82</v>
      </c>
    </row>
    <row r="18" spans="6:15" x14ac:dyDescent="0.35">
      <c r="F18" s="78" t="s">
        <v>93</v>
      </c>
      <c r="G18" s="78" t="s">
        <v>92</v>
      </c>
      <c r="H18" s="134" t="s">
        <v>77</v>
      </c>
      <c r="L18" s="84" t="s">
        <v>68</v>
      </c>
      <c r="M18" s="138" t="s">
        <v>82</v>
      </c>
      <c r="N18" s="136" t="s">
        <v>73</v>
      </c>
      <c r="O18" s="138" t="s">
        <v>83</v>
      </c>
    </row>
    <row r="19" spans="6:15" x14ac:dyDescent="0.35">
      <c r="F19" s="78" t="s">
        <v>94</v>
      </c>
      <c r="G19" s="78" t="s">
        <v>93</v>
      </c>
      <c r="H19" s="134" t="s">
        <v>80</v>
      </c>
      <c r="L19" s="84" t="s">
        <v>71</v>
      </c>
      <c r="M19" s="138" t="s">
        <v>83</v>
      </c>
      <c r="N19" s="136" t="s">
        <v>76</v>
      </c>
      <c r="O19" s="138" t="s">
        <v>85</v>
      </c>
    </row>
    <row r="20" spans="6:15" x14ac:dyDescent="0.35">
      <c r="G20" s="78" t="s">
        <v>94</v>
      </c>
      <c r="H20" s="134" t="s">
        <v>81</v>
      </c>
      <c r="L20" s="136" t="s">
        <v>72</v>
      </c>
      <c r="M20" s="138" t="s">
        <v>86</v>
      </c>
      <c r="N20" s="134" t="s">
        <v>77</v>
      </c>
      <c r="O20" s="138" t="s">
        <v>86</v>
      </c>
    </row>
    <row r="21" spans="6:15" x14ac:dyDescent="0.35">
      <c r="H21" s="138" t="s">
        <v>84</v>
      </c>
      <c r="L21" s="136" t="s">
        <v>73</v>
      </c>
      <c r="M21" s="135" t="s">
        <v>87</v>
      </c>
      <c r="N21" s="134" t="s">
        <v>78</v>
      </c>
      <c r="O21" s="135" t="s">
        <v>87</v>
      </c>
    </row>
    <row r="22" spans="6:15" x14ac:dyDescent="0.35">
      <c r="H22" s="138" t="s">
        <v>85</v>
      </c>
      <c r="L22" s="136" t="s">
        <v>74</v>
      </c>
      <c r="M22" s="135" t="s">
        <v>88</v>
      </c>
      <c r="N22" s="134" t="s">
        <v>79</v>
      </c>
      <c r="O22" s="135" t="s">
        <v>88</v>
      </c>
    </row>
    <row r="23" spans="6:15" x14ac:dyDescent="0.35">
      <c r="H23" s="135" t="s">
        <v>90</v>
      </c>
      <c r="L23" s="136" t="s">
        <v>76</v>
      </c>
      <c r="M23" s="139" t="s">
        <v>97</v>
      </c>
      <c r="N23" s="134" t="s">
        <v>80</v>
      </c>
      <c r="O23" s="135" t="s">
        <v>89</v>
      </c>
    </row>
    <row r="24" spans="6:15" x14ac:dyDescent="0.35">
      <c r="H24" s="78" t="s">
        <v>95</v>
      </c>
      <c r="L24" s="134" t="s">
        <v>79</v>
      </c>
      <c r="N24" s="134" t="s">
        <v>81</v>
      </c>
      <c r="O24" s="78" t="s">
        <v>92</v>
      </c>
    </row>
    <row r="25" spans="6:15" x14ac:dyDescent="0.35">
      <c r="L25" s="134" t="s">
        <v>81</v>
      </c>
      <c r="N25" s="138" t="s">
        <v>82</v>
      </c>
      <c r="O25" s="78" t="s">
        <v>93</v>
      </c>
    </row>
    <row r="26" spans="6:15" x14ac:dyDescent="0.35">
      <c r="L26" s="138" t="s">
        <v>82</v>
      </c>
      <c r="N26" s="138" t="s">
        <v>83</v>
      </c>
      <c r="O26" s="139" t="s">
        <v>97</v>
      </c>
    </row>
    <row r="27" spans="6:15" x14ac:dyDescent="0.35">
      <c r="L27" s="138" t="s">
        <v>83</v>
      </c>
      <c r="N27" s="138" t="s">
        <v>84</v>
      </c>
    </row>
    <row r="28" spans="6:15" x14ac:dyDescent="0.35">
      <c r="L28" s="138" t="s">
        <v>86</v>
      </c>
      <c r="N28" s="138" t="s">
        <v>85</v>
      </c>
    </row>
    <row r="29" spans="6:15" x14ac:dyDescent="0.35">
      <c r="L29" s="135" t="s">
        <v>87</v>
      </c>
      <c r="N29" s="138" t="s">
        <v>86</v>
      </c>
    </row>
    <row r="30" spans="6:15" x14ac:dyDescent="0.35">
      <c r="L30" s="135" t="s">
        <v>88</v>
      </c>
      <c r="N30" s="135" t="s">
        <v>87</v>
      </c>
    </row>
    <row r="31" spans="6:15" x14ac:dyDescent="0.35">
      <c r="L31" s="135" t="s">
        <v>89</v>
      </c>
      <c r="N31" s="135" t="s">
        <v>88</v>
      </c>
    </row>
    <row r="32" spans="6:15" x14ac:dyDescent="0.35">
      <c r="L32" s="135" t="s">
        <v>91</v>
      </c>
      <c r="N32" s="135" t="s">
        <v>89</v>
      </c>
    </row>
    <row r="33" spans="12:14" x14ac:dyDescent="0.35">
      <c r="L33" s="78" t="s">
        <v>94</v>
      </c>
      <c r="N33" s="135" t="s">
        <v>90</v>
      </c>
    </row>
    <row r="34" spans="12:14" x14ac:dyDescent="0.35">
      <c r="L34" s="78" t="s">
        <v>96</v>
      </c>
      <c r="N34" s="78" t="s">
        <v>93</v>
      </c>
    </row>
    <row r="35" spans="12:14" x14ac:dyDescent="0.35">
      <c r="L35" s="139" t="s">
        <v>97</v>
      </c>
      <c r="N35" s="78" t="s">
        <v>95</v>
      </c>
    </row>
  </sheetData>
  <mergeCells count="3">
    <mergeCell ref="A1:D1"/>
    <mergeCell ref="F1:I1"/>
    <mergeCell ref="L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55C1-0F95-417B-9250-4030BF112490}">
  <sheetPr>
    <tabColor rgb="FF00B050"/>
  </sheetPr>
  <dimension ref="A1:AB97"/>
  <sheetViews>
    <sheetView tabSelected="1" zoomScaleNormal="100" workbookViewId="0">
      <selection activeCell="A3" sqref="A3"/>
    </sheetView>
  </sheetViews>
  <sheetFormatPr defaultRowHeight="14.5" x14ac:dyDescent="0.35"/>
  <cols>
    <col min="1" max="1" width="27.36328125" bestFit="1" customWidth="1"/>
    <col min="2" max="4" width="33.7265625" customWidth="1"/>
    <col min="5" max="7" width="35.36328125" customWidth="1"/>
    <col min="8" max="10" width="35.1796875" customWidth="1"/>
    <col min="11" max="13" width="34.90625" customWidth="1"/>
    <col min="14" max="14" width="10.1796875" customWidth="1"/>
    <col min="16" max="16" width="10.1796875" bestFit="1" customWidth="1"/>
    <col min="17" max="17" width="26.54296875" style="91" bestFit="1" customWidth="1"/>
    <col min="18" max="18" width="27.08984375" customWidth="1"/>
    <col min="19" max="19" width="27.26953125" customWidth="1"/>
    <col min="20" max="20" width="26.54296875" customWidth="1"/>
    <col min="21" max="22" width="13.54296875" customWidth="1"/>
    <col min="23" max="23" width="24.81640625" customWidth="1"/>
    <col min="24" max="24" width="27.54296875" customWidth="1"/>
    <col min="25" max="25" width="25.90625" customWidth="1"/>
    <col min="26" max="26" width="24.81640625" bestFit="1" customWidth="1"/>
    <col min="27" max="27" width="27.54296875" bestFit="1" customWidth="1"/>
    <col min="28" max="28" width="20.54296875" customWidth="1"/>
  </cols>
  <sheetData>
    <row r="1" spans="1:28" x14ac:dyDescent="0.35">
      <c r="A1" s="82" t="s">
        <v>98</v>
      </c>
      <c r="B1" s="82" t="s">
        <v>99</v>
      </c>
      <c r="C1" s="82" t="s">
        <v>100</v>
      </c>
      <c r="D1" s="82" t="s">
        <v>101</v>
      </c>
      <c r="E1" s="82" t="s">
        <v>102</v>
      </c>
      <c r="F1" s="82" t="s">
        <v>103</v>
      </c>
      <c r="G1" s="82" t="s">
        <v>104</v>
      </c>
      <c r="H1" s="82" t="s">
        <v>105</v>
      </c>
      <c r="I1" s="82" t="s">
        <v>106</v>
      </c>
      <c r="J1" s="82" t="s">
        <v>107</v>
      </c>
      <c r="K1" s="82" t="s">
        <v>108</v>
      </c>
      <c r="L1" s="82" t="s">
        <v>109</v>
      </c>
      <c r="M1" s="82" t="s">
        <v>110</v>
      </c>
      <c r="Q1" s="88" t="s">
        <v>7</v>
      </c>
      <c r="R1" s="41" t="s">
        <v>7</v>
      </c>
      <c r="S1" s="41" t="s">
        <v>7</v>
      </c>
      <c r="T1" s="41" t="s">
        <v>9</v>
      </c>
      <c r="U1" s="41" t="s">
        <v>9</v>
      </c>
      <c r="V1" s="41" t="s">
        <v>9</v>
      </c>
      <c r="W1" s="41" t="s">
        <v>8</v>
      </c>
      <c r="X1" s="41" t="s">
        <v>8</v>
      </c>
      <c r="Y1" s="41" t="s">
        <v>8</v>
      </c>
      <c r="Z1" s="41" t="s">
        <v>10</v>
      </c>
      <c r="AA1" s="41" t="s">
        <v>10</v>
      </c>
      <c r="AB1" s="41" t="s">
        <v>10</v>
      </c>
    </row>
    <row r="2" spans="1:28" x14ac:dyDescent="0.35">
      <c r="A2" s="10" t="s">
        <v>166</v>
      </c>
      <c r="B2" s="10">
        <v>0.63275715045003333</v>
      </c>
      <c r="C2" s="10">
        <v>0.36724284954996672</v>
      </c>
      <c r="D2" s="10">
        <v>0.17304251071291021</v>
      </c>
      <c r="E2" s="10">
        <v>0.21434594520575251</v>
      </c>
      <c r="F2" s="10">
        <v>0.33924030681285811</v>
      </c>
      <c r="G2" s="10">
        <v>0.96178842758226124</v>
      </c>
      <c r="H2" s="10">
        <v>0.68790182259992472</v>
      </c>
      <c r="I2" s="10">
        <v>0.31627128285738559</v>
      </c>
      <c r="J2" s="10">
        <v>0.40228029459432979</v>
      </c>
      <c r="K2" s="10">
        <v>0.4849696355118181</v>
      </c>
      <c r="L2" s="10">
        <v>0.23172297938761591</v>
      </c>
      <c r="M2" s="10">
        <v>0.51973547523924757</v>
      </c>
      <c r="N2" s="10" t="s">
        <v>32</v>
      </c>
      <c r="Q2" s="89" t="s">
        <v>4</v>
      </c>
      <c r="R2" s="43" t="s">
        <v>5</v>
      </c>
      <c r="S2" s="43" t="s">
        <v>6</v>
      </c>
      <c r="T2" s="43" t="s">
        <v>4</v>
      </c>
      <c r="U2" s="43" t="s">
        <v>5</v>
      </c>
      <c r="V2" s="43" t="s">
        <v>6</v>
      </c>
      <c r="W2" s="43" t="s">
        <v>4</v>
      </c>
      <c r="X2" s="43" t="s">
        <v>5</v>
      </c>
      <c r="Y2" s="43" t="s">
        <v>6</v>
      </c>
      <c r="Z2" s="43" t="s">
        <v>4</v>
      </c>
      <c r="AA2" s="43" t="s">
        <v>5</v>
      </c>
      <c r="AB2" s="43" t="s">
        <v>6</v>
      </c>
    </row>
    <row r="3" spans="1:28" x14ac:dyDescent="0.35">
      <c r="A3" s="10" t="s">
        <v>167</v>
      </c>
      <c r="B3" s="10">
        <v>0.9727441946983314</v>
      </c>
      <c r="C3" s="10">
        <v>0.60403040402144836</v>
      </c>
      <c r="D3" s="83">
        <v>1.9053548193704001E-2</v>
      </c>
      <c r="E3" s="10">
        <v>0.73913038672604903</v>
      </c>
      <c r="F3" s="10">
        <v>0.99994956179441508</v>
      </c>
      <c r="G3" s="10">
        <v>0.60403040402144836</v>
      </c>
      <c r="H3" s="10">
        <v>0.54500593559208865</v>
      </c>
      <c r="I3" s="10">
        <v>0.94803016540170892</v>
      </c>
      <c r="J3" s="10">
        <v>2.385267667127133E-2</v>
      </c>
      <c r="K3" s="10">
        <v>0.33924030681285811</v>
      </c>
      <c r="L3" s="10">
        <v>0.94088585521013635</v>
      </c>
      <c r="M3" s="10">
        <v>3.7541234185428192E-3</v>
      </c>
      <c r="N3" s="10" t="s">
        <v>32</v>
      </c>
      <c r="P3" t="str" cm="1">
        <f t="array" ref="P3:P8">_xlfn.UNIQUE(N2:N97)</f>
        <v>Stem</v>
      </c>
      <c r="Q3" s="90">
        <f>IF(MIN(B2:B8) &lt;0.05,MIN(B2:B8),"NA")</f>
        <v>4.6298355537997774E-3</v>
      </c>
      <c r="R3" s="40">
        <f t="shared" ref="R3:AB3" si="0">IF(MIN(C2:C8) &lt;0.05,MIN(C2:C8),"NA")</f>
        <v>6.7042759450837246E-4</v>
      </c>
      <c r="S3" s="40">
        <f t="shared" si="0"/>
        <v>1.9053548193704001E-2</v>
      </c>
      <c r="T3" s="40">
        <f t="shared" si="0"/>
        <v>1.097977112383042E-20</v>
      </c>
      <c r="U3" s="40">
        <f t="shared" si="0"/>
        <v>3.6900608683083041E-7</v>
      </c>
      <c r="V3" s="40">
        <f t="shared" si="0"/>
        <v>1.9053548193704001E-2</v>
      </c>
      <c r="W3" s="40">
        <f t="shared" si="0"/>
        <v>6.5633437089035283E-15</v>
      </c>
      <c r="X3" s="40">
        <f t="shared" si="0"/>
        <v>4.2430642213581307E-14</v>
      </c>
      <c r="Y3" s="40">
        <f t="shared" si="0"/>
        <v>1.275440828922693E-7</v>
      </c>
      <c r="Z3" s="40">
        <f t="shared" si="0"/>
        <v>3.402815753304427E-10</v>
      </c>
      <c r="AA3" s="40">
        <f t="shared" si="0"/>
        <v>4.6616812016357402E-12</v>
      </c>
      <c r="AB3" s="40">
        <f t="shared" si="0"/>
        <v>3.6130202652385502E-7</v>
      </c>
    </row>
    <row r="4" spans="1:28" x14ac:dyDescent="0.35">
      <c r="A4" s="10" t="s">
        <v>168</v>
      </c>
      <c r="B4" s="10">
        <v>0.19302048399242741</v>
      </c>
      <c r="C4" s="10">
        <v>1</v>
      </c>
      <c r="D4" s="10">
        <v>0.21434594520575251</v>
      </c>
      <c r="E4" s="10">
        <v>6.7042759450837246E-4</v>
      </c>
      <c r="F4" s="10">
        <v>1</v>
      </c>
      <c r="G4" s="10">
        <v>0.21434594520575251</v>
      </c>
      <c r="H4" s="10">
        <v>7.1183650161997609E-3</v>
      </c>
      <c r="I4" s="10">
        <v>1</v>
      </c>
      <c r="J4" s="10">
        <v>3.7961104000793839E-4</v>
      </c>
      <c r="K4" s="10">
        <v>4.9504061134201882E-6</v>
      </c>
      <c r="L4" s="10">
        <v>1</v>
      </c>
      <c r="M4" s="83">
        <v>3.6130202652385502E-7</v>
      </c>
      <c r="N4" s="10" t="s">
        <v>32</v>
      </c>
      <c r="P4" t="str">
        <v>InceptionA</v>
      </c>
      <c r="Q4" s="90">
        <f>IF(MIN(B9:B29)&lt;0.05, MIN(B9:B29), "NA")</f>
        <v>3.1923094571434119E-8</v>
      </c>
      <c r="R4" s="40">
        <f t="shared" ref="R4:AB4" si="1">IF(MIN(C9:C29)&lt;0.05, MIN(C9:C29), "NA")</f>
        <v>3.3733096401047361E-35</v>
      </c>
      <c r="S4" s="40">
        <f t="shared" si="1"/>
        <v>7.9707961039300455E-7</v>
      </c>
      <c r="T4" s="40">
        <f t="shared" si="1"/>
        <v>3.458226107812958E-12</v>
      </c>
      <c r="U4" s="40">
        <f t="shared" si="1"/>
        <v>6.3788292383545346E-34</v>
      </c>
      <c r="V4" s="40">
        <f t="shared" si="1"/>
        <v>1.131901841898363E-32</v>
      </c>
      <c r="W4" s="40">
        <f t="shared" si="1"/>
        <v>1.240624711943028E-13</v>
      </c>
      <c r="X4" s="40">
        <f t="shared" si="1"/>
        <v>2.025099633895601E-52</v>
      </c>
      <c r="Y4" s="40">
        <f t="shared" si="1"/>
        <v>3.1308892056873999E-28</v>
      </c>
      <c r="Z4" s="40">
        <f t="shared" si="1"/>
        <v>2.820711655906156E-11</v>
      </c>
      <c r="AA4" s="40">
        <f t="shared" si="1"/>
        <v>4.2970242805233601E-45</v>
      </c>
      <c r="AB4" s="40">
        <f t="shared" si="1"/>
        <v>4.3473989205060592E-16</v>
      </c>
    </row>
    <row r="5" spans="1:28" x14ac:dyDescent="0.35">
      <c r="A5" s="10" t="s">
        <v>169</v>
      </c>
      <c r="B5" s="10">
        <v>7.0771444478710852E-2</v>
      </c>
      <c r="C5" s="10">
        <v>0.99993127286383343</v>
      </c>
      <c r="D5" s="10">
        <v>1</v>
      </c>
      <c r="E5" s="10">
        <v>3.5800149477577373E-15</v>
      </c>
      <c r="F5" s="10">
        <v>2.7255805301668649E-2</v>
      </c>
      <c r="G5" s="10">
        <v>0.99124236032330704</v>
      </c>
      <c r="H5" s="10">
        <v>3.8989699383371863E-14</v>
      </c>
      <c r="I5" s="10">
        <v>0.13225767047767359</v>
      </c>
      <c r="J5" s="10">
        <v>0.99999999979237009</v>
      </c>
      <c r="K5" s="10">
        <v>3.402815753304427E-10</v>
      </c>
      <c r="L5" s="10">
        <v>9.426003862497733E-5</v>
      </c>
      <c r="M5" s="10">
        <v>1</v>
      </c>
      <c r="N5" s="10" t="s">
        <v>32</v>
      </c>
      <c r="P5" t="str">
        <v>ReducitonA</v>
      </c>
      <c r="Q5" s="90">
        <f>IF(MIN(B30:B33)&lt;0.05, MIN(B30:B33), "NA")</f>
        <v>9.3132563399741616E-5</v>
      </c>
      <c r="R5" s="40" t="str">
        <f t="shared" ref="R5:AB5" si="2">IF(MIN(C30:C33)&lt;0.05, MIN(C30:C33), "NA")</f>
        <v>NA</v>
      </c>
      <c r="S5" s="40">
        <f t="shared" si="2"/>
        <v>2.284636495568472E-2</v>
      </c>
      <c r="T5" s="40">
        <f t="shared" si="2"/>
        <v>2.0160533626992649E-12</v>
      </c>
      <c r="U5" s="40">
        <f t="shared" si="2"/>
        <v>3.5800149477577373E-15</v>
      </c>
      <c r="V5" s="40">
        <f t="shared" si="2"/>
        <v>9.4747657568744627E-20</v>
      </c>
      <c r="W5" s="40">
        <f t="shared" si="2"/>
        <v>4.6487864535216721E-20</v>
      </c>
      <c r="X5" s="40">
        <f t="shared" si="2"/>
        <v>5.4239885053764207E-18</v>
      </c>
      <c r="Y5" s="40">
        <f t="shared" si="2"/>
        <v>9.9217884126361831E-25</v>
      </c>
      <c r="Z5" s="40">
        <f t="shared" si="2"/>
        <v>2.1659689066834469E-14</v>
      </c>
      <c r="AA5" s="40">
        <f t="shared" si="2"/>
        <v>1.8390390166130869E-43</v>
      </c>
      <c r="AB5" s="40">
        <f t="shared" si="2"/>
        <v>1.2578713111848019E-6</v>
      </c>
    </row>
    <row r="6" spans="1:28" x14ac:dyDescent="0.35">
      <c r="A6" s="10" t="s">
        <v>170</v>
      </c>
      <c r="B6" s="83">
        <v>4.6298355537997774E-3</v>
      </c>
      <c r="C6" s="10">
        <v>2.284636495568472E-2</v>
      </c>
      <c r="D6" s="10">
        <v>1</v>
      </c>
      <c r="E6" s="83">
        <v>1.097977112383042E-20</v>
      </c>
      <c r="F6" s="83">
        <v>3.6900608683083041E-7</v>
      </c>
      <c r="G6" s="10">
        <v>0.99998615736150531</v>
      </c>
      <c r="H6" s="83">
        <v>6.5633437089035283E-15</v>
      </c>
      <c r="I6" s="10">
        <v>3.6896243662590889E-7</v>
      </c>
      <c r="J6" s="10">
        <v>0.99999999999978373</v>
      </c>
      <c r="K6" s="83">
        <v>7.3853968232725039E-8</v>
      </c>
      <c r="L6" s="10">
        <v>1.9853821643737031E-4</v>
      </c>
      <c r="M6" s="10">
        <v>1</v>
      </c>
      <c r="N6" s="10" t="s">
        <v>32</v>
      </c>
      <c r="P6" t="str">
        <v>InceptionB</v>
      </c>
      <c r="Q6" s="90">
        <f>IF(MIN(B34:B73)&lt;0.05, MIN(B34:B73), "NA")</f>
        <v>9.0511370201880743E-35</v>
      </c>
      <c r="R6" s="40">
        <f t="shared" ref="R6:AB6" si="3">IF(MIN(C34:C73)&lt;0.05, MIN(C34:C73), "NA")</f>
        <v>7.4354863343056346E-32</v>
      </c>
      <c r="S6" s="40">
        <f t="shared" si="3"/>
        <v>3.5877207661542398E-82</v>
      </c>
      <c r="T6" s="40">
        <f t="shared" si="3"/>
        <v>8.1621766870248294E-117</v>
      </c>
      <c r="U6" s="40">
        <f t="shared" si="3"/>
        <v>7.7444877599609219E-61</v>
      </c>
      <c r="V6" s="40">
        <f t="shared" si="3"/>
        <v>4.8454365689446407E-130</v>
      </c>
      <c r="W6" s="40">
        <f t="shared" si="3"/>
        <v>7.5380420569438527E-116</v>
      </c>
      <c r="X6" s="40">
        <f t="shared" si="3"/>
        <v>1.2567644089974219E-88</v>
      </c>
      <c r="Y6" s="102">
        <f>IF(MIN(J34:J73)&lt;0.05, MIN(J34:J73), "NA")</f>
        <v>0</v>
      </c>
      <c r="Z6" s="40">
        <f t="shared" si="3"/>
        <v>2.6866680931156952E-57</v>
      </c>
      <c r="AA6" s="40">
        <f t="shared" si="3"/>
        <v>2.5226478039443701E-53</v>
      </c>
      <c r="AB6" s="40">
        <f t="shared" si="3"/>
        <v>3.6785569794429028E-282</v>
      </c>
    </row>
    <row r="7" spans="1:28" x14ac:dyDescent="0.35">
      <c r="A7" s="10" t="s">
        <v>171</v>
      </c>
      <c r="B7" s="10">
        <v>0.99998615736150531</v>
      </c>
      <c r="C7" s="83">
        <v>6.7042759450837246E-4</v>
      </c>
      <c r="D7" s="10">
        <v>0.99999999999654177</v>
      </c>
      <c r="E7" s="10">
        <v>3.6900608683083041E-7</v>
      </c>
      <c r="F7" s="10">
        <v>4.9504061134201882E-6</v>
      </c>
      <c r="G7" s="10">
        <v>0.98094645180629603</v>
      </c>
      <c r="H7" s="10">
        <v>4.9504061134201882E-6</v>
      </c>
      <c r="I7" s="83">
        <v>4.2430642213581307E-14</v>
      </c>
      <c r="J7" s="10">
        <v>0.55901376723676344</v>
      </c>
      <c r="K7" s="10">
        <v>6.1112744934414411E-2</v>
      </c>
      <c r="L7" s="83">
        <v>4.6616812016357402E-12</v>
      </c>
      <c r="M7" s="10">
        <v>0.99999999999995137</v>
      </c>
      <c r="N7" s="10" t="s">
        <v>32</v>
      </c>
      <c r="P7" t="str">
        <v>ReductionB</v>
      </c>
      <c r="Q7" s="90">
        <f>IF(MIN(B74:B79)&lt;0.05, MIN(B74:B79), "NA")</f>
        <v>1.576497202618777E-16</v>
      </c>
      <c r="R7" s="40">
        <f t="shared" ref="R7:AB7" si="4">IF(MIN(C74:C79)&lt;0.05, MIN(C74:C79), "NA")</f>
        <v>3.8211572417738697E-2</v>
      </c>
      <c r="S7" s="40">
        <f t="shared" si="4"/>
        <v>2.9089537729386642E-79</v>
      </c>
      <c r="T7" s="40">
        <f t="shared" si="4"/>
        <v>2.6395519188984468E-72</v>
      </c>
      <c r="U7" s="40">
        <f t="shared" si="4"/>
        <v>2.9804535640973499E-16</v>
      </c>
      <c r="V7" s="40">
        <f t="shared" si="4"/>
        <v>7.7756403794340515E-78</v>
      </c>
      <c r="W7" s="40">
        <f t="shared" si="4"/>
        <v>1.2400197949969341E-71</v>
      </c>
      <c r="X7" s="40">
        <f t="shared" si="4"/>
        <v>9.712265744470051E-289</v>
      </c>
      <c r="Y7" s="40" t="str">
        <f t="shared" si="4"/>
        <v>NA</v>
      </c>
      <c r="Z7" s="40">
        <f t="shared" si="4"/>
        <v>1.043564636923742E-80</v>
      </c>
      <c r="AA7" s="40">
        <f t="shared" si="4"/>
        <v>3.6637563483845062E-144</v>
      </c>
      <c r="AB7" s="40" t="str">
        <f t="shared" si="4"/>
        <v>NA</v>
      </c>
    </row>
    <row r="8" spans="1:28" x14ac:dyDescent="0.35">
      <c r="A8" s="10" t="s">
        <v>172</v>
      </c>
      <c r="B8" s="10">
        <v>7.1183650161997609E-3</v>
      </c>
      <c r="C8" s="10">
        <v>0.99999999965971842</v>
      </c>
      <c r="D8" s="10">
        <v>0.99999504959388663</v>
      </c>
      <c r="E8" s="10">
        <v>6.7296703835153783E-13</v>
      </c>
      <c r="F8" s="10">
        <v>0.99766543951883324</v>
      </c>
      <c r="G8" s="83">
        <v>1.9053548193704001E-2</v>
      </c>
      <c r="H8" s="10">
        <v>2.0924884743097259E-10</v>
      </c>
      <c r="I8" s="10">
        <v>0.93299352963525839</v>
      </c>
      <c r="J8" s="83">
        <v>1.275440828922693E-7</v>
      </c>
      <c r="K8" s="10">
        <v>0.19302048399242741</v>
      </c>
      <c r="L8" s="10">
        <v>0.98821875234863443</v>
      </c>
      <c r="M8" s="10">
        <v>0.99995437363801032</v>
      </c>
      <c r="N8" s="10" t="s">
        <v>32</v>
      </c>
      <c r="P8" t="str">
        <v>InceptionC</v>
      </c>
      <c r="Q8" s="90">
        <f>IF(MIN(B80:B98)&lt;0.05, MIN(B80:B98), "NA")</f>
        <v>1.1881822289344749E-212</v>
      </c>
      <c r="R8" s="40">
        <f t="shared" ref="R8:AB8" si="5">IF(MIN(C80:C98)&lt;0.05, MIN(C80:C98), "NA")</f>
        <v>1.1881822289344749E-212</v>
      </c>
      <c r="S8" s="40">
        <f t="shared" si="5"/>
        <v>1.1881822289344749E-212</v>
      </c>
      <c r="T8" s="40">
        <f t="shared" si="5"/>
        <v>1.1881822289344749E-212</v>
      </c>
      <c r="U8" s="40">
        <f t="shared" si="5"/>
        <v>1.1881822289344749E-212</v>
      </c>
      <c r="V8" s="40">
        <f t="shared" si="5"/>
        <v>1.1881822289344749E-212</v>
      </c>
      <c r="W8" s="40">
        <f t="shared" si="5"/>
        <v>1.1881822289344749E-212</v>
      </c>
      <c r="X8" s="40">
        <f t="shared" si="5"/>
        <v>6.1162364502226952E-297</v>
      </c>
      <c r="Y8" s="40">
        <f t="shared" si="5"/>
        <v>0</v>
      </c>
      <c r="Z8" s="40">
        <f t="shared" si="5"/>
        <v>1.1881822289344749E-212</v>
      </c>
      <c r="AA8" s="40">
        <f t="shared" si="5"/>
        <v>6.1162364502226952E-297</v>
      </c>
      <c r="AB8" s="40">
        <f t="shared" si="5"/>
        <v>0</v>
      </c>
    </row>
    <row r="9" spans="1:28" x14ac:dyDescent="0.35">
      <c r="A9" s="8" t="s">
        <v>173</v>
      </c>
      <c r="B9" s="8">
        <v>0.96178842758226124</v>
      </c>
      <c r="C9" s="8">
        <v>0.99999999999932698</v>
      </c>
      <c r="D9" s="8">
        <v>0.99537016444620019</v>
      </c>
      <c r="E9" s="83">
        <v>3.458226107812958E-12</v>
      </c>
      <c r="F9" s="8">
        <v>0.99424414898732705</v>
      </c>
      <c r="G9" s="8">
        <v>9.3132563399741616E-5</v>
      </c>
      <c r="H9" s="8">
        <v>3.5444863431141359E-9</v>
      </c>
      <c r="I9" s="8">
        <v>0.99510880570033722</v>
      </c>
      <c r="J9" s="8">
        <v>2.1803041910845409E-15</v>
      </c>
      <c r="K9" s="8">
        <v>1.07186411397128E-2</v>
      </c>
      <c r="L9" s="8">
        <v>0.9999999975473719</v>
      </c>
      <c r="M9" s="8">
        <v>0.9833541997779246</v>
      </c>
      <c r="N9" s="8" t="s">
        <v>174</v>
      </c>
    </row>
    <row r="10" spans="1:28" x14ac:dyDescent="0.35">
      <c r="A10" s="8" t="s">
        <v>175</v>
      </c>
      <c r="B10" s="8">
        <v>0.4849696355118181</v>
      </c>
      <c r="C10" s="8">
        <v>2.6718596037924099E-5</v>
      </c>
      <c r="D10" s="8">
        <v>0.78565405479424744</v>
      </c>
      <c r="E10" s="8">
        <v>0.91843865693126425</v>
      </c>
      <c r="F10" s="8">
        <v>2.425141220284132E-6</v>
      </c>
      <c r="G10" s="8">
        <v>6.7042759450837246E-4</v>
      </c>
      <c r="H10" s="8">
        <v>0.84556710823239156</v>
      </c>
      <c r="I10" s="8">
        <v>5.9114144789863682E-2</v>
      </c>
      <c r="J10" s="8">
        <v>6.6569854056430112E-3</v>
      </c>
      <c r="K10" s="8">
        <v>0.51503036448818196</v>
      </c>
      <c r="L10" s="8">
        <v>5.0765285346146517E-4</v>
      </c>
      <c r="M10" s="8">
        <v>0.27629386313673959</v>
      </c>
      <c r="N10" s="8" t="s">
        <v>174</v>
      </c>
      <c r="Q10" s="92" t="s">
        <v>7</v>
      </c>
      <c r="R10" s="41" t="s">
        <v>7</v>
      </c>
      <c r="S10" s="41" t="s">
        <v>7</v>
      </c>
      <c r="T10" s="86" t="s">
        <v>9</v>
      </c>
      <c r="U10" s="41" t="s">
        <v>9</v>
      </c>
      <c r="V10" s="41" t="s">
        <v>9</v>
      </c>
      <c r="W10" s="41" t="s">
        <v>8</v>
      </c>
      <c r="X10" s="41" t="s">
        <v>8</v>
      </c>
      <c r="Y10" s="41" t="s">
        <v>8</v>
      </c>
      <c r="Z10" s="41" t="s">
        <v>10</v>
      </c>
      <c r="AA10" s="41" t="s">
        <v>10</v>
      </c>
      <c r="AB10" s="41" t="s">
        <v>10</v>
      </c>
    </row>
    <row r="11" spans="1:28" x14ac:dyDescent="0.35">
      <c r="A11" s="8" t="s">
        <v>176</v>
      </c>
      <c r="B11" s="8">
        <v>1.122218591755879E-3</v>
      </c>
      <c r="C11" s="83">
        <v>1.348421393509673E-8</v>
      </c>
      <c r="D11" s="8">
        <v>0.99887778140824413</v>
      </c>
      <c r="E11" s="8">
        <v>0.33924030681285811</v>
      </c>
      <c r="F11" s="8">
        <v>7.3853968232725039E-8</v>
      </c>
      <c r="G11" s="8">
        <v>2.334560481166707E-3</v>
      </c>
      <c r="H11" s="8">
        <v>2.7255805301668649E-2</v>
      </c>
      <c r="I11" s="8">
        <v>7.0771119274836087E-7</v>
      </c>
      <c r="J11" s="8">
        <v>6.6569854056430112E-3</v>
      </c>
      <c r="K11" s="8">
        <v>6.7042759450837246E-4</v>
      </c>
      <c r="L11" s="8">
        <v>3.3524102704564208E-3</v>
      </c>
      <c r="M11" s="8">
        <v>0.99989813429443664</v>
      </c>
      <c r="N11" s="8" t="s">
        <v>174</v>
      </c>
      <c r="Q11" s="93" t="s">
        <v>4</v>
      </c>
      <c r="R11" s="43" t="s">
        <v>5</v>
      </c>
      <c r="S11" s="43" t="s">
        <v>6</v>
      </c>
      <c r="T11" s="87" t="s">
        <v>4</v>
      </c>
      <c r="U11" s="43" t="s">
        <v>5</v>
      </c>
      <c r="V11" s="43" t="s">
        <v>6</v>
      </c>
      <c r="W11" s="43" t="s">
        <v>4</v>
      </c>
      <c r="X11" s="43" t="s">
        <v>5</v>
      </c>
      <c r="Y11" s="43" t="s">
        <v>6</v>
      </c>
      <c r="Z11" s="43" t="s">
        <v>4</v>
      </c>
      <c r="AA11" s="43" t="s">
        <v>5</v>
      </c>
      <c r="AB11" s="43" t="s">
        <v>6</v>
      </c>
    </row>
    <row r="12" spans="1:28" x14ac:dyDescent="0.35">
      <c r="A12" s="8" t="s">
        <v>177</v>
      </c>
      <c r="B12" s="8">
        <v>6.1112744934414411E-2</v>
      </c>
      <c r="C12" s="8">
        <v>2.425141220284132E-6</v>
      </c>
      <c r="D12" s="8">
        <v>0.99288163498380022</v>
      </c>
      <c r="E12" s="8">
        <v>0.87867863039430649</v>
      </c>
      <c r="F12" s="8">
        <v>6.1112744934414411E-2</v>
      </c>
      <c r="G12" s="8">
        <v>0.1067839002741523</v>
      </c>
      <c r="H12" s="8">
        <v>0.90645347017408007</v>
      </c>
      <c r="I12" s="8">
        <v>1.5757444469028781E-14</v>
      </c>
      <c r="J12" s="8">
        <v>0.78577894779818636</v>
      </c>
      <c r="K12" s="8">
        <v>0.99996318795309103</v>
      </c>
      <c r="L12" s="8">
        <v>6.9185222163149317E-14</v>
      </c>
      <c r="M12" s="8">
        <v>0.97322538089809185</v>
      </c>
      <c r="N12" s="8" t="s">
        <v>174</v>
      </c>
      <c r="P12" s="1" t="s">
        <v>32</v>
      </c>
      <c r="Q12" s="94" t="s">
        <v>170</v>
      </c>
      <c r="R12" s="33" t="s">
        <v>171</v>
      </c>
      <c r="S12" s="33" t="s">
        <v>167</v>
      </c>
      <c r="T12" s="10" t="s">
        <v>170</v>
      </c>
      <c r="U12" s="10" t="s">
        <v>170</v>
      </c>
      <c r="V12" s="10" t="s">
        <v>172</v>
      </c>
      <c r="W12" s="10" t="s">
        <v>170</v>
      </c>
      <c r="X12" s="10" t="s">
        <v>171</v>
      </c>
      <c r="Y12" s="10" t="s">
        <v>172</v>
      </c>
      <c r="Z12" s="10" t="s">
        <v>170</v>
      </c>
      <c r="AA12" s="10" t="s">
        <v>171</v>
      </c>
      <c r="AB12" s="10" t="s">
        <v>168</v>
      </c>
    </row>
    <row r="13" spans="1:28" x14ac:dyDescent="0.35">
      <c r="A13" s="8" t="s">
        <v>178</v>
      </c>
      <c r="B13" s="8">
        <v>2.334560481166707E-3</v>
      </c>
      <c r="C13" s="8">
        <v>9.3132563399741616E-5</v>
      </c>
      <c r="D13" s="8">
        <v>5.2515725500884958E-2</v>
      </c>
      <c r="E13" s="8">
        <v>0.73913038672604903</v>
      </c>
      <c r="F13" s="8">
        <v>0.21434594520575251</v>
      </c>
      <c r="G13" s="8">
        <v>0.1067839002741523</v>
      </c>
      <c r="H13" s="8">
        <v>0.90645347017408007</v>
      </c>
      <c r="I13" s="8">
        <v>3.3524102704564208E-3</v>
      </c>
      <c r="J13" s="8">
        <v>8.746227021178405E-3</v>
      </c>
      <c r="K13" s="8">
        <v>0.91843865693126425</v>
      </c>
      <c r="L13" s="8">
        <v>2.4812202302998911E-6</v>
      </c>
      <c r="M13" s="8">
        <v>6.246997641291837E-2</v>
      </c>
      <c r="N13" s="8" t="s">
        <v>174</v>
      </c>
      <c r="P13" s="1" t="s">
        <v>174</v>
      </c>
      <c r="Q13" s="95" t="s">
        <v>193</v>
      </c>
      <c r="R13" s="32" t="s">
        <v>182</v>
      </c>
      <c r="S13" s="32" t="s">
        <v>187</v>
      </c>
      <c r="T13" s="8" t="s">
        <v>173</v>
      </c>
      <c r="U13" s="8" t="s">
        <v>182</v>
      </c>
      <c r="V13" s="8" t="s">
        <v>193</v>
      </c>
      <c r="W13" s="8" t="s">
        <v>181</v>
      </c>
      <c r="X13" s="8" t="s">
        <v>183</v>
      </c>
      <c r="Y13" s="8" t="s">
        <v>181</v>
      </c>
      <c r="Z13" s="8" t="s">
        <v>188</v>
      </c>
      <c r="AA13" s="8" t="s">
        <v>182</v>
      </c>
      <c r="AB13" s="8" t="s">
        <v>187</v>
      </c>
    </row>
    <row r="14" spans="1:28" x14ac:dyDescent="0.35">
      <c r="A14" s="8" t="s">
        <v>179</v>
      </c>
      <c r="B14" s="8">
        <v>0.28593891061226778</v>
      </c>
      <c r="C14" s="8">
        <v>1.07186411397128E-2</v>
      </c>
      <c r="D14" s="8">
        <v>0.99537016444620019</v>
      </c>
      <c r="E14" s="8">
        <v>0.99424414898732705</v>
      </c>
      <c r="F14" s="8">
        <v>4.4907133435382003E-2</v>
      </c>
      <c r="G14" s="8">
        <v>0.91843865693126425</v>
      </c>
      <c r="H14" s="8">
        <v>0.99999298654494129</v>
      </c>
      <c r="I14" s="8">
        <v>0.98821875234863443</v>
      </c>
      <c r="J14" s="8">
        <v>5.1933716582758664E-6</v>
      </c>
      <c r="K14" s="8">
        <v>0.90645347017408007</v>
      </c>
      <c r="L14" s="8">
        <v>0.99987869986183586</v>
      </c>
      <c r="M14" s="8">
        <v>0.42153851230015671</v>
      </c>
      <c r="N14" s="8" t="s">
        <v>174</v>
      </c>
      <c r="P14" s="1" t="s">
        <v>196</v>
      </c>
      <c r="Q14" s="96" t="s">
        <v>195</v>
      </c>
      <c r="R14" s="1" t="s">
        <v>21</v>
      </c>
      <c r="S14" s="34" t="s">
        <v>197</v>
      </c>
      <c r="T14" s="11" t="s">
        <v>195</v>
      </c>
      <c r="U14" s="11" t="s">
        <v>199</v>
      </c>
      <c r="V14" s="11" t="s">
        <v>199</v>
      </c>
      <c r="W14" s="11" t="s">
        <v>195</v>
      </c>
      <c r="X14" s="11" t="s">
        <v>199</v>
      </c>
      <c r="Y14" s="11" t="s">
        <v>195</v>
      </c>
      <c r="Z14" s="11" t="s">
        <v>195</v>
      </c>
      <c r="AA14" s="11" t="s">
        <v>199</v>
      </c>
      <c r="AB14" s="11" t="s">
        <v>199</v>
      </c>
    </row>
    <row r="15" spans="1:28" x14ac:dyDescent="0.35">
      <c r="A15" s="8" t="s">
        <v>180</v>
      </c>
      <c r="B15" s="8">
        <v>0.99999999999932698</v>
      </c>
      <c r="C15" s="8">
        <v>0.66075969318714201</v>
      </c>
      <c r="D15" s="8">
        <v>1.9053548193704001E-2</v>
      </c>
      <c r="E15" s="8">
        <v>0.99999999979075116</v>
      </c>
      <c r="F15" s="8">
        <v>1.07186411397128E-2</v>
      </c>
      <c r="G15" s="8">
        <v>0.99994956179441508</v>
      </c>
      <c r="H15" s="8">
        <v>1</v>
      </c>
      <c r="I15" s="8">
        <v>1.551145968315913E-20</v>
      </c>
      <c r="J15" s="8">
        <v>1.0708747364438029E-3</v>
      </c>
      <c r="K15" s="8">
        <v>1</v>
      </c>
      <c r="L15" s="8">
        <v>0.43668435258861488</v>
      </c>
      <c r="M15" s="8">
        <v>0.85067685735514165</v>
      </c>
      <c r="N15" s="8" t="s">
        <v>174</v>
      </c>
      <c r="P15" s="1" t="s">
        <v>201</v>
      </c>
      <c r="Q15" s="97" t="s">
        <v>240</v>
      </c>
      <c r="R15" s="24" t="s">
        <v>237</v>
      </c>
      <c r="S15" s="24" t="s">
        <v>229</v>
      </c>
      <c r="T15" s="84" t="s">
        <v>240</v>
      </c>
      <c r="U15" s="84" t="s">
        <v>239</v>
      </c>
      <c r="V15" s="84" t="s">
        <v>231</v>
      </c>
      <c r="W15" s="84" t="s">
        <v>231</v>
      </c>
      <c r="X15" s="84" t="s">
        <v>239</v>
      </c>
      <c r="Y15" s="84" t="s">
        <v>240</v>
      </c>
      <c r="Z15" s="84" t="s">
        <v>231</v>
      </c>
      <c r="AA15" s="84" t="s">
        <v>239</v>
      </c>
      <c r="AB15" s="84" t="s">
        <v>231</v>
      </c>
    </row>
    <row r="16" spans="1:28" x14ac:dyDescent="0.35">
      <c r="A16" s="8" t="s">
        <v>181</v>
      </c>
      <c r="B16" s="8">
        <v>0.1371961135641718</v>
      </c>
      <c r="C16" s="8">
        <v>1</v>
      </c>
      <c r="D16" s="8">
        <v>0.99999999999999967</v>
      </c>
      <c r="E16" s="8">
        <v>1.6840591736383231E-11</v>
      </c>
      <c r="F16" s="8">
        <v>1</v>
      </c>
      <c r="G16" s="8">
        <v>9.3132563399741616E-5</v>
      </c>
      <c r="H16" s="83">
        <v>1.240624711943028E-13</v>
      </c>
      <c r="I16" s="8">
        <v>0.99999999999998423</v>
      </c>
      <c r="J16" s="83">
        <v>3.1308892056873999E-28</v>
      </c>
      <c r="K16" s="8">
        <v>8.6972830393244492E-4</v>
      </c>
      <c r="L16" s="8">
        <v>1</v>
      </c>
      <c r="M16" s="8">
        <v>0.22893274393491991</v>
      </c>
      <c r="N16" s="8" t="s">
        <v>174</v>
      </c>
      <c r="P16" s="1" t="s">
        <v>242</v>
      </c>
      <c r="Q16" s="98" t="s">
        <v>245</v>
      </c>
      <c r="R16" s="1" t="s">
        <v>21</v>
      </c>
      <c r="S16" s="99" t="s">
        <v>245</v>
      </c>
      <c r="T16" s="85" t="s">
        <v>246</v>
      </c>
      <c r="U16" s="85" t="s">
        <v>247</v>
      </c>
      <c r="V16" s="85" t="s">
        <v>247</v>
      </c>
      <c r="W16" s="85" t="s">
        <v>243</v>
      </c>
      <c r="X16" s="85" t="s">
        <v>247</v>
      </c>
      <c r="Y16" s="83"/>
      <c r="Z16" s="85" t="s">
        <v>243</v>
      </c>
      <c r="AA16" s="85" t="s">
        <v>247</v>
      </c>
    </row>
    <row r="17" spans="1:28" x14ac:dyDescent="0.35">
      <c r="A17" s="8" t="s">
        <v>182</v>
      </c>
      <c r="B17" s="8">
        <v>0.21434594520575251</v>
      </c>
      <c r="C17" s="83">
        <v>3.3733096401047361E-35</v>
      </c>
      <c r="D17" s="8">
        <v>0.99998615736150531</v>
      </c>
      <c r="E17" s="8">
        <v>0.80697951600757256</v>
      </c>
      <c r="F17" s="83">
        <v>6.3788292383545346E-34</v>
      </c>
      <c r="G17" s="8">
        <v>0.99855974075723575</v>
      </c>
      <c r="H17" s="8">
        <v>0.42527252356759487</v>
      </c>
      <c r="I17" s="8">
        <v>1.3198362023714001E-47</v>
      </c>
      <c r="J17" s="8">
        <v>0.98119250275729419</v>
      </c>
      <c r="K17" s="8">
        <v>0.12132136960569349</v>
      </c>
      <c r="L17" s="83">
        <v>4.2970242805233601E-45</v>
      </c>
      <c r="M17" s="8">
        <v>0.99999480662834173</v>
      </c>
      <c r="N17" s="8" t="s">
        <v>174</v>
      </c>
      <c r="P17" s="1" t="s">
        <v>249</v>
      </c>
      <c r="Q17" s="100" t="s">
        <v>266</v>
      </c>
      <c r="R17" s="101" t="s">
        <v>266</v>
      </c>
      <c r="S17" s="101" t="s">
        <v>260</v>
      </c>
      <c r="T17" s="79" t="s">
        <v>266</v>
      </c>
      <c r="U17" s="79" t="s">
        <v>266</v>
      </c>
      <c r="V17" s="79" t="s">
        <v>266</v>
      </c>
      <c r="W17" s="79" t="s">
        <v>266</v>
      </c>
      <c r="X17" s="79" t="s">
        <v>266</v>
      </c>
      <c r="Y17" s="79" t="s">
        <v>252</v>
      </c>
      <c r="Z17" s="79" t="s">
        <v>266</v>
      </c>
      <c r="AA17" s="79" t="s">
        <v>266</v>
      </c>
      <c r="AB17" s="79" t="s">
        <v>252</v>
      </c>
    </row>
    <row r="18" spans="1:28" x14ac:dyDescent="0.35">
      <c r="A18" s="8" t="s">
        <v>183</v>
      </c>
      <c r="B18" s="8">
        <v>5.2515725500884958E-2</v>
      </c>
      <c r="C18" s="8">
        <v>3.1923094571434119E-8</v>
      </c>
      <c r="D18" s="8">
        <v>0.82695748928708979</v>
      </c>
      <c r="E18" s="8">
        <v>0.99705135870899886</v>
      </c>
      <c r="F18" s="8">
        <v>7.7224614927399764E-19</v>
      </c>
      <c r="G18" s="8">
        <v>0.78565405479424744</v>
      </c>
      <c r="H18" s="8">
        <v>0.15443289176760841</v>
      </c>
      <c r="I18" s="83">
        <v>2.025099633895601E-52</v>
      </c>
      <c r="J18" s="8">
        <v>0.9998184688162598</v>
      </c>
      <c r="K18" s="8">
        <v>2.284636495568472E-2</v>
      </c>
      <c r="L18" s="8">
        <v>4.887639291849132E-34</v>
      </c>
      <c r="M18" s="8">
        <v>0.87251033867059924</v>
      </c>
      <c r="N18" s="8" t="s">
        <v>174</v>
      </c>
    </row>
    <row r="19" spans="1:28" x14ac:dyDescent="0.35">
      <c r="A19" s="8" t="s">
        <v>184</v>
      </c>
      <c r="B19" s="8">
        <v>0.99932957240549158</v>
      </c>
      <c r="C19" s="8">
        <v>0.19302048399242741</v>
      </c>
      <c r="D19" s="8">
        <v>0.57472747643240507</v>
      </c>
      <c r="E19" s="8">
        <v>5.2515725500884958E-2</v>
      </c>
      <c r="F19" s="8">
        <v>2.334560481166707E-3</v>
      </c>
      <c r="G19" s="8">
        <v>0.86280388643582817</v>
      </c>
      <c r="H19" s="8">
        <v>3.7045825410822238E-3</v>
      </c>
      <c r="I19" s="8">
        <v>0.43668435258861488</v>
      </c>
      <c r="J19" s="8">
        <v>0.70691509105290307</v>
      </c>
      <c r="K19" s="8">
        <v>0.90645347017408007</v>
      </c>
      <c r="L19" s="8">
        <v>0.99999999999999978</v>
      </c>
      <c r="M19" s="8">
        <v>0.99999901515765666</v>
      </c>
      <c r="N19" s="8" t="s">
        <v>174</v>
      </c>
    </row>
    <row r="20" spans="1:28" x14ac:dyDescent="0.35">
      <c r="A20" s="8" t="s">
        <v>185</v>
      </c>
      <c r="B20" s="8">
        <v>0.63275715045003333</v>
      </c>
      <c r="C20" s="8">
        <v>0.92922855552128913</v>
      </c>
      <c r="D20" s="8">
        <v>0.4849696355118181</v>
      </c>
      <c r="E20" s="8">
        <v>0.76301913543624389</v>
      </c>
      <c r="F20" s="8">
        <v>1.122218591755879E-3</v>
      </c>
      <c r="G20" s="8">
        <v>0.26086961327395092</v>
      </c>
      <c r="H20" s="8">
        <v>2.7255805301668649E-2</v>
      </c>
      <c r="I20" s="8">
        <v>0.56331564741138507</v>
      </c>
      <c r="J20" s="8">
        <v>3.7961104000793839E-4</v>
      </c>
      <c r="K20" s="8">
        <v>0.99124236032330704</v>
      </c>
      <c r="L20" s="8">
        <v>0.99999986524989859</v>
      </c>
      <c r="M20" s="8">
        <v>0.99999347680462847</v>
      </c>
      <c r="N20" s="8" t="s">
        <v>174</v>
      </c>
    </row>
    <row r="21" spans="1:28" x14ac:dyDescent="0.35">
      <c r="A21" s="8" t="s">
        <v>186</v>
      </c>
      <c r="B21" s="8">
        <v>0.1067839002741523</v>
      </c>
      <c r="C21" s="8">
        <v>0.99999999999999989</v>
      </c>
      <c r="D21" s="8">
        <v>0.84556710823239156</v>
      </c>
      <c r="E21" s="8">
        <v>8.7576396766929094E-3</v>
      </c>
      <c r="F21" s="8">
        <v>0.99997328140396202</v>
      </c>
      <c r="G21" s="8">
        <v>0.23698086456375611</v>
      </c>
      <c r="H21" s="8">
        <v>1.3842638494642849E-5</v>
      </c>
      <c r="I21" s="8">
        <v>0.9999999325310226</v>
      </c>
      <c r="J21" s="8">
        <v>7.5593422981252698E-2</v>
      </c>
      <c r="K21" s="8">
        <v>0.26086961327395092</v>
      </c>
      <c r="L21" s="8">
        <v>1</v>
      </c>
      <c r="M21" s="8">
        <v>0.99999999403730033</v>
      </c>
      <c r="N21" s="8" t="s">
        <v>174</v>
      </c>
      <c r="Q21" s="121" t="s">
        <v>7</v>
      </c>
      <c r="R21" s="42" t="s">
        <v>7</v>
      </c>
      <c r="S21" s="42" t="s">
        <v>7</v>
      </c>
      <c r="T21" s="42" t="s">
        <v>9</v>
      </c>
      <c r="U21" s="42" t="s">
        <v>9</v>
      </c>
      <c r="V21" s="42" t="s">
        <v>9</v>
      </c>
      <c r="W21" s="42" t="s">
        <v>8</v>
      </c>
      <c r="X21" s="42" t="s">
        <v>8</v>
      </c>
      <c r="Y21" s="42" t="s">
        <v>8</v>
      </c>
      <c r="Z21" s="42" t="s">
        <v>10</v>
      </c>
      <c r="AA21" s="42" t="s">
        <v>10</v>
      </c>
      <c r="AB21" s="42" t="s">
        <v>10</v>
      </c>
    </row>
    <row r="22" spans="1:28" x14ac:dyDescent="0.35">
      <c r="A22" s="8" t="s">
        <v>187</v>
      </c>
      <c r="B22" s="8">
        <v>0.99999999987208177</v>
      </c>
      <c r="C22" s="8">
        <v>0.99999999999996103</v>
      </c>
      <c r="D22" s="83">
        <v>7.9707961039300455E-7</v>
      </c>
      <c r="E22" s="8">
        <v>0.99999999999932698</v>
      </c>
      <c r="F22" s="8">
        <v>1</v>
      </c>
      <c r="G22" s="8">
        <v>8.2873783617900435E-17</v>
      </c>
      <c r="H22" s="8">
        <v>2.0924884743097259E-10</v>
      </c>
      <c r="I22" s="8">
        <v>1</v>
      </c>
      <c r="J22" s="8">
        <v>2.583503659065779E-6</v>
      </c>
      <c r="K22" s="8">
        <v>0.99999883845122339</v>
      </c>
      <c r="L22" s="8">
        <v>1</v>
      </c>
      <c r="M22" s="83">
        <v>4.3473989205060592E-16</v>
      </c>
      <c r="N22" s="8" t="s">
        <v>174</v>
      </c>
      <c r="Q22" s="121" t="s">
        <v>4</v>
      </c>
      <c r="R22" s="42" t="s">
        <v>5</v>
      </c>
      <c r="S22" s="42" t="s">
        <v>6</v>
      </c>
      <c r="T22" s="42" t="s">
        <v>4</v>
      </c>
      <c r="U22" s="42" t="s">
        <v>5</v>
      </c>
      <c r="V22" s="42" t="s">
        <v>6</v>
      </c>
      <c r="W22" s="42" t="s">
        <v>4</v>
      </c>
      <c r="X22" s="42" t="s">
        <v>5</v>
      </c>
      <c r="Y22" s="42" t="s">
        <v>6</v>
      </c>
      <c r="Z22" s="42" t="s">
        <v>4</v>
      </c>
      <c r="AA22" s="42" t="s">
        <v>5</v>
      </c>
      <c r="AB22" s="42" t="s">
        <v>6</v>
      </c>
    </row>
    <row r="23" spans="1:28" x14ac:dyDescent="0.35">
      <c r="A23" s="8" t="s">
        <v>188</v>
      </c>
      <c r="B23" s="8">
        <v>3.2352956527301337E-2</v>
      </c>
      <c r="C23" s="8">
        <v>1</v>
      </c>
      <c r="D23" s="8">
        <v>0.82695748928708979</v>
      </c>
      <c r="E23" s="8">
        <v>2.4893806564397472E-7</v>
      </c>
      <c r="F23" s="8">
        <v>1</v>
      </c>
      <c r="G23" s="8">
        <v>0.12132136960569349</v>
      </c>
      <c r="H23" s="8">
        <v>2.0924884743097259E-10</v>
      </c>
      <c r="I23" s="8">
        <v>1</v>
      </c>
      <c r="J23" s="8">
        <v>2.1803041910845409E-15</v>
      </c>
      <c r="K23" s="83">
        <v>2.820711655906156E-11</v>
      </c>
      <c r="L23" s="8">
        <v>1</v>
      </c>
      <c r="M23" s="8">
        <v>2.7812846673214439E-3</v>
      </c>
      <c r="N23" s="8" t="s">
        <v>174</v>
      </c>
      <c r="P23" s="103" t="s">
        <v>32</v>
      </c>
      <c r="Q23" s="123">
        <v>4.6299999999999996E-3</v>
      </c>
      <c r="R23" s="124">
        <v>6.7000000000000002E-4</v>
      </c>
      <c r="S23" s="124">
        <v>1.9099999999999999E-2</v>
      </c>
      <c r="T23" s="124">
        <v>1.1E-20</v>
      </c>
      <c r="U23" s="124">
        <v>3.6899999999999998E-7</v>
      </c>
      <c r="V23" s="124">
        <v>1.9099999999999999E-2</v>
      </c>
      <c r="W23" s="124">
        <v>6.5600000000000001E-15</v>
      </c>
      <c r="X23" s="124">
        <v>4.2400000000000001E-14</v>
      </c>
      <c r="Y23" s="124">
        <v>1.2800000000000001E-7</v>
      </c>
      <c r="Z23" s="124">
        <v>3.4000000000000001E-10</v>
      </c>
      <c r="AA23" s="122">
        <v>4.6599999999999999E-12</v>
      </c>
      <c r="AB23" s="122">
        <v>3.6100000000000002E-7</v>
      </c>
    </row>
    <row r="24" spans="1:28" x14ac:dyDescent="0.35">
      <c r="A24" s="8" t="s">
        <v>189</v>
      </c>
      <c r="B24" s="8">
        <v>0.90645347017408007</v>
      </c>
      <c r="C24" s="8">
        <v>5.2515725500884958E-2</v>
      </c>
      <c r="D24" s="8">
        <v>0.91843865693126425</v>
      </c>
      <c r="E24" s="8">
        <v>0.57472747643240507</v>
      </c>
      <c r="F24" s="8">
        <v>1.838572134761929E-3</v>
      </c>
      <c r="G24" s="8">
        <v>0.93888725506558557</v>
      </c>
      <c r="H24" s="8">
        <v>0.21434594520575251</v>
      </c>
      <c r="I24" s="8">
        <v>7.0771119274836087E-7</v>
      </c>
      <c r="J24" s="8">
        <v>0.99000827141995984</v>
      </c>
      <c r="K24" s="8">
        <v>0.82695748928708979</v>
      </c>
      <c r="L24" s="8">
        <v>1.631823268572254E-2</v>
      </c>
      <c r="M24" s="8">
        <v>0.99999963869797348</v>
      </c>
      <c r="N24" s="8" t="s">
        <v>174</v>
      </c>
      <c r="P24" s="103" t="s">
        <v>174</v>
      </c>
      <c r="Q24" s="123">
        <v>3.1900000000000001E-8</v>
      </c>
      <c r="R24" s="124">
        <v>3.3700000000000001E-35</v>
      </c>
      <c r="S24" s="124">
        <v>7.9699999999999995E-7</v>
      </c>
      <c r="T24" s="124">
        <v>3.4600000000000002E-12</v>
      </c>
      <c r="U24" s="124">
        <v>6.3799999999999996E-34</v>
      </c>
      <c r="V24" s="124">
        <v>1.1299999999999999E-32</v>
      </c>
      <c r="W24" s="124">
        <v>1.24E-13</v>
      </c>
      <c r="X24" s="124">
        <v>2.03E-52</v>
      </c>
      <c r="Y24" s="124">
        <v>3.13E-28</v>
      </c>
      <c r="Z24" s="124">
        <v>2.82E-11</v>
      </c>
      <c r="AA24" s="122">
        <v>4.2999999999999999E-45</v>
      </c>
      <c r="AB24" s="122">
        <v>4.3500000000000002E-16</v>
      </c>
    </row>
    <row r="25" spans="1:28" x14ac:dyDescent="0.35">
      <c r="A25" s="8" t="s">
        <v>190</v>
      </c>
      <c r="B25" s="8">
        <v>1.305113666870847E-2</v>
      </c>
      <c r="C25" s="8">
        <v>0.99999999992226063</v>
      </c>
      <c r="D25" s="8">
        <v>0.21434594520575251</v>
      </c>
      <c r="E25" s="8">
        <v>2.284636495568472E-2</v>
      </c>
      <c r="F25" s="8">
        <v>0.9999996309939132</v>
      </c>
      <c r="G25" s="8">
        <v>0.51503036448818196</v>
      </c>
      <c r="H25" s="8">
        <v>2.6718596037924099E-5</v>
      </c>
      <c r="I25" s="8">
        <v>0.99999999999999878</v>
      </c>
      <c r="J25" s="8">
        <v>3.7961104000793839E-4</v>
      </c>
      <c r="K25" s="8">
        <v>9.8807434232840573E-6</v>
      </c>
      <c r="L25" s="8">
        <v>0.9999996310375634</v>
      </c>
      <c r="M25" s="8">
        <v>0.99497834845533328</v>
      </c>
      <c r="N25" s="8" t="s">
        <v>174</v>
      </c>
      <c r="P25" s="103" t="s">
        <v>196</v>
      </c>
      <c r="Q25" s="123">
        <v>9.31E-5</v>
      </c>
      <c r="R25" s="124" t="s">
        <v>21</v>
      </c>
      <c r="S25" s="124">
        <v>2.2800000000000001E-2</v>
      </c>
      <c r="T25" s="124">
        <v>2.0199999999999999E-12</v>
      </c>
      <c r="U25" s="124">
        <v>3.5799999999999998E-15</v>
      </c>
      <c r="V25" s="124">
        <v>9.4700000000000002E-20</v>
      </c>
      <c r="W25" s="124">
        <v>4.6500000000000003E-20</v>
      </c>
      <c r="X25" s="124">
        <v>5.4199999999999997E-18</v>
      </c>
      <c r="Y25" s="124">
        <v>9.9199999999999995E-25</v>
      </c>
      <c r="Z25" s="124">
        <v>2.1700000000000002E-14</v>
      </c>
      <c r="AA25" s="122">
        <v>1.84E-43</v>
      </c>
      <c r="AB25" s="122">
        <v>1.26E-6</v>
      </c>
    </row>
    <row r="26" spans="1:28" x14ac:dyDescent="0.35">
      <c r="A26" s="8" t="s">
        <v>191</v>
      </c>
      <c r="B26" s="8">
        <v>0.57472747643240507</v>
      </c>
      <c r="C26" s="8">
        <v>0.99705135870899886</v>
      </c>
      <c r="D26" s="8">
        <v>0.26086961327395092</v>
      </c>
      <c r="E26" s="8">
        <v>0.42527252356759487</v>
      </c>
      <c r="F26" s="8">
        <v>0.99999652535152628</v>
      </c>
      <c r="G26" s="8">
        <v>5.5654150471749074E-9</v>
      </c>
      <c r="H26" s="8">
        <v>1.6698232803194559E-7</v>
      </c>
      <c r="I26" s="8">
        <v>1</v>
      </c>
      <c r="J26" s="8">
        <v>7.6923020107467956E-7</v>
      </c>
      <c r="K26" s="8">
        <v>4.9504061134201882E-6</v>
      </c>
      <c r="L26" s="8">
        <v>1</v>
      </c>
      <c r="M26" s="8">
        <v>0.51973547523924757</v>
      </c>
      <c r="N26" s="8" t="s">
        <v>174</v>
      </c>
      <c r="P26" s="103" t="s">
        <v>201</v>
      </c>
      <c r="Q26" s="123">
        <v>9.0500000000000003E-35</v>
      </c>
      <c r="R26" s="124">
        <v>7.4400000000000005E-32</v>
      </c>
      <c r="S26" s="124">
        <v>3.5900000000000001E-82</v>
      </c>
      <c r="T26" s="124">
        <v>8.1599999999999994E-117</v>
      </c>
      <c r="U26" s="124">
        <v>7.7400000000000001E-61</v>
      </c>
      <c r="V26" s="124">
        <v>4.8500000000000001E-130</v>
      </c>
      <c r="W26" s="124">
        <v>7.5399999999999999E-116</v>
      </c>
      <c r="X26" s="124">
        <v>1.2599999999999999E-88</v>
      </c>
      <c r="Y26" s="124">
        <v>0</v>
      </c>
      <c r="Z26" s="124">
        <v>2.6900000000000001E-57</v>
      </c>
      <c r="AA26" s="122">
        <v>2.52E-53</v>
      </c>
      <c r="AB26" s="122">
        <v>3.6799999999999998E-282</v>
      </c>
    </row>
    <row r="27" spans="1:28" x14ac:dyDescent="0.35">
      <c r="A27" s="8" t="s">
        <v>192</v>
      </c>
      <c r="B27" s="8">
        <v>0.26086961327395092</v>
      </c>
      <c r="C27" s="8">
        <v>0.57472747643240507</v>
      </c>
      <c r="D27" s="8">
        <v>0.51503036448818196</v>
      </c>
      <c r="E27" s="8">
        <v>0.23698086456375611</v>
      </c>
      <c r="F27" s="8">
        <v>0.9869488633312915</v>
      </c>
      <c r="G27" s="8">
        <v>4.9504061134201882E-6</v>
      </c>
      <c r="H27" s="8">
        <v>9.9948438318163314E-12</v>
      </c>
      <c r="I27" s="8">
        <v>0.99999986524989859</v>
      </c>
      <c r="J27" s="8">
        <v>5.372390887680575E-12</v>
      </c>
      <c r="K27" s="8">
        <v>2.2423766932352069E-4</v>
      </c>
      <c r="L27" s="8">
        <v>0.9999999999970306</v>
      </c>
      <c r="M27" s="8">
        <v>2.7812846673214439E-3</v>
      </c>
      <c r="N27" s="8" t="s">
        <v>174</v>
      </c>
      <c r="P27" s="103" t="s">
        <v>242</v>
      </c>
      <c r="Q27" s="123">
        <v>1.58E-16</v>
      </c>
      <c r="R27" s="124"/>
      <c r="S27" s="124">
        <v>2.91E-79</v>
      </c>
      <c r="T27" s="124">
        <v>2.64E-72</v>
      </c>
      <c r="U27" s="124">
        <v>2.9800000000000001E-16</v>
      </c>
      <c r="V27" s="124">
        <v>7.7799999999999995E-78</v>
      </c>
      <c r="W27" s="124">
        <v>1.2399999999999999E-71</v>
      </c>
      <c r="X27" s="124">
        <v>9.7100000000000005E-289</v>
      </c>
      <c r="Y27" s="124" t="s">
        <v>21</v>
      </c>
      <c r="Z27" s="124">
        <v>1.04E-80</v>
      </c>
      <c r="AA27" s="122">
        <v>3.66E-144</v>
      </c>
      <c r="AB27" s="42" t="s">
        <v>21</v>
      </c>
    </row>
    <row r="28" spans="1:28" x14ac:dyDescent="0.35">
      <c r="A28" s="8" t="s">
        <v>193</v>
      </c>
      <c r="B28" s="83">
        <v>3.1923094571434119E-8</v>
      </c>
      <c r="C28" s="8">
        <v>0.96178842758226124</v>
      </c>
      <c r="D28" s="8">
        <v>0.28593891061226778</v>
      </c>
      <c r="E28" s="8">
        <v>5.5654150471749074E-9</v>
      </c>
      <c r="F28" s="8">
        <v>3.8989699383371863E-14</v>
      </c>
      <c r="G28" s="83">
        <v>1.131901841898363E-32</v>
      </c>
      <c r="H28" s="8">
        <v>4.8695444035950358E-8</v>
      </c>
      <c r="I28" s="8">
        <v>0.99999999985201682</v>
      </c>
      <c r="J28" s="8">
        <v>8.4452298333022239E-27</v>
      </c>
      <c r="K28" s="8">
        <v>5.5012734621003682E-10</v>
      </c>
      <c r="L28" s="8">
        <v>1</v>
      </c>
      <c r="M28" s="8">
        <v>9.0609765053783109E-4</v>
      </c>
      <c r="N28" s="8" t="s">
        <v>174</v>
      </c>
      <c r="P28" s="103" t="s">
        <v>249</v>
      </c>
      <c r="Q28" s="123">
        <v>1.19E-212</v>
      </c>
      <c r="R28" s="124">
        <v>1.19E-212</v>
      </c>
      <c r="S28" s="124">
        <v>1.19E-212</v>
      </c>
      <c r="T28" s="124">
        <v>1.19E-212</v>
      </c>
      <c r="U28" s="124">
        <v>1.19E-212</v>
      </c>
      <c r="V28" s="124">
        <v>1.19E-212</v>
      </c>
      <c r="W28" s="124">
        <v>1.19E-212</v>
      </c>
      <c r="X28" s="124">
        <v>6.1199999999999998E-297</v>
      </c>
      <c r="Y28" s="124">
        <v>0</v>
      </c>
      <c r="Z28" s="124">
        <v>1.19E-212</v>
      </c>
      <c r="AA28" s="122">
        <v>6.1199999999999998E-297</v>
      </c>
      <c r="AB28" s="122">
        <v>0</v>
      </c>
    </row>
    <row r="29" spans="1:28" x14ac:dyDescent="0.35">
      <c r="A29" s="8" t="s">
        <v>194</v>
      </c>
      <c r="B29" s="8">
        <v>0.91843865693126425</v>
      </c>
      <c r="C29" s="8">
        <v>0.99999999999000511</v>
      </c>
      <c r="D29" s="8">
        <v>4.6298355537997774E-3</v>
      </c>
      <c r="E29" s="8">
        <v>0.99629541745891781</v>
      </c>
      <c r="F29" s="8">
        <v>0.91843865693126425</v>
      </c>
      <c r="G29" s="8">
        <v>3.1923094571434119E-8</v>
      </c>
      <c r="H29" s="8">
        <v>6.7042759450837246E-4</v>
      </c>
      <c r="I29" s="8">
        <v>1.7407444791703001E-18</v>
      </c>
      <c r="J29" s="8">
        <v>3.2423801973958432E-15</v>
      </c>
      <c r="K29" s="8">
        <v>0.99999652535152628</v>
      </c>
      <c r="L29" s="8">
        <v>2.263359430982945E-3</v>
      </c>
      <c r="M29" s="8">
        <v>6.246997641291837E-2</v>
      </c>
      <c r="N29" s="8" t="s">
        <v>174</v>
      </c>
    </row>
    <row r="30" spans="1:28" x14ac:dyDescent="0.35">
      <c r="A30" s="11" t="s">
        <v>195</v>
      </c>
      <c r="B30" s="83">
        <v>9.3132563399741616E-5</v>
      </c>
      <c r="C30" s="11">
        <v>1</v>
      </c>
      <c r="D30" s="11">
        <v>8.1561343068735734E-2</v>
      </c>
      <c r="E30" s="83">
        <v>2.0160533626992649E-12</v>
      </c>
      <c r="F30" s="11">
        <v>0.99999999911581672</v>
      </c>
      <c r="G30" s="11">
        <v>8.8418329764702732E-10</v>
      </c>
      <c r="H30" s="83">
        <v>4.6487864535216721E-20</v>
      </c>
      <c r="I30" s="11">
        <v>0.99999999999981837</v>
      </c>
      <c r="J30" s="83">
        <v>9.9217884126361831E-25</v>
      </c>
      <c r="K30" s="83">
        <v>2.1659689066834469E-14</v>
      </c>
      <c r="L30" s="11">
        <v>1</v>
      </c>
      <c r="M30" s="11">
        <v>4.3467742682115106E-3</v>
      </c>
      <c r="N30" s="11" t="s">
        <v>196</v>
      </c>
    </row>
    <row r="31" spans="1:28" ht="34" customHeight="1" x14ac:dyDescent="0.35">
      <c r="A31" s="11" t="s">
        <v>197</v>
      </c>
      <c r="B31" s="11">
        <v>0.57472747643240507</v>
      </c>
      <c r="C31" s="11">
        <v>0.99977576233067644</v>
      </c>
      <c r="D31" s="83">
        <v>2.284636495568472E-2</v>
      </c>
      <c r="E31" s="11">
        <v>0.96178842758226124</v>
      </c>
      <c r="F31" s="11">
        <v>0.99983177687150404</v>
      </c>
      <c r="G31" s="11">
        <v>6.1112744934414411E-2</v>
      </c>
      <c r="H31" s="11">
        <v>0.60403040402144836</v>
      </c>
      <c r="I31" s="11">
        <v>0.99594302973241455</v>
      </c>
      <c r="J31" s="11">
        <v>5.5969236796788963E-5</v>
      </c>
      <c r="K31" s="11">
        <v>0.99913027169606761</v>
      </c>
      <c r="L31" s="11">
        <v>0.16151711141812949</v>
      </c>
      <c r="M31" s="11">
        <v>0.55901376723676344</v>
      </c>
      <c r="N31" s="11" t="s">
        <v>196</v>
      </c>
      <c r="P31" s="1"/>
      <c r="Q31" s="88" t="s">
        <v>7</v>
      </c>
      <c r="R31" s="41" t="s">
        <v>7</v>
      </c>
      <c r="S31" s="41" t="s">
        <v>7</v>
      </c>
      <c r="T31" s="41" t="s">
        <v>9</v>
      </c>
      <c r="U31" s="41" t="s">
        <v>9</v>
      </c>
      <c r="V31" s="41" t="s">
        <v>9</v>
      </c>
      <c r="W31" s="41" t="s">
        <v>8</v>
      </c>
      <c r="X31" s="41" t="s">
        <v>8</v>
      </c>
      <c r="Y31" s="41" t="s">
        <v>8</v>
      </c>
      <c r="Z31" s="41" t="s">
        <v>10</v>
      </c>
      <c r="AA31" s="41" t="s">
        <v>10</v>
      </c>
      <c r="AB31" s="41" t="s">
        <v>10</v>
      </c>
    </row>
    <row r="32" spans="1:28" ht="32" customHeight="1" x14ac:dyDescent="0.35">
      <c r="A32" s="11" t="s">
        <v>198</v>
      </c>
      <c r="B32" s="11">
        <v>0.1371961135641718</v>
      </c>
      <c r="C32" s="11">
        <v>0.90645347017408007</v>
      </c>
      <c r="D32" s="11">
        <v>0.82695748928708979</v>
      </c>
      <c r="E32" s="11">
        <v>0.94748427449911499</v>
      </c>
      <c r="F32" s="11">
        <v>0.17304251071291021</v>
      </c>
      <c r="G32" s="11">
        <v>0.19302048399242741</v>
      </c>
      <c r="H32" s="11">
        <v>0.60403040402144836</v>
      </c>
      <c r="I32" s="11">
        <v>0.51271458465071473</v>
      </c>
      <c r="J32" s="11">
        <v>0.29308490894709688</v>
      </c>
      <c r="K32" s="11">
        <v>0.96178842758226124</v>
      </c>
      <c r="L32" s="11">
        <v>0.23172297938761591</v>
      </c>
      <c r="M32" s="11">
        <v>0.99676504144747002</v>
      </c>
      <c r="N32" s="11" t="s">
        <v>196</v>
      </c>
      <c r="P32" s="1"/>
      <c r="Q32" s="88" t="s">
        <v>4</v>
      </c>
      <c r="R32" s="41" t="s">
        <v>5</v>
      </c>
      <c r="S32" s="41" t="s">
        <v>6</v>
      </c>
      <c r="T32" s="41" t="s">
        <v>4</v>
      </c>
      <c r="U32" s="41" t="s">
        <v>5</v>
      </c>
      <c r="V32" s="41" t="s">
        <v>6</v>
      </c>
      <c r="W32" s="41" t="s">
        <v>4</v>
      </c>
      <c r="X32" s="41" t="s">
        <v>5</v>
      </c>
      <c r="Y32" s="41" t="s">
        <v>6</v>
      </c>
      <c r="Z32" s="41" t="s">
        <v>4</v>
      </c>
      <c r="AA32" s="41" t="s">
        <v>5</v>
      </c>
      <c r="AB32" s="41" t="s">
        <v>6</v>
      </c>
    </row>
    <row r="33" spans="1:28" ht="43.5" x14ac:dyDescent="0.35">
      <c r="A33" s="11" t="s">
        <v>199</v>
      </c>
      <c r="B33" s="11">
        <v>0.66075969318714201</v>
      </c>
      <c r="C33" s="11">
        <v>0.15443289176760841</v>
      </c>
      <c r="D33" s="11">
        <v>0.98928135886028723</v>
      </c>
      <c r="E33" s="11">
        <v>0.9676470434726987</v>
      </c>
      <c r="F33" s="83">
        <v>3.5800149477577373E-15</v>
      </c>
      <c r="G33" s="83">
        <v>9.4747657568744627E-20</v>
      </c>
      <c r="H33" s="11">
        <v>2.9727623726529142E-4</v>
      </c>
      <c r="I33" s="83">
        <v>5.4239885053764207E-18</v>
      </c>
      <c r="J33" s="11">
        <v>1.279801989594919E-23</v>
      </c>
      <c r="K33" s="11">
        <v>0.99983177687150404</v>
      </c>
      <c r="L33" s="83">
        <v>1.8390390166130869E-43</v>
      </c>
      <c r="M33" s="83">
        <v>1.2578713111848019E-6</v>
      </c>
      <c r="N33" s="11" t="s">
        <v>196</v>
      </c>
      <c r="P33" s="2" t="s">
        <v>32</v>
      </c>
      <c r="Q33" s="125" t="str">
        <f>CONCATENATE(Q12,CHAR(10), TEXT(Q23, "0.00E+00"))</f>
        <v>Conv2d_3b_1x1.conv
4.63E-03</v>
      </c>
      <c r="R33" s="125" t="str">
        <f t="shared" ref="R33:AB33" si="6">CONCATENATE(R12,CHAR(10), TEXT(R23, "0.00E+00"))</f>
        <v>Conv2d_4a_3x3.conv
6.70E-04</v>
      </c>
      <c r="S33" s="125" t="str">
        <f t="shared" si="6"/>
        <v>Conv2d_2a_3x3.conv
1.91E-02</v>
      </c>
      <c r="T33" s="125" t="str">
        <f t="shared" si="6"/>
        <v>Conv2d_3b_1x1.conv
1.10E-20</v>
      </c>
      <c r="U33" s="125" t="str">
        <f t="shared" si="6"/>
        <v>Conv2d_3b_1x1.conv
3.69E-07</v>
      </c>
      <c r="V33" s="125" t="str">
        <f t="shared" si="6"/>
        <v>maxpool2
1.91E-02</v>
      </c>
      <c r="W33" s="125" t="str">
        <f t="shared" si="6"/>
        <v>Conv2d_3b_1x1.conv
6.56E-15</v>
      </c>
      <c r="X33" s="125" t="str">
        <f t="shared" si="6"/>
        <v>Conv2d_4a_3x3.conv
4.24E-14</v>
      </c>
      <c r="Y33" s="125" t="str">
        <f t="shared" si="6"/>
        <v>maxpool2
1.28E-07</v>
      </c>
      <c r="Z33" s="125" t="str">
        <f t="shared" si="6"/>
        <v>Conv2d_3b_1x1.conv
3.40E-10</v>
      </c>
      <c r="AA33" s="125" t="str">
        <f t="shared" si="6"/>
        <v>Conv2d_4a_3x3.conv
4.66E-12</v>
      </c>
      <c r="AB33" s="125" t="str">
        <f t="shared" si="6"/>
        <v>Conv2d_2b_3x3.conv
3.61E-07</v>
      </c>
    </row>
    <row r="34" spans="1:28" ht="58" x14ac:dyDescent="0.35">
      <c r="A34" s="84" t="s">
        <v>200</v>
      </c>
      <c r="B34" s="84">
        <v>8.2873783617900435E-17</v>
      </c>
      <c r="C34" s="84">
        <v>1</v>
      </c>
      <c r="D34" s="84">
        <v>0.99999999998315936</v>
      </c>
      <c r="E34" s="84">
        <v>3.3511207137447161E-27</v>
      </c>
      <c r="F34" s="84">
        <v>0.99999999999999967</v>
      </c>
      <c r="G34" s="84">
        <v>1.6698232803194559E-7</v>
      </c>
      <c r="H34" s="84">
        <v>2.9112115071309389E-32</v>
      </c>
      <c r="I34" s="84">
        <v>0.99999999999993083</v>
      </c>
      <c r="J34" s="84">
        <v>2.9352064099222172E-11</v>
      </c>
      <c r="K34" s="84">
        <v>1.1959484177270701E-14</v>
      </c>
      <c r="L34" s="84">
        <v>1</v>
      </c>
      <c r="M34" s="84">
        <v>0.99993150454811197</v>
      </c>
      <c r="N34" s="84" t="s">
        <v>201</v>
      </c>
      <c r="P34" s="2" t="s">
        <v>174</v>
      </c>
      <c r="Q34" s="125" t="str">
        <f t="shared" ref="Q34:AB34" si="7">CONCATENATE(Q13,CHAR(10), TEXT(Q24, "0.00E+00"))</f>
        <v>Mixed_5d.branch3x3dbl_3.conv
3.19E-08</v>
      </c>
      <c r="R34" s="125" t="str">
        <f t="shared" si="7"/>
        <v>Mixed_5c.branch5x5_1.conv
3.37E-35</v>
      </c>
      <c r="S34" s="125" t="str">
        <f t="shared" si="7"/>
        <v>Mixed_5c.branch_pool.conv
7.97E-07</v>
      </c>
      <c r="T34" s="125" t="str">
        <f t="shared" si="7"/>
        <v>Mixed_5b.branch1x1.conv
3.46E-12</v>
      </c>
      <c r="U34" s="125" t="str">
        <f t="shared" si="7"/>
        <v>Mixed_5c.branch5x5_1.conv
6.38E-34</v>
      </c>
      <c r="V34" s="125" t="str">
        <f t="shared" si="7"/>
        <v>Mixed_5d.branch3x3dbl_3.conv
1.13E-32</v>
      </c>
      <c r="W34" s="125" t="str">
        <f t="shared" si="7"/>
        <v>Mixed_5c.branch1x1.conv
1.24E-13</v>
      </c>
      <c r="X34" s="125" t="str">
        <f t="shared" si="7"/>
        <v>Mixed_5c.branch5x5_2.conv
2.03E-52</v>
      </c>
      <c r="Y34" s="125" t="str">
        <f t="shared" si="7"/>
        <v>Mixed_5c.branch1x1.conv
3.13E-28</v>
      </c>
      <c r="Z34" s="125" t="str">
        <f t="shared" si="7"/>
        <v>Mixed_5d.branch1x1.conv
2.82E-11</v>
      </c>
      <c r="AA34" s="125" t="str">
        <f t="shared" si="7"/>
        <v>Mixed_5c.branch5x5_1.conv
4.30E-45</v>
      </c>
      <c r="AB34" s="125" t="str">
        <f t="shared" si="7"/>
        <v>Mixed_5c.branch_pool.conv
4.35E-16</v>
      </c>
    </row>
    <row r="35" spans="1:28" ht="58" x14ac:dyDescent="0.35">
      <c r="A35" s="84" t="s">
        <v>202</v>
      </c>
      <c r="B35" s="84">
        <v>0.99999945612132479</v>
      </c>
      <c r="C35" s="84">
        <v>0.99999997919254269</v>
      </c>
      <c r="D35" s="84">
        <v>5.4387867517963772E-7</v>
      </c>
      <c r="E35" s="84">
        <v>0.99996318795309103</v>
      </c>
      <c r="F35" s="84">
        <v>0.99999999858720068</v>
      </c>
      <c r="G35" s="84">
        <v>0.98094645180629603</v>
      </c>
      <c r="H35" s="84">
        <v>5.7558510126729696E-3</v>
      </c>
      <c r="I35" s="84">
        <v>0.99999999833735431</v>
      </c>
      <c r="J35" s="84">
        <v>3.7541234185428192E-3</v>
      </c>
      <c r="K35" s="84">
        <v>0.99124236032330704</v>
      </c>
      <c r="L35" s="84">
        <v>0.99999999231875802</v>
      </c>
      <c r="M35" s="84">
        <v>4.448219006820597E-9</v>
      </c>
      <c r="N35" s="84" t="s">
        <v>201</v>
      </c>
      <c r="P35" s="2" t="s">
        <v>196</v>
      </c>
      <c r="Q35" s="125" t="str">
        <f t="shared" ref="Q35:AB35" si="8">CONCATENATE(Q14,CHAR(10), TEXT(Q25, "0.00E+00"))</f>
        <v>Mixed_6a.branch3x3.conv
9.31E-05</v>
      </c>
      <c r="R35" s="125" t="str">
        <f t="shared" si="8"/>
        <v>NA
NA</v>
      </c>
      <c r="S35" s="125" t="str">
        <f t="shared" si="8"/>
        <v>Mixed_6a.branch3x3dbl_1.conv
2.28E-02</v>
      </c>
      <c r="T35" s="125" t="str">
        <f t="shared" si="8"/>
        <v>Mixed_6a.branch3x3.conv
2.02E-12</v>
      </c>
      <c r="U35" s="125" t="str">
        <f t="shared" si="8"/>
        <v>Mixed_6a.branch3x3dbl_3.conv
3.58E-15</v>
      </c>
      <c r="V35" s="125" t="str">
        <f t="shared" si="8"/>
        <v>Mixed_6a.branch3x3dbl_3.conv
9.47E-20</v>
      </c>
      <c r="W35" s="125" t="str">
        <f t="shared" si="8"/>
        <v>Mixed_6a.branch3x3.conv
4.65E-20</v>
      </c>
      <c r="X35" s="125" t="str">
        <f t="shared" si="8"/>
        <v>Mixed_6a.branch3x3dbl_3.conv
5.42E-18</v>
      </c>
      <c r="Y35" s="125" t="str">
        <f t="shared" si="8"/>
        <v>Mixed_6a.branch3x3.conv
9.92E-25</v>
      </c>
      <c r="Z35" s="125" t="str">
        <f t="shared" si="8"/>
        <v>Mixed_6a.branch3x3.conv
2.17E-14</v>
      </c>
      <c r="AA35" s="125" t="str">
        <f t="shared" si="8"/>
        <v>Mixed_6a.branch3x3dbl_3.conv
1.84E-43</v>
      </c>
      <c r="AB35" s="125" t="str">
        <f t="shared" si="8"/>
        <v>Mixed_6a.branch3x3dbl_3.conv
1.26E-06</v>
      </c>
    </row>
    <row r="36" spans="1:28" ht="58" x14ac:dyDescent="0.35">
      <c r="A36" s="84" t="s">
        <v>203</v>
      </c>
      <c r="B36" s="84">
        <v>0.99998615736150531</v>
      </c>
      <c r="C36" s="84">
        <v>1</v>
      </c>
      <c r="D36" s="84">
        <v>7.773941077768152E-11</v>
      </c>
      <c r="E36" s="84">
        <v>0.99887778140824413</v>
      </c>
      <c r="F36" s="84">
        <v>0.99999999999999645</v>
      </c>
      <c r="G36" s="84">
        <v>0.23698086456375611</v>
      </c>
      <c r="H36" s="84">
        <v>1.161548776651688E-6</v>
      </c>
      <c r="I36" s="84">
        <v>0.99999999999953115</v>
      </c>
      <c r="J36" s="84">
        <v>8.3628473903596073E-5</v>
      </c>
      <c r="K36" s="84">
        <v>0.99999883845122339</v>
      </c>
      <c r="L36" s="84">
        <v>0.99999981072105271</v>
      </c>
      <c r="M36" s="84">
        <v>7.6491364738655884E-4</v>
      </c>
      <c r="N36" s="84" t="s">
        <v>201</v>
      </c>
      <c r="P36" s="2" t="s">
        <v>201</v>
      </c>
      <c r="Q36" s="125" t="str">
        <f t="shared" ref="Q36:AB36" si="9">CONCATENATE(Q15,CHAR(10), TEXT(Q26, "0.00E+00"))</f>
        <v>Mixed_6e.branch_pool.conv
9.05E-35</v>
      </c>
      <c r="R36" s="125" t="str">
        <f t="shared" si="9"/>
        <v>Mixed_6e.branch7x7dbl_3.conv
7.44E-32</v>
      </c>
      <c r="S36" s="125" t="str">
        <f t="shared" si="9"/>
        <v>Mixed_6d.branch7x7dbl_5.conv
3.59E-82</v>
      </c>
      <c r="T36" s="125" t="str">
        <f t="shared" si="9"/>
        <v>Mixed_6e.branch_pool.conv
8.16E-117</v>
      </c>
      <c r="U36" s="125" t="str">
        <f t="shared" si="9"/>
        <v>Mixed_6e.branch7x7dbl_5.conv
7.74E-61</v>
      </c>
      <c r="V36" s="125" t="str">
        <f t="shared" si="9"/>
        <v>Mixed_6e.branch1x1.conv
4.85E-130</v>
      </c>
      <c r="W36" s="125" t="str">
        <f t="shared" si="9"/>
        <v>Mixed_6e.branch1x1.conv
7.54E-116</v>
      </c>
      <c r="X36" s="125" t="str">
        <f t="shared" si="9"/>
        <v>Mixed_6e.branch7x7dbl_5.conv
1.26E-88</v>
      </c>
      <c r="Y36" s="125" t="str">
        <f t="shared" si="9"/>
        <v>Mixed_6e.branch_pool.conv
0.00E+00</v>
      </c>
      <c r="Z36" s="125" t="str">
        <f t="shared" si="9"/>
        <v>Mixed_6e.branch1x1.conv
2.69E-57</v>
      </c>
      <c r="AA36" s="125" t="str">
        <f t="shared" si="9"/>
        <v>Mixed_6e.branch7x7dbl_5.conv
2.52E-53</v>
      </c>
      <c r="AB36" s="125" t="str">
        <f t="shared" si="9"/>
        <v>Mixed_6e.branch1x1.conv
3.68E-282</v>
      </c>
    </row>
    <row r="37" spans="1:28" ht="58" x14ac:dyDescent="0.35">
      <c r="A37" s="84" t="s">
        <v>204</v>
      </c>
      <c r="B37" s="84">
        <v>0.91843865693126425</v>
      </c>
      <c r="C37" s="84">
        <v>0.84556710823239156</v>
      </c>
      <c r="D37" s="84">
        <v>9.9948438318163314E-12</v>
      </c>
      <c r="E37" s="84">
        <v>0.51503036448818196</v>
      </c>
      <c r="F37" s="84">
        <v>0.99999920292038957</v>
      </c>
      <c r="G37" s="84">
        <v>0.99997328140396202</v>
      </c>
      <c r="H37" s="84">
        <v>7.0134550586825282E-6</v>
      </c>
      <c r="I37" s="84">
        <v>0.99999995254875329</v>
      </c>
      <c r="J37" s="84">
        <v>0.99999940061743831</v>
      </c>
      <c r="K37" s="84">
        <v>0.92922855552128913</v>
      </c>
      <c r="L37" s="84">
        <v>0.99999999887751323</v>
      </c>
      <c r="M37" s="84">
        <v>0.7400110727828465</v>
      </c>
      <c r="N37" s="84" t="s">
        <v>201</v>
      </c>
      <c r="P37" s="2" t="s">
        <v>242</v>
      </c>
      <c r="Q37" s="125" t="str">
        <f t="shared" ref="Q37:AB37" si="10">CONCATENATE(Q16,CHAR(10), TEXT(Q27, "0.00E+00"))</f>
        <v>Mixed_7a.branch7x7x3_2.conv
1.58E-16</v>
      </c>
      <c r="R37" s="125" t="str">
        <f t="shared" si="10"/>
        <v>NA
0.00E+00</v>
      </c>
      <c r="S37" s="125" t="str">
        <f t="shared" si="10"/>
        <v>Mixed_7a.branch7x7x3_2.conv
2.91E-79</v>
      </c>
      <c r="T37" s="125" t="str">
        <f t="shared" si="10"/>
        <v>Mixed_7a.branch7x7x3_3.conv
2.64E-72</v>
      </c>
      <c r="U37" s="125" t="str">
        <f t="shared" si="10"/>
        <v>Mixed_7a.branch7x7x3_4.conv
2.98E-16</v>
      </c>
      <c r="V37" s="125" t="str">
        <f t="shared" si="10"/>
        <v>Mixed_7a.branch7x7x3_4.conv
7.78E-78</v>
      </c>
      <c r="W37" s="125" t="str">
        <f t="shared" si="10"/>
        <v>Mixed_7a.branch3x3_2.conv
1.24E-71</v>
      </c>
      <c r="X37" s="125" t="str">
        <f t="shared" si="10"/>
        <v>Mixed_7a.branch7x7x3_4.conv
9.71E-289</v>
      </c>
      <c r="Y37" s="125" t="str">
        <f t="shared" si="10"/>
        <v xml:space="preserve">
NA</v>
      </c>
      <c r="Z37" s="125" t="str">
        <f t="shared" si="10"/>
        <v>Mixed_7a.branch3x3_2.conv
1.04E-80</v>
      </c>
      <c r="AA37" s="125" t="str">
        <f t="shared" si="10"/>
        <v>Mixed_7a.branch7x7x3_4.conv
3.66E-144</v>
      </c>
      <c r="AB37" s="125" t="str">
        <f t="shared" si="10"/>
        <v xml:space="preserve">
NA</v>
      </c>
    </row>
    <row r="38" spans="1:28" ht="43.5" x14ac:dyDescent="0.35">
      <c r="A38" s="84" t="s">
        <v>205</v>
      </c>
      <c r="B38" s="84">
        <v>0.99997328140396202</v>
      </c>
      <c r="C38" s="84">
        <v>0.99999999999999989</v>
      </c>
      <c r="D38" s="84">
        <v>0.98419030824746367</v>
      </c>
      <c r="E38" s="84">
        <v>0.99999983301767192</v>
      </c>
      <c r="F38" s="84">
        <v>0.99999920292038957</v>
      </c>
      <c r="G38" s="84">
        <v>0.94748427449911499</v>
      </c>
      <c r="H38" s="84">
        <v>0.33924030681285811</v>
      </c>
      <c r="I38" s="84">
        <v>0.94088585521013635</v>
      </c>
      <c r="J38" s="84">
        <v>1.274385472646173E-5</v>
      </c>
      <c r="K38" s="84">
        <v>0.99999945612132479</v>
      </c>
      <c r="L38" s="84">
        <v>0.99999999999533828</v>
      </c>
      <c r="M38" s="84">
        <v>2.7812846673214439E-3</v>
      </c>
      <c r="N38" s="84" t="s">
        <v>201</v>
      </c>
      <c r="P38" s="2" t="s">
        <v>249</v>
      </c>
      <c r="Q38" s="125" t="str">
        <f t="shared" ref="Q38:AB38" si="11">CONCATENATE(Q17,CHAR(10), TEXT(Q28, "0.00E+00"))</f>
        <v>Mixed_7c.branch_pool.conv
1.19E-212</v>
      </c>
      <c r="R38" s="125" t="str">
        <f t="shared" si="11"/>
        <v>Mixed_7c.branch_pool.conv
1.19E-212</v>
      </c>
      <c r="S38" s="125" t="str">
        <f t="shared" si="11"/>
        <v>Mixed_7c.branch3x3_2a.conv
1.19E-212</v>
      </c>
      <c r="T38" s="125" t="str">
        <f t="shared" si="11"/>
        <v>Mixed_7c.branch_pool.conv
1.19E-212</v>
      </c>
      <c r="U38" s="125" t="str">
        <f t="shared" si="11"/>
        <v>Mixed_7c.branch_pool.conv
1.19E-212</v>
      </c>
      <c r="V38" s="125" t="str">
        <f t="shared" si="11"/>
        <v>Mixed_7c.branch_pool.conv
1.19E-212</v>
      </c>
      <c r="W38" s="125" t="str">
        <f t="shared" si="11"/>
        <v>Mixed_7c.branch_pool.conv
1.19E-212</v>
      </c>
      <c r="X38" s="125" t="str">
        <f t="shared" si="11"/>
        <v>Mixed_7c.branch_pool.conv
6.12E-297</v>
      </c>
      <c r="Y38" s="125" t="str">
        <f t="shared" si="11"/>
        <v>Mixed_7b.branch3x3_2b.conv
0.00E+00</v>
      </c>
      <c r="Z38" s="125" t="str">
        <f t="shared" si="11"/>
        <v>Mixed_7c.branch_pool.conv
1.19E-212</v>
      </c>
      <c r="AA38" s="125" t="str">
        <f t="shared" si="11"/>
        <v>Mixed_7c.branch_pool.conv
6.12E-297</v>
      </c>
      <c r="AB38" s="125" t="str">
        <f t="shared" si="11"/>
        <v>Mixed_7b.branch3x3_2b.conv
0.00E+00</v>
      </c>
    </row>
    <row r="39" spans="1:28" x14ac:dyDescent="0.35">
      <c r="A39" s="84" t="s">
        <v>206</v>
      </c>
      <c r="B39" s="84">
        <v>0.99999975106193439</v>
      </c>
      <c r="C39" s="84">
        <v>1</v>
      </c>
      <c r="D39" s="84">
        <v>0.99999920292038957</v>
      </c>
      <c r="E39" s="84">
        <v>0.99997328140396202</v>
      </c>
      <c r="F39" s="84">
        <v>0.99999999944987261</v>
      </c>
      <c r="G39" s="84">
        <v>0.42527252356759487</v>
      </c>
      <c r="H39" s="84">
        <v>2.284636495568472E-2</v>
      </c>
      <c r="I39" s="84">
        <v>0.99959620799336957</v>
      </c>
      <c r="J39" s="84">
        <v>3.010788026116728E-5</v>
      </c>
      <c r="K39" s="84">
        <v>0.91843865693126425</v>
      </c>
      <c r="L39" s="84">
        <v>0.99999999998865452</v>
      </c>
      <c r="M39" s="84">
        <v>0.90928146986663116</v>
      </c>
      <c r="N39" s="84" t="s">
        <v>201</v>
      </c>
    </row>
    <row r="40" spans="1:28" x14ac:dyDescent="0.35">
      <c r="A40" s="84" t="s">
        <v>207</v>
      </c>
      <c r="B40" s="84">
        <v>0.99999945612132479</v>
      </c>
      <c r="C40" s="84">
        <v>1</v>
      </c>
      <c r="D40" s="84">
        <v>0.80697951600757256</v>
      </c>
      <c r="E40" s="84">
        <v>0.98094645180629603</v>
      </c>
      <c r="F40" s="84">
        <v>0.99999999911581672</v>
      </c>
      <c r="G40" s="84">
        <v>2.2423766932352069E-4</v>
      </c>
      <c r="H40" s="84">
        <v>1.682231284959967E-4</v>
      </c>
      <c r="I40" s="84">
        <v>0.99412508576870617</v>
      </c>
      <c r="J40" s="84">
        <v>1.021844954287657E-5</v>
      </c>
      <c r="K40" s="84">
        <v>0.1067839002741523</v>
      </c>
      <c r="L40" s="84">
        <v>0.99999999999999878</v>
      </c>
      <c r="M40" s="84">
        <v>0.99125377297882156</v>
      </c>
      <c r="N40" s="84" t="s">
        <v>201</v>
      </c>
    </row>
    <row r="41" spans="1:28" x14ac:dyDescent="0.35">
      <c r="A41" s="84" t="s">
        <v>208</v>
      </c>
      <c r="B41" s="84">
        <v>0.9727441946983314</v>
      </c>
      <c r="C41" s="84">
        <v>1</v>
      </c>
      <c r="D41" s="84">
        <v>0.42527252356759487</v>
      </c>
      <c r="E41" s="84">
        <v>0.91843865693126425</v>
      </c>
      <c r="F41" s="84">
        <v>1</v>
      </c>
      <c r="G41" s="84">
        <v>2.7255805301668649E-2</v>
      </c>
      <c r="H41" s="84">
        <v>1.838572134761929E-3</v>
      </c>
      <c r="I41" s="84">
        <v>1</v>
      </c>
      <c r="J41" s="84">
        <v>1.2578713111848019E-6</v>
      </c>
      <c r="K41" s="84">
        <v>0.99999298654494129</v>
      </c>
      <c r="L41" s="84">
        <v>1</v>
      </c>
      <c r="M41" s="84">
        <v>1.2953591582657201E-2</v>
      </c>
      <c r="N41" s="84" t="s">
        <v>201</v>
      </c>
    </row>
    <row r="42" spans="1:28" x14ac:dyDescent="0.35">
      <c r="A42" s="84" t="s">
        <v>209</v>
      </c>
      <c r="B42" s="84">
        <v>0.99999999999999645</v>
      </c>
      <c r="C42" s="84">
        <v>1</v>
      </c>
      <c r="D42" s="84">
        <v>5.140143795173258E-4</v>
      </c>
      <c r="E42" s="84">
        <v>0.98928135886028723</v>
      </c>
      <c r="F42" s="84">
        <v>1</v>
      </c>
      <c r="G42" s="84">
        <v>4.8695444035950358E-8</v>
      </c>
      <c r="H42" s="84">
        <v>4.9504061134201882E-6</v>
      </c>
      <c r="I42" s="84">
        <v>1</v>
      </c>
      <c r="J42" s="84">
        <v>0.21422105220181359</v>
      </c>
      <c r="K42" s="84">
        <v>0.99629541745891781</v>
      </c>
      <c r="L42" s="84">
        <v>1</v>
      </c>
      <c r="M42" s="84">
        <v>2.583503659065779E-6</v>
      </c>
      <c r="N42" s="84" t="s">
        <v>201</v>
      </c>
    </row>
    <row r="43" spans="1:28" x14ac:dyDescent="0.35">
      <c r="A43" s="84" t="s">
        <v>210</v>
      </c>
      <c r="B43" s="84">
        <v>0.23698086456375611</v>
      </c>
      <c r="C43" s="84">
        <v>1</v>
      </c>
      <c r="D43" s="84">
        <v>0.99983177687150404</v>
      </c>
      <c r="E43" s="84">
        <v>5.5012734621003682E-10</v>
      </c>
      <c r="F43" s="84">
        <v>0.99913027169606761</v>
      </c>
      <c r="G43" s="84">
        <v>2.4893806564397472E-7</v>
      </c>
      <c r="H43" s="84">
        <v>1.412799308712125E-9</v>
      </c>
      <c r="I43" s="84">
        <v>0.9999999325310226</v>
      </c>
      <c r="J43" s="84">
        <v>5.1933716582758664E-6</v>
      </c>
      <c r="K43" s="84">
        <v>7.0771444478710852E-2</v>
      </c>
      <c r="L43" s="84">
        <v>1</v>
      </c>
      <c r="M43" s="84">
        <v>0.99761418592448126</v>
      </c>
      <c r="N43" s="84" t="s">
        <v>201</v>
      </c>
    </row>
    <row r="44" spans="1:28" x14ac:dyDescent="0.35">
      <c r="A44" s="84" t="s">
        <v>211</v>
      </c>
      <c r="B44" s="84">
        <v>8.6972830393244492E-4</v>
      </c>
      <c r="C44" s="84">
        <v>0.8932160997258477</v>
      </c>
      <c r="D44" s="84">
        <v>1.576497202618777E-16</v>
      </c>
      <c r="E44" s="84">
        <v>3.4746484737434672E-6</v>
      </c>
      <c r="F44" s="84">
        <v>0.45499406440791129</v>
      </c>
      <c r="G44" s="84">
        <v>2.185738596483581E-25</v>
      </c>
      <c r="H44" s="84">
        <v>4.1928894555716279E-26</v>
      </c>
      <c r="I44" s="84">
        <v>4.5356682440578727E-6</v>
      </c>
      <c r="J44" s="84">
        <v>4.0745483613636383E-39</v>
      </c>
      <c r="K44" s="84">
        <v>3.4746484737434672E-6</v>
      </c>
      <c r="L44" s="84">
        <v>0.9999999999981164</v>
      </c>
      <c r="M44" s="84">
        <v>1.368328124088363E-43</v>
      </c>
      <c r="N44" s="84" t="s">
        <v>201</v>
      </c>
    </row>
    <row r="45" spans="1:28" x14ac:dyDescent="0.35">
      <c r="A45" s="84" t="s">
        <v>212</v>
      </c>
      <c r="B45" s="84">
        <v>0.98928135886028723</v>
      </c>
      <c r="C45" s="84">
        <v>0.99999999999999811</v>
      </c>
      <c r="D45" s="84">
        <v>0.99998071475817496</v>
      </c>
      <c r="E45" s="84">
        <v>0.21434594520575251</v>
      </c>
      <c r="F45" s="84">
        <v>0.9999999913119948</v>
      </c>
      <c r="G45" s="84">
        <v>0.99983177687150404</v>
      </c>
      <c r="H45" s="84">
        <v>5.7558510126729696E-3</v>
      </c>
      <c r="I45" s="84">
        <v>1</v>
      </c>
      <c r="J45" s="84">
        <v>3.7961104000793839E-4</v>
      </c>
      <c r="K45" s="84">
        <v>0.82695748928708979</v>
      </c>
      <c r="L45" s="84">
        <v>1</v>
      </c>
      <c r="M45" s="84">
        <v>0.99999999999732292</v>
      </c>
      <c r="N45" s="84" t="s">
        <v>201</v>
      </c>
    </row>
    <row r="46" spans="1:28" x14ac:dyDescent="0.35">
      <c r="A46" s="84" t="s">
        <v>213</v>
      </c>
      <c r="B46" s="84">
        <v>0.99977576233067644</v>
      </c>
      <c r="C46" s="84">
        <v>0.99913027169606761</v>
      </c>
      <c r="D46" s="84">
        <v>0.99999831688327856</v>
      </c>
      <c r="E46" s="84">
        <v>0.68790182259992472</v>
      </c>
      <c r="F46" s="84">
        <v>1.07186411397128E-2</v>
      </c>
      <c r="G46" s="84">
        <v>0.19302048399242741</v>
      </c>
      <c r="H46" s="84">
        <v>6.7042759450837246E-4</v>
      </c>
      <c r="I46" s="84">
        <v>0.99936422855090112</v>
      </c>
      <c r="J46" s="84">
        <v>1.169119997634099E-20</v>
      </c>
      <c r="K46" s="84">
        <v>0.90645347017408007</v>
      </c>
      <c r="L46" s="84">
        <v>0.9999999999970306</v>
      </c>
      <c r="M46" s="84">
        <v>0.99236104546294235</v>
      </c>
      <c r="N46" s="84" t="s">
        <v>201</v>
      </c>
    </row>
    <row r="47" spans="1:28" x14ac:dyDescent="0.35">
      <c r="A47" s="84" t="s">
        <v>214</v>
      </c>
      <c r="B47" s="84">
        <v>0.99537016444620019</v>
      </c>
      <c r="C47" s="84">
        <v>0.99999999999798395</v>
      </c>
      <c r="D47" s="84">
        <v>0.54500593559208865</v>
      </c>
      <c r="E47" s="84">
        <v>0.98094645180629603</v>
      </c>
      <c r="F47" s="84">
        <v>0.9676470434726987</v>
      </c>
      <c r="G47" s="84">
        <v>0.33924030681285811</v>
      </c>
      <c r="H47" s="84">
        <v>7.1183650161997609E-3</v>
      </c>
      <c r="I47" s="84">
        <v>0.99999902574657795</v>
      </c>
      <c r="J47" s="84">
        <v>0.18650469610857179</v>
      </c>
      <c r="K47" s="84">
        <v>0.99816142786523809</v>
      </c>
      <c r="L47" s="84">
        <v>0.94088585521013635</v>
      </c>
      <c r="M47" s="84">
        <v>0.99999999992106481</v>
      </c>
      <c r="N47" s="84" t="s">
        <v>201</v>
      </c>
    </row>
    <row r="48" spans="1:28" x14ac:dyDescent="0.35">
      <c r="A48" s="84" t="s">
        <v>215</v>
      </c>
      <c r="B48" s="84">
        <v>0.99998615736150531</v>
      </c>
      <c r="C48" s="84">
        <v>1</v>
      </c>
      <c r="D48" s="84">
        <v>0.99999999999932698</v>
      </c>
      <c r="E48" s="84">
        <v>3.2352956527301337E-2</v>
      </c>
      <c r="F48" s="84">
        <v>1</v>
      </c>
      <c r="G48" s="84">
        <v>0.84556710823239156</v>
      </c>
      <c r="H48" s="84">
        <v>1.2551204111500489E-4</v>
      </c>
      <c r="I48" s="84">
        <v>1</v>
      </c>
      <c r="J48" s="84">
        <v>1.500808089482436E-4</v>
      </c>
      <c r="K48" s="84">
        <v>0.99887778140824413</v>
      </c>
      <c r="L48" s="84">
        <v>0.99997481691893608</v>
      </c>
      <c r="M48" s="84">
        <v>0.9987372854509583</v>
      </c>
      <c r="N48" s="84" t="s">
        <v>201</v>
      </c>
    </row>
    <row r="49" spans="1:14" x14ac:dyDescent="0.35">
      <c r="A49" s="84" t="s">
        <v>216</v>
      </c>
      <c r="B49" s="84">
        <v>0.99999975106193439</v>
      </c>
      <c r="C49" s="84">
        <v>0.99999999999999944</v>
      </c>
      <c r="D49" s="84">
        <v>0.99999999999998801</v>
      </c>
      <c r="E49" s="84">
        <v>0.90645347017408007</v>
      </c>
      <c r="F49" s="84">
        <v>1</v>
      </c>
      <c r="G49" s="84">
        <v>0.1067839002741523</v>
      </c>
      <c r="H49" s="84">
        <v>1.2551204111500489E-4</v>
      </c>
      <c r="I49" s="84">
        <v>1</v>
      </c>
      <c r="J49" s="84">
        <v>0.99999999998932487</v>
      </c>
      <c r="K49" s="84">
        <v>0.98094645180629603</v>
      </c>
      <c r="L49" s="84">
        <v>1</v>
      </c>
      <c r="M49" s="84">
        <v>1</v>
      </c>
      <c r="N49" s="84" t="s">
        <v>201</v>
      </c>
    </row>
    <row r="50" spans="1:14" x14ac:dyDescent="0.35">
      <c r="A50" s="84" t="s">
        <v>217</v>
      </c>
      <c r="B50" s="84">
        <v>0.99999999987208177</v>
      </c>
      <c r="C50" s="84">
        <v>1</v>
      </c>
      <c r="D50" s="84">
        <v>0.99999995130455599</v>
      </c>
      <c r="E50" s="84">
        <v>0.17304251071291021</v>
      </c>
      <c r="F50" s="84">
        <v>1</v>
      </c>
      <c r="G50" s="84">
        <v>4.9504061134201882E-6</v>
      </c>
      <c r="H50" s="84">
        <v>3.2352956527301337E-2</v>
      </c>
      <c r="I50" s="84">
        <v>1</v>
      </c>
      <c r="J50" s="84">
        <v>0.8134953038914281</v>
      </c>
      <c r="K50" s="84">
        <v>0.9676470434726987</v>
      </c>
      <c r="L50" s="84">
        <v>1</v>
      </c>
      <c r="M50" s="84">
        <v>0.99999999999999967</v>
      </c>
      <c r="N50" s="84" t="s">
        <v>201</v>
      </c>
    </row>
    <row r="51" spans="1:14" x14ac:dyDescent="0.35">
      <c r="A51" s="84" t="s">
        <v>218</v>
      </c>
      <c r="B51" s="84">
        <v>0.9676470434726987</v>
      </c>
      <c r="C51" s="84">
        <v>1</v>
      </c>
      <c r="D51" s="84">
        <v>0.9727441946983314</v>
      </c>
      <c r="E51" s="84">
        <v>0.33924030681285811</v>
      </c>
      <c r="F51" s="84">
        <v>1</v>
      </c>
      <c r="G51" s="84">
        <v>3.8989699383371863E-14</v>
      </c>
      <c r="H51" s="84">
        <v>1.07186411397128E-2</v>
      </c>
      <c r="I51" s="84">
        <v>1</v>
      </c>
      <c r="J51" s="84">
        <v>1.602750007465579E-6</v>
      </c>
      <c r="K51" s="84">
        <v>0.97715363504431529</v>
      </c>
      <c r="L51" s="84">
        <v>1</v>
      </c>
      <c r="M51" s="84">
        <v>2.7812846673214439E-3</v>
      </c>
      <c r="N51" s="84" t="s">
        <v>201</v>
      </c>
    </row>
    <row r="52" spans="1:14" x14ac:dyDescent="0.35">
      <c r="A52" s="84" t="s">
        <v>219</v>
      </c>
      <c r="B52" s="84">
        <v>0.99999999443458498</v>
      </c>
      <c r="C52" s="84">
        <v>1</v>
      </c>
      <c r="D52" s="84">
        <v>0.99999831688327856</v>
      </c>
      <c r="E52" s="84">
        <v>2.9727623726529142E-4</v>
      </c>
      <c r="F52" s="84">
        <v>1</v>
      </c>
      <c r="G52" s="84">
        <v>4.8695444035950358E-8</v>
      </c>
      <c r="H52" s="84">
        <v>7.1183650161997609E-3</v>
      </c>
      <c r="I52" s="84">
        <v>1</v>
      </c>
      <c r="J52" s="84">
        <v>3.7961104000793839E-4</v>
      </c>
      <c r="K52" s="84">
        <v>0.54500593559208865</v>
      </c>
      <c r="L52" s="84">
        <v>1</v>
      </c>
      <c r="M52" s="84">
        <v>3.7971188622994237E-12</v>
      </c>
      <c r="N52" s="84" t="s">
        <v>201</v>
      </c>
    </row>
    <row r="53" spans="1:14" x14ac:dyDescent="0.35">
      <c r="A53" s="84" t="s">
        <v>220</v>
      </c>
      <c r="B53" s="84">
        <v>3.5800149477577373E-15</v>
      </c>
      <c r="C53" s="84">
        <v>0.9999996309939132</v>
      </c>
      <c r="D53" s="84">
        <v>0.99987448795888501</v>
      </c>
      <c r="E53" s="84">
        <v>4.9411160066861492E-25</v>
      </c>
      <c r="F53" s="84">
        <v>0.84556710823239156</v>
      </c>
      <c r="G53" s="84">
        <v>0.45499406440791129</v>
      </c>
      <c r="H53" s="84">
        <v>6.7296703835153783E-13</v>
      </c>
      <c r="I53" s="84">
        <v>0.99999999990253974</v>
      </c>
      <c r="J53" s="84">
        <v>9.071853013336878E-2</v>
      </c>
      <c r="K53" s="84">
        <v>9.6049905137288658E-26</v>
      </c>
      <c r="L53" s="84">
        <v>0.99999999985201682</v>
      </c>
      <c r="M53" s="84">
        <v>4.9318205638109478E-33</v>
      </c>
      <c r="N53" s="84" t="s">
        <v>201</v>
      </c>
    </row>
    <row r="54" spans="1:14" x14ac:dyDescent="0.35">
      <c r="A54" s="84" t="s">
        <v>221</v>
      </c>
      <c r="B54" s="84">
        <v>2.284636495568472E-2</v>
      </c>
      <c r="C54" s="84">
        <v>1</v>
      </c>
      <c r="D54" s="84">
        <v>3.6812046908991251E-5</v>
      </c>
      <c r="E54" s="84">
        <v>4.0368089073880516E-40</v>
      </c>
      <c r="F54" s="84">
        <v>1</v>
      </c>
      <c r="G54" s="84">
        <v>2.0924884743097259E-10</v>
      </c>
      <c r="H54" s="84">
        <v>4.002358827846249E-111</v>
      </c>
      <c r="I54" s="84">
        <v>2.0650291391172052E-15</v>
      </c>
      <c r="J54" s="84">
        <v>4.6034375034313328E-138</v>
      </c>
      <c r="K54" s="84">
        <v>8.7522698247480294E-53</v>
      </c>
      <c r="L54" s="84">
        <v>0.66070784679000227</v>
      </c>
      <c r="M54" s="84">
        <v>2.284081870274708E-65</v>
      </c>
      <c r="N54" s="84" t="s">
        <v>201</v>
      </c>
    </row>
    <row r="55" spans="1:14" x14ac:dyDescent="0.35">
      <c r="A55" s="84" t="s">
        <v>222</v>
      </c>
      <c r="B55" s="84">
        <v>0.28593891061226778</v>
      </c>
      <c r="C55" s="84">
        <v>0.99537016444620019</v>
      </c>
      <c r="D55" s="84">
        <v>5.5012734621003682E-10</v>
      </c>
      <c r="E55" s="84">
        <v>0.17304251071291021</v>
      </c>
      <c r="F55" s="84">
        <v>0.99993127286383343</v>
      </c>
      <c r="G55" s="84">
        <v>1.6698232803194559E-7</v>
      </c>
      <c r="H55" s="84">
        <v>7.1183650161997609E-3</v>
      </c>
      <c r="I55" s="84">
        <v>0.99999999231875802</v>
      </c>
      <c r="J55" s="84">
        <v>2.0762993948290399E-10</v>
      </c>
      <c r="K55" s="84">
        <v>0.99999298654494129</v>
      </c>
      <c r="L55" s="84">
        <v>0.99664758972954359</v>
      </c>
      <c r="M55" s="84">
        <v>1.4153773632414361E-8</v>
      </c>
      <c r="N55" s="84" t="s">
        <v>201</v>
      </c>
    </row>
    <row r="56" spans="1:14" x14ac:dyDescent="0.35">
      <c r="A56" s="84" t="s">
        <v>223</v>
      </c>
      <c r="B56" s="84">
        <v>0.99855974075723575</v>
      </c>
      <c r="C56" s="84">
        <v>0.26086961327395092</v>
      </c>
      <c r="D56" s="84">
        <v>1.6840591736383231E-11</v>
      </c>
      <c r="E56" s="84">
        <v>0.99998615736150531</v>
      </c>
      <c r="F56" s="84">
        <v>0.8932160997258477</v>
      </c>
      <c r="G56" s="84">
        <v>3.402815753304427E-10</v>
      </c>
      <c r="H56" s="84">
        <v>0.54500593559208865</v>
      </c>
      <c r="I56" s="84">
        <v>0.99999866419288408</v>
      </c>
      <c r="J56" s="84">
        <v>4.3688962072540114E-46</v>
      </c>
      <c r="K56" s="84">
        <v>0.99999999858720068</v>
      </c>
      <c r="L56" s="84">
        <v>0.99999902574657795</v>
      </c>
      <c r="M56" s="84">
        <v>5.7302328655877234E-38</v>
      </c>
      <c r="N56" s="84" t="s">
        <v>201</v>
      </c>
    </row>
    <row r="57" spans="1:14" x14ac:dyDescent="0.35">
      <c r="A57" s="84" t="s">
        <v>224</v>
      </c>
      <c r="B57" s="84">
        <v>0.99999298654494129</v>
      </c>
      <c r="C57" s="84">
        <v>0.39596959597855169</v>
      </c>
      <c r="D57" s="84">
        <v>1.918859589311014E-19</v>
      </c>
      <c r="E57" s="84">
        <v>3.2352956527301337E-2</v>
      </c>
      <c r="F57" s="84">
        <v>0.15443289176760841</v>
      </c>
      <c r="G57" s="84">
        <v>1.050152150140678E-28</v>
      </c>
      <c r="H57" s="84">
        <v>8.1561343068735734E-2</v>
      </c>
      <c r="I57" s="84">
        <v>0.27236850725179079</v>
      </c>
      <c r="J57" s="84">
        <v>1.7171803494803709E-56</v>
      </c>
      <c r="K57" s="84">
        <v>1</v>
      </c>
      <c r="L57" s="84">
        <v>1.087998784664854E-5</v>
      </c>
      <c r="M57" s="84">
        <v>1.368328124088363E-43</v>
      </c>
      <c r="N57" s="84" t="s">
        <v>201</v>
      </c>
    </row>
    <row r="58" spans="1:14" x14ac:dyDescent="0.35">
      <c r="A58" s="84" t="s">
        <v>225</v>
      </c>
      <c r="B58" s="84">
        <v>0.99960803532611964</v>
      </c>
      <c r="C58" s="84">
        <v>0.99999999775569159</v>
      </c>
      <c r="D58" s="84">
        <v>2.527851327681256E-21</v>
      </c>
      <c r="E58" s="84">
        <v>0.9999996309939132</v>
      </c>
      <c r="F58" s="84">
        <v>1</v>
      </c>
      <c r="G58" s="84">
        <v>1.9053548193704001E-2</v>
      </c>
      <c r="H58" s="84">
        <v>0.99999298654494129</v>
      </c>
      <c r="I58" s="84">
        <v>1</v>
      </c>
      <c r="J58" s="84">
        <v>1</v>
      </c>
      <c r="K58" s="84">
        <v>0.99993127286383343</v>
      </c>
      <c r="L58" s="84">
        <v>0.99999999999995759</v>
      </c>
      <c r="M58" s="84">
        <v>0.99999874212868878</v>
      </c>
      <c r="N58" s="84" t="s">
        <v>201</v>
      </c>
    </row>
    <row r="59" spans="1:14" x14ac:dyDescent="0.35">
      <c r="A59" s="84" t="s">
        <v>226</v>
      </c>
      <c r="B59" s="84">
        <v>0.99424414898732705</v>
      </c>
      <c r="C59" s="84">
        <v>0.99987448795888501</v>
      </c>
      <c r="D59" s="84">
        <v>2.9112115071309389E-32</v>
      </c>
      <c r="E59" s="84">
        <v>0.87867863039430649</v>
      </c>
      <c r="F59" s="84">
        <v>1</v>
      </c>
      <c r="G59" s="84">
        <v>6.9760701953280878E-14</v>
      </c>
      <c r="H59" s="84">
        <v>7.0771444478710852E-2</v>
      </c>
      <c r="I59" s="84">
        <v>1</v>
      </c>
      <c r="J59" s="84">
        <v>0.31033427114433798</v>
      </c>
      <c r="K59" s="84">
        <v>0.91843865693126425</v>
      </c>
      <c r="L59" s="84">
        <v>0.99984451123023477</v>
      </c>
      <c r="M59" s="84">
        <v>1.8081972249351491E-41</v>
      </c>
      <c r="N59" s="84" t="s">
        <v>201</v>
      </c>
    </row>
    <row r="60" spans="1:14" x14ac:dyDescent="0.35">
      <c r="A60" s="84" t="s">
        <v>227</v>
      </c>
      <c r="B60" s="84">
        <v>0.1067839002741523</v>
      </c>
      <c r="C60" s="84">
        <v>7.7224614927399764E-19</v>
      </c>
      <c r="D60" s="84">
        <v>3.7963523261952142E-56</v>
      </c>
      <c r="E60" s="84">
        <v>0.19302048399242741</v>
      </c>
      <c r="F60" s="84">
        <v>0.99983177687150404</v>
      </c>
      <c r="G60" s="84">
        <v>2.0924884743097259E-10</v>
      </c>
      <c r="H60" s="84">
        <v>0.66075969318714201</v>
      </c>
      <c r="I60" s="84">
        <v>0.99987869986183586</v>
      </c>
      <c r="J60" s="84">
        <v>1.9122089432156339E-16</v>
      </c>
      <c r="K60" s="84">
        <v>0.12132136960569349</v>
      </c>
      <c r="L60" s="84">
        <v>7.0771119274836087E-7</v>
      </c>
      <c r="M60" s="84">
        <v>1.077565535617143E-71</v>
      </c>
      <c r="N60" s="84" t="s">
        <v>201</v>
      </c>
    </row>
    <row r="61" spans="1:14" x14ac:dyDescent="0.35">
      <c r="A61" s="84" t="s">
        <v>228</v>
      </c>
      <c r="B61" s="84">
        <v>0.8932160997258477</v>
      </c>
      <c r="C61" s="84">
        <v>0.99999945612132479</v>
      </c>
      <c r="D61" s="84">
        <v>3.9580772877522923E-77</v>
      </c>
      <c r="E61" s="84">
        <v>0.99993127286383343</v>
      </c>
      <c r="F61" s="84">
        <v>1</v>
      </c>
      <c r="G61" s="84">
        <v>4.9411160066861492E-25</v>
      </c>
      <c r="H61" s="84">
        <v>0.39596959597855169</v>
      </c>
      <c r="I61" s="84">
        <v>1</v>
      </c>
      <c r="J61" s="84">
        <v>3.7971188622994237E-12</v>
      </c>
      <c r="K61" s="84">
        <v>0.99987448795888501</v>
      </c>
      <c r="L61" s="84">
        <v>0.99999663860001153</v>
      </c>
      <c r="M61" s="84">
        <v>1.170300681357959E-76</v>
      </c>
      <c r="N61" s="84" t="s">
        <v>201</v>
      </c>
    </row>
    <row r="62" spans="1:14" x14ac:dyDescent="0.35">
      <c r="A62" s="84" t="s">
        <v>229</v>
      </c>
      <c r="B62" s="84">
        <v>3.1923094571434119E-8</v>
      </c>
      <c r="C62" s="84">
        <v>0.57472747643240507</v>
      </c>
      <c r="D62" s="83">
        <v>3.5877207661542398E-82</v>
      </c>
      <c r="E62" s="84">
        <v>1.1959484177270701E-14</v>
      </c>
      <c r="F62" s="84">
        <v>0.99987448795888501</v>
      </c>
      <c r="G62" s="84">
        <v>6.8171275703417015E-64</v>
      </c>
      <c r="H62" s="84">
        <v>8.6972830393244492E-4</v>
      </c>
      <c r="I62" s="84">
        <v>0.99995679651160119</v>
      </c>
      <c r="J62" s="84">
        <v>7.2093686304169373E-26</v>
      </c>
      <c r="K62" s="84">
        <v>7.7224614927399764E-19</v>
      </c>
      <c r="L62" s="84">
        <v>9.7425342208464734E-7</v>
      </c>
      <c r="M62" s="84">
        <v>1.957009323503525E-105</v>
      </c>
      <c r="N62" s="84" t="s">
        <v>201</v>
      </c>
    </row>
    <row r="63" spans="1:14" x14ac:dyDescent="0.35">
      <c r="A63" s="84" t="s">
        <v>230</v>
      </c>
      <c r="B63" s="84">
        <v>2.284636495568472E-2</v>
      </c>
      <c r="C63" s="84">
        <v>1</v>
      </c>
      <c r="D63" s="84">
        <v>0.99999998651578603</v>
      </c>
      <c r="E63" s="84">
        <v>1.1598697554267099E-17</v>
      </c>
      <c r="F63" s="84">
        <v>7.0134550586825282E-6</v>
      </c>
      <c r="G63" s="84">
        <v>0.99948598562048263</v>
      </c>
      <c r="H63" s="84">
        <v>0.15443289176760841</v>
      </c>
      <c r="I63" s="84">
        <v>1.7140040011627721E-67</v>
      </c>
      <c r="J63" s="84">
        <v>4.1600785249842627E-2</v>
      </c>
      <c r="K63" s="84">
        <v>0.17304251071291021</v>
      </c>
      <c r="L63" s="84">
        <v>1</v>
      </c>
      <c r="M63" s="84">
        <v>7.0878004234694175E-14</v>
      </c>
      <c r="N63" s="84" t="s">
        <v>201</v>
      </c>
    </row>
    <row r="64" spans="1:14" x14ac:dyDescent="0.35">
      <c r="A64" s="84" t="s">
        <v>231</v>
      </c>
      <c r="B64" s="84">
        <v>0.99983177687150404</v>
      </c>
      <c r="C64" s="84">
        <v>1</v>
      </c>
      <c r="D64" s="84">
        <v>6.1834499551240674E-46</v>
      </c>
      <c r="E64" s="84">
        <v>1.5118112287067971E-78</v>
      </c>
      <c r="F64" s="84">
        <v>1</v>
      </c>
      <c r="G64" s="83">
        <v>9.1149284449910189E-119</v>
      </c>
      <c r="H64" s="83">
        <v>7.5380420569438527E-116</v>
      </c>
      <c r="I64" s="84">
        <v>0.8931272326213523</v>
      </c>
      <c r="J64" s="84">
        <v>0</v>
      </c>
      <c r="K64" s="83">
        <v>2.6866680931156952E-57</v>
      </c>
      <c r="L64" s="84">
        <v>0.99999999231875802</v>
      </c>
      <c r="M64" s="83">
        <v>3.6785569794429028E-282</v>
      </c>
      <c r="N64" s="84" t="s">
        <v>201</v>
      </c>
    </row>
    <row r="65" spans="1:14" x14ac:dyDescent="0.35">
      <c r="A65" s="84" t="s">
        <v>232</v>
      </c>
      <c r="B65" s="84">
        <v>3.2352956527301337E-2</v>
      </c>
      <c r="C65" s="84">
        <v>0.99999999443458498</v>
      </c>
      <c r="D65" s="84">
        <v>3.3845026632262342E-39</v>
      </c>
      <c r="E65" s="84">
        <v>4.9504061134201882E-6</v>
      </c>
      <c r="F65" s="84">
        <v>0.80697951600757256</v>
      </c>
      <c r="G65" s="84">
        <v>0.99999999999998801</v>
      </c>
      <c r="H65" s="84">
        <v>2.1930268365218381E-13</v>
      </c>
      <c r="I65" s="84">
        <v>0.93299352963525839</v>
      </c>
      <c r="J65" s="84">
        <v>1</v>
      </c>
      <c r="K65" s="84">
        <v>1.2551204111500489E-4</v>
      </c>
      <c r="L65" s="84">
        <v>2.9240854616195419E-13</v>
      </c>
      <c r="M65" s="84">
        <v>0.99999999999998457</v>
      </c>
      <c r="N65" s="84" t="s">
        <v>201</v>
      </c>
    </row>
    <row r="66" spans="1:14" x14ac:dyDescent="0.35">
      <c r="A66" s="84" t="s">
        <v>233</v>
      </c>
      <c r="B66" s="84">
        <v>1</v>
      </c>
      <c r="C66" s="84">
        <v>1</v>
      </c>
      <c r="D66" s="84">
        <v>0.98928135886028723</v>
      </c>
      <c r="E66" s="84">
        <v>5.2515725500884958E-2</v>
      </c>
      <c r="F66" s="84">
        <v>1</v>
      </c>
      <c r="G66" s="84">
        <v>0.99999999999999645</v>
      </c>
      <c r="H66" s="84">
        <v>8.7522698247480294E-53</v>
      </c>
      <c r="I66" s="84">
        <v>8.1600475553627389E-6</v>
      </c>
      <c r="J66" s="84">
        <v>1</v>
      </c>
      <c r="K66" s="84">
        <v>3.6812046908991251E-5</v>
      </c>
      <c r="L66" s="84">
        <v>0.99999973519926122</v>
      </c>
      <c r="M66" s="84">
        <v>1</v>
      </c>
      <c r="N66" s="84" t="s">
        <v>201</v>
      </c>
    </row>
    <row r="67" spans="1:14" x14ac:dyDescent="0.35">
      <c r="A67" s="84" t="s">
        <v>234</v>
      </c>
      <c r="B67" s="84">
        <v>1</v>
      </c>
      <c r="C67" s="84">
        <v>1</v>
      </c>
      <c r="D67" s="84">
        <v>1</v>
      </c>
      <c r="E67" s="84">
        <v>6.0586065370963564E-37</v>
      </c>
      <c r="F67" s="84">
        <v>1</v>
      </c>
      <c r="G67" s="84">
        <v>0.99999999998315936</v>
      </c>
      <c r="H67" s="84">
        <v>2.3998560594315532E-74</v>
      </c>
      <c r="I67" s="84">
        <v>1.191953528222014E-32</v>
      </c>
      <c r="J67" s="84">
        <v>1</v>
      </c>
      <c r="K67" s="84">
        <v>3.5800149477577373E-15</v>
      </c>
      <c r="L67" s="84">
        <v>1.909996150581E-2</v>
      </c>
      <c r="M67" s="84">
        <v>1</v>
      </c>
      <c r="N67" s="84" t="s">
        <v>201</v>
      </c>
    </row>
    <row r="68" spans="1:14" x14ac:dyDescent="0.35">
      <c r="A68" s="84" t="s">
        <v>235</v>
      </c>
      <c r="B68" s="84">
        <v>9.3132563399741616E-5</v>
      </c>
      <c r="C68" s="84">
        <v>1.9053548193704001E-2</v>
      </c>
      <c r="D68" s="84">
        <v>1.5346390564693779E-18</v>
      </c>
      <c r="E68" s="84">
        <v>0.1371961135641718</v>
      </c>
      <c r="F68" s="84">
        <v>0.92922855552128913</v>
      </c>
      <c r="G68" s="84">
        <v>0.36724284954996672</v>
      </c>
      <c r="H68" s="84">
        <v>0.99816142786523809</v>
      </c>
      <c r="I68" s="84">
        <v>0.99999999639687387</v>
      </c>
      <c r="J68" s="84">
        <v>1.0689690008858311E-39</v>
      </c>
      <c r="K68" s="84">
        <v>0.71406108938773216</v>
      </c>
      <c r="L68" s="84">
        <v>0.99999999472836554</v>
      </c>
      <c r="M68" s="84">
        <v>4.6375838781263253E-24</v>
      </c>
      <c r="N68" s="84" t="s">
        <v>201</v>
      </c>
    </row>
    <row r="69" spans="1:14" x14ac:dyDescent="0.35">
      <c r="A69" s="84" t="s">
        <v>236</v>
      </c>
      <c r="B69" s="84">
        <v>1.6698232803194559E-7</v>
      </c>
      <c r="C69" s="84">
        <v>1.2551204111500489E-4</v>
      </c>
      <c r="D69" s="84">
        <v>7.773941077768152E-11</v>
      </c>
      <c r="E69" s="84">
        <v>0.99990686743660029</v>
      </c>
      <c r="F69" s="84">
        <v>0.4849696355118181</v>
      </c>
      <c r="G69" s="84">
        <v>2.9727623726529142E-4</v>
      </c>
      <c r="H69" s="84">
        <v>0.9727441946983314</v>
      </c>
      <c r="I69" s="84">
        <v>0.80530098914564607</v>
      </c>
      <c r="J69" s="84">
        <v>5.2231357863974607E-48</v>
      </c>
      <c r="K69" s="84">
        <v>0.87867863039430649</v>
      </c>
      <c r="L69" s="84">
        <v>0.99849489673005831</v>
      </c>
      <c r="M69" s="84">
        <v>1.0923062958144E-10</v>
      </c>
      <c r="N69" s="84" t="s">
        <v>201</v>
      </c>
    </row>
    <row r="70" spans="1:14" x14ac:dyDescent="0.35">
      <c r="A70" s="84" t="s">
        <v>237</v>
      </c>
      <c r="B70" s="84">
        <v>0.42527252356759487</v>
      </c>
      <c r="C70" s="83">
        <v>7.4354863343056346E-32</v>
      </c>
      <c r="D70" s="84">
        <v>8.7576396766929094E-3</v>
      </c>
      <c r="E70" s="84">
        <v>2.425141220284132E-6</v>
      </c>
      <c r="F70" s="84">
        <v>7.2840856359823728E-30</v>
      </c>
      <c r="G70" s="84">
        <v>0.99766543951883324</v>
      </c>
      <c r="H70" s="84">
        <v>0.66075969318714201</v>
      </c>
      <c r="I70" s="84">
        <v>7.5469944675720159E-10</v>
      </c>
      <c r="J70" s="84">
        <v>3.2222359180201993E-64</v>
      </c>
      <c r="K70" s="84">
        <v>1.682231284959967E-4</v>
      </c>
      <c r="L70" s="84">
        <v>2.0650291391172052E-15</v>
      </c>
      <c r="M70" s="84">
        <v>1.853818841505274E-63</v>
      </c>
      <c r="N70" s="84" t="s">
        <v>201</v>
      </c>
    </row>
    <row r="71" spans="1:14" x14ac:dyDescent="0.35">
      <c r="A71" s="84" t="s">
        <v>238</v>
      </c>
      <c r="B71" s="84">
        <v>6.7042759450837246E-4</v>
      </c>
      <c r="C71" s="84">
        <v>9.8807434232840573E-6</v>
      </c>
      <c r="D71" s="84">
        <v>5.0438205584933382E-5</v>
      </c>
      <c r="E71" s="84">
        <v>1.838572134761929E-3</v>
      </c>
      <c r="F71" s="84">
        <v>5.5727158589487565E-48</v>
      </c>
      <c r="G71" s="84">
        <v>0.86280388643582817</v>
      </c>
      <c r="H71" s="84">
        <v>0.51503036448818196</v>
      </c>
      <c r="I71" s="84">
        <v>3.2260753379089342E-71</v>
      </c>
      <c r="J71" s="84">
        <v>2.6836802791393858E-33</v>
      </c>
      <c r="K71" s="84">
        <v>0.98928135886028723</v>
      </c>
      <c r="L71" s="84">
        <v>3.361399988478439E-6</v>
      </c>
      <c r="M71" s="84">
        <v>1.9122089432156339E-16</v>
      </c>
      <c r="N71" s="84" t="s">
        <v>201</v>
      </c>
    </row>
    <row r="72" spans="1:14" x14ac:dyDescent="0.35">
      <c r="A72" s="84" t="s">
        <v>239</v>
      </c>
      <c r="B72" s="84">
        <v>0.99999988863049394</v>
      </c>
      <c r="C72" s="84">
        <v>2.9486412910011898E-3</v>
      </c>
      <c r="D72" s="84">
        <v>3.4746484737434672E-6</v>
      </c>
      <c r="E72" s="84">
        <v>0.98419030824746367</v>
      </c>
      <c r="F72" s="83">
        <v>7.7444877599609219E-61</v>
      </c>
      <c r="G72" s="84">
        <v>0.98928135886028723</v>
      </c>
      <c r="H72" s="84">
        <v>0.28593891061226778</v>
      </c>
      <c r="I72" s="83">
        <v>1.2567644089974219E-88</v>
      </c>
      <c r="J72" s="84">
        <v>1.0689690008858311E-39</v>
      </c>
      <c r="K72" s="84">
        <v>0.99999999645551363</v>
      </c>
      <c r="L72" s="83">
        <v>2.5226478039443701E-53</v>
      </c>
      <c r="M72" s="84">
        <v>4.2342124969112131E-26</v>
      </c>
      <c r="N72" s="84" t="s">
        <v>201</v>
      </c>
    </row>
    <row r="73" spans="1:14" x14ac:dyDescent="0.35">
      <c r="A73" s="84" t="s">
        <v>240</v>
      </c>
      <c r="B73" s="83">
        <v>9.0511370201880743E-35</v>
      </c>
      <c r="C73" s="84">
        <v>1</v>
      </c>
      <c r="D73" s="84">
        <v>1.500360979571102E-49</v>
      </c>
      <c r="E73" s="83">
        <v>8.1621766870248294E-117</v>
      </c>
      <c r="F73" s="84">
        <v>3.8211572417738697E-2</v>
      </c>
      <c r="G73" s="84">
        <v>4.8454365689446407E-130</v>
      </c>
      <c r="H73" s="84">
        <v>1.970744891997375E-100</v>
      </c>
      <c r="I73" s="84">
        <v>7.244170112897983E-44</v>
      </c>
      <c r="J73" s="83">
        <v>1.5944933614850079E-262</v>
      </c>
      <c r="K73" s="84">
        <v>4.4255725709607187E-50</v>
      </c>
      <c r="L73" s="84">
        <v>0.99999999995825073</v>
      </c>
      <c r="M73" s="84">
        <v>1.4176385291612179E-248</v>
      </c>
      <c r="N73" s="84" t="s">
        <v>201</v>
      </c>
    </row>
    <row r="74" spans="1:14" x14ac:dyDescent="0.35">
      <c r="A74" s="85" t="s">
        <v>241</v>
      </c>
      <c r="B74" s="85">
        <v>0.955092866564618</v>
      </c>
      <c r="C74" s="85">
        <v>0.99932957240549158</v>
      </c>
      <c r="D74" s="85">
        <v>1</v>
      </c>
      <c r="E74" s="85">
        <v>0.1067839002741523</v>
      </c>
      <c r="F74" s="85">
        <v>0.9676470434726987</v>
      </c>
      <c r="G74" s="85">
        <v>1</v>
      </c>
      <c r="H74" s="85">
        <v>1.948076402871339E-44</v>
      </c>
      <c r="I74" s="85">
        <v>9.5122784443606977E-18</v>
      </c>
      <c r="J74" s="85">
        <v>1</v>
      </c>
      <c r="K74" s="85">
        <v>1.2482748311847501E-35</v>
      </c>
      <c r="L74" s="85">
        <v>4.0379200663045079E-4</v>
      </c>
      <c r="M74" s="85">
        <v>1</v>
      </c>
      <c r="N74" s="85" t="s">
        <v>242</v>
      </c>
    </row>
    <row r="75" spans="1:14" x14ac:dyDescent="0.35">
      <c r="A75" s="85" t="s">
        <v>243</v>
      </c>
      <c r="B75" s="85">
        <v>1</v>
      </c>
      <c r="C75" s="85">
        <v>6.1112744934414411E-2</v>
      </c>
      <c r="D75" s="85">
        <v>1</v>
      </c>
      <c r="E75" s="85">
        <v>3.6812046908991251E-5</v>
      </c>
      <c r="F75" s="85">
        <v>1</v>
      </c>
      <c r="G75" s="85">
        <v>1</v>
      </c>
      <c r="H75" s="83">
        <v>1.2400197949969341E-71</v>
      </c>
      <c r="I75" s="85">
        <v>4.0798102447988199E-27</v>
      </c>
      <c r="J75" s="85">
        <v>1</v>
      </c>
      <c r="K75" s="83">
        <v>1.043564636923742E-80</v>
      </c>
      <c r="L75" s="85">
        <v>7.1662152374805404E-53</v>
      </c>
      <c r="M75" s="85">
        <v>1</v>
      </c>
      <c r="N75" s="85" t="s">
        <v>242</v>
      </c>
    </row>
    <row r="76" spans="1:14" x14ac:dyDescent="0.35">
      <c r="A76" s="85" t="s">
        <v>244</v>
      </c>
      <c r="B76" s="85">
        <v>0.99705135870899886</v>
      </c>
      <c r="C76" s="85">
        <v>1</v>
      </c>
      <c r="D76" s="85">
        <v>1</v>
      </c>
      <c r="E76" s="85">
        <v>1.682231284959967E-4</v>
      </c>
      <c r="F76" s="85">
        <v>1</v>
      </c>
      <c r="G76" s="85">
        <v>1</v>
      </c>
      <c r="H76" s="85">
        <v>0.92922855552128913</v>
      </c>
      <c r="I76" s="85">
        <v>1</v>
      </c>
      <c r="J76" s="85">
        <v>1</v>
      </c>
      <c r="K76" s="85">
        <v>5.5012734621003682E-10</v>
      </c>
      <c r="L76" s="85">
        <v>1</v>
      </c>
      <c r="M76" s="85">
        <v>1</v>
      </c>
      <c r="N76" s="85" t="s">
        <v>242</v>
      </c>
    </row>
    <row r="77" spans="1:14" x14ac:dyDescent="0.35">
      <c r="A77" s="85" t="s">
        <v>245</v>
      </c>
      <c r="B77" s="85">
        <v>1.576497202618777E-16</v>
      </c>
      <c r="C77" s="85">
        <v>3.8211572417738697E-2</v>
      </c>
      <c r="D77" s="83">
        <v>2.9089537729386642E-79</v>
      </c>
      <c r="E77" s="85">
        <v>2.6395519188984468E-72</v>
      </c>
      <c r="F77" s="85">
        <v>1.168289654423001E-12</v>
      </c>
      <c r="G77" s="85">
        <v>0.99987448795888501</v>
      </c>
      <c r="H77" s="85">
        <v>2.9486412910011898E-3</v>
      </c>
      <c r="I77" s="85">
        <v>0.99724021028787635</v>
      </c>
      <c r="J77" s="85">
        <v>1</v>
      </c>
      <c r="K77" s="85">
        <v>5.4826488871356029E-69</v>
      </c>
      <c r="L77" s="85">
        <v>0.99296981203001355</v>
      </c>
      <c r="M77" s="85">
        <v>0.99999587518426136</v>
      </c>
      <c r="N77" s="85" t="s">
        <v>242</v>
      </c>
    </row>
    <row r="78" spans="1:14" x14ac:dyDescent="0.35">
      <c r="A78" s="85" t="s">
        <v>246</v>
      </c>
      <c r="B78" s="85">
        <v>0.17304251071291021</v>
      </c>
      <c r="C78" s="85">
        <v>0.99983177687150404</v>
      </c>
      <c r="D78" s="85">
        <v>1.2482748311847501E-35</v>
      </c>
      <c r="E78" s="83">
        <v>1.2482748311847501E-35</v>
      </c>
      <c r="F78" s="85">
        <v>1</v>
      </c>
      <c r="G78" s="85">
        <v>1</v>
      </c>
      <c r="H78" s="85">
        <v>0.68790182259992472</v>
      </c>
      <c r="I78" s="85">
        <v>2.104122568041649E-60</v>
      </c>
      <c r="J78" s="85">
        <v>1</v>
      </c>
      <c r="K78" s="85">
        <v>5.285215232807774E-21</v>
      </c>
      <c r="L78" s="85">
        <v>9.9553397341197985E-3</v>
      </c>
      <c r="M78" s="85">
        <v>0.34608177385215699</v>
      </c>
      <c r="N78" s="85" t="s">
        <v>242</v>
      </c>
    </row>
    <row r="79" spans="1:14" x14ac:dyDescent="0.35">
      <c r="A79" s="85" t="s">
        <v>247</v>
      </c>
      <c r="B79" s="85">
        <v>1</v>
      </c>
      <c r="C79" s="85">
        <v>1</v>
      </c>
      <c r="D79" s="85">
        <v>1</v>
      </c>
      <c r="E79" s="85">
        <v>4.9411160066861492E-25</v>
      </c>
      <c r="F79" s="85">
        <v>2.9804535640973499E-16</v>
      </c>
      <c r="G79" s="83">
        <v>7.7756403794340515E-78</v>
      </c>
      <c r="H79" s="85">
        <v>6.3788292383545346E-34</v>
      </c>
      <c r="I79" s="83">
        <v>9.712265744470051E-289</v>
      </c>
      <c r="J79" s="85">
        <v>1</v>
      </c>
      <c r="K79" s="85">
        <v>4.3702351109743023E-33</v>
      </c>
      <c r="L79" s="83">
        <v>3.6637563483845062E-144</v>
      </c>
      <c r="M79" s="85">
        <v>0.99999999999998457</v>
      </c>
      <c r="N79" s="85" t="s">
        <v>242</v>
      </c>
    </row>
    <row r="80" spans="1:14" x14ac:dyDescent="0.35">
      <c r="A80" s="79" t="s">
        <v>248</v>
      </c>
      <c r="B80" s="79">
        <v>1</v>
      </c>
      <c r="C80" s="79">
        <v>1</v>
      </c>
      <c r="D80" s="79">
        <v>1</v>
      </c>
      <c r="E80" s="79">
        <v>2.9112115071309389E-32</v>
      </c>
      <c r="F80" s="79">
        <v>3.0726242659104559E-157</v>
      </c>
      <c r="G80" s="79">
        <v>1.1812979235370811E-83</v>
      </c>
      <c r="H80" s="79">
        <v>1.1881822289344749E-212</v>
      </c>
      <c r="I80" s="79">
        <v>6.1162364502226952E-297</v>
      </c>
      <c r="J80" s="79">
        <v>0</v>
      </c>
      <c r="K80" s="79">
        <v>1.624786414533184E-64</v>
      </c>
      <c r="L80" s="79">
        <v>1.569241167657816E-170</v>
      </c>
      <c r="M80" s="79">
        <v>1.9421897368652931E-159</v>
      </c>
      <c r="N80" s="79" t="s">
        <v>249</v>
      </c>
    </row>
    <row r="81" spans="1:14" x14ac:dyDescent="0.35">
      <c r="A81" s="79" t="s">
        <v>250</v>
      </c>
      <c r="B81" s="79">
        <v>0.8932160997258477</v>
      </c>
      <c r="C81" s="79">
        <v>4.1928894555716279E-26</v>
      </c>
      <c r="D81" s="79">
        <v>2.283112508325887E-108</v>
      </c>
      <c r="E81" s="79">
        <v>2.454723128522135E-68</v>
      </c>
      <c r="F81" s="79">
        <v>4.6823633021019584E-97</v>
      </c>
      <c r="G81" s="79">
        <v>1.2964756745662891E-136</v>
      </c>
      <c r="H81" s="79">
        <v>3.3886224594721331E-132</v>
      </c>
      <c r="I81" s="79">
        <v>9.5182185115089519E-84</v>
      </c>
      <c r="J81" s="79">
        <v>0</v>
      </c>
      <c r="K81" s="79">
        <v>7.7224614927399764E-19</v>
      </c>
      <c r="L81" s="79">
        <v>8.9095619904319643E-87</v>
      </c>
      <c r="M81" s="79">
        <v>0</v>
      </c>
      <c r="N81" s="79" t="s">
        <v>249</v>
      </c>
    </row>
    <row r="82" spans="1:14" x14ac:dyDescent="0.35">
      <c r="A82" s="79" t="s">
        <v>251</v>
      </c>
      <c r="B82" s="79">
        <v>2.334560481166707E-3</v>
      </c>
      <c r="C82" s="79">
        <v>1</v>
      </c>
      <c r="D82" s="79">
        <v>5.4826488871356029E-69</v>
      </c>
      <c r="E82" s="79">
        <v>6.1834499551240674E-46</v>
      </c>
      <c r="F82" s="79">
        <v>1.1598697554267099E-17</v>
      </c>
      <c r="G82" s="79">
        <v>1.0319786181859531E-169</v>
      </c>
      <c r="H82" s="79">
        <v>6.0586569339323469E-44</v>
      </c>
      <c r="I82" s="79">
        <v>9.1483534982808835E-106</v>
      </c>
      <c r="J82" s="79">
        <v>0</v>
      </c>
      <c r="K82" s="79">
        <v>5.4826488871356029E-69</v>
      </c>
      <c r="L82" s="79">
        <v>6.9185222163149317E-14</v>
      </c>
      <c r="M82" s="79">
        <v>0</v>
      </c>
      <c r="N82" s="79" t="s">
        <v>249</v>
      </c>
    </row>
    <row r="83" spans="1:14" x14ac:dyDescent="0.35">
      <c r="A83" s="79" t="s">
        <v>252</v>
      </c>
      <c r="B83" s="79">
        <v>1.348421393509673E-8</v>
      </c>
      <c r="C83" s="79">
        <v>1</v>
      </c>
      <c r="D83" s="79">
        <v>1.9053548193704001E-2</v>
      </c>
      <c r="E83" s="79">
        <v>1.122046647098312E-86</v>
      </c>
      <c r="F83" s="79">
        <v>1.2482748311847501E-35</v>
      </c>
      <c r="G83" s="79">
        <v>5.3926073520730547E-89</v>
      </c>
      <c r="H83" s="79">
        <v>9.9867175468411924E-176</v>
      </c>
      <c r="I83" s="79">
        <v>1.1178848302803981E-160</v>
      </c>
      <c r="J83" s="83">
        <v>1.828313586878191E-292</v>
      </c>
      <c r="K83" s="79">
        <v>1.07186411397128E-2</v>
      </c>
      <c r="L83" s="79">
        <v>1.193702974107575E-37</v>
      </c>
      <c r="M83" s="83">
        <v>1.6319942880325099E-293</v>
      </c>
      <c r="N83" s="79" t="s">
        <v>249</v>
      </c>
    </row>
    <row r="84" spans="1:14" x14ac:dyDescent="0.35">
      <c r="A84" s="79" t="s">
        <v>253</v>
      </c>
      <c r="B84" s="79">
        <v>1</v>
      </c>
      <c r="C84" s="79">
        <v>2.9804535640973499E-16</v>
      </c>
      <c r="D84" s="79">
        <v>1</v>
      </c>
      <c r="E84" s="79">
        <v>0.99999999999996103</v>
      </c>
      <c r="F84" s="79">
        <v>1.672935226012477E-36</v>
      </c>
      <c r="G84" s="79">
        <v>1</v>
      </c>
      <c r="H84" s="79">
        <v>0.99999831688327856</v>
      </c>
      <c r="I84" s="79">
        <v>4.0977728780090197E-118</v>
      </c>
      <c r="J84" s="79">
        <v>1</v>
      </c>
      <c r="K84" s="79">
        <v>1</v>
      </c>
      <c r="L84" s="79">
        <v>3.5210604487053837E-36</v>
      </c>
      <c r="M84" s="79">
        <v>1</v>
      </c>
      <c r="N84" s="79" t="s">
        <v>249</v>
      </c>
    </row>
    <row r="85" spans="1:14" x14ac:dyDescent="0.35">
      <c r="A85" s="79" t="s">
        <v>254</v>
      </c>
      <c r="B85" s="79">
        <v>1</v>
      </c>
      <c r="C85" s="79">
        <v>1</v>
      </c>
      <c r="D85" s="79">
        <v>1</v>
      </c>
      <c r="E85" s="79">
        <v>1</v>
      </c>
      <c r="F85" s="79">
        <v>1</v>
      </c>
      <c r="G85" s="79">
        <v>1</v>
      </c>
      <c r="H85" s="79">
        <v>5.0438205584933382E-5</v>
      </c>
      <c r="I85" s="79">
        <v>1.3284668631480731E-148</v>
      </c>
      <c r="J85" s="79">
        <v>1</v>
      </c>
      <c r="K85" s="79">
        <v>1</v>
      </c>
      <c r="L85" s="79">
        <v>4.5356682440578727E-6</v>
      </c>
      <c r="M85" s="79">
        <v>1</v>
      </c>
      <c r="N85" s="79" t="s">
        <v>249</v>
      </c>
    </row>
    <row r="86" spans="1:14" x14ac:dyDescent="0.35">
      <c r="A86" s="79" t="s">
        <v>255</v>
      </c>
      <c r="B86" s="79">
        <v>1</v>
      </c>
      <c r="C86" s="79">
        <v>1</v>
      </c>
      <c r="D86" s="79">
        <v>1</v>
      </c>
      <c r="E86" s="79">
        <v>1</v>
      </c>
      <c r="F86" s="79">
        <v>1</v>
      </c>
      <c r="G86" s="79">
        <v>1</v>
      </c>
      <c r="H86" s="79">
        <v>3.8989699383371863E-14</v>
      </c>
      <c r="I86" s="79">
        <v>5.3115811875040262E-182</v>
      </c>
      <c r="J86" s="79">
        <v>1</v>
      </c>
      <c r="K86" s="79">
        <v>1</v>
      </c>
      <c r="L86" s="79">
        <v>3.6031261158055489E-9</v>
      </c>
      <c r="M86" s="79">
        <v>1</v>
      </c>
      <c r="N86" s="79" t="s">
        <v>249</v>
      </c>
    </row>
    <row r="87" spans="1:14" x14ac:dyDescent="0.35">
      <c r="A87" s="79" t="s">
        <v>256</v>
      </c>
      <c r="B87" s="79">
        <v>0.99999996807690539</v>
      </c>
      <c r="C87" s="79">
        <v>2.4893806564397472E-7</v>
      </c>
      <c r="D87" s="79">
        <v>1</v>
      </c>
      <c r="E87" s="79">
        <v>1.869928608147261E-43</v>
      </c>
      <c r="F87" s="79">
        <v>8.376684713988048E-210</v>
      </c>
      <c r="G87" s="79">
        <v>2.9112115071309389E-32</v>
      </c>
      <c r="H87" s="79">
        <v>1.970744891997375E-100</v>
      </c>
      <c r="I87" s="79">
        <v>6.1162364502226952E-297</v>
      </c>
      <c r="J87" s="79">
        <v>4.5858199424697034E-230</v>
      </c>
      <c r="K87" s="79">
        <v>1.0887134573828851E-67</v>
      </c>
      <c r="L87" s="79">
        <v>6.1162364502226952E-297</v>
      </c>
      <c r="M87" s="79">
        <v>5.7642068249319919E-107</v>
      </c>
      <c r="N87" s="79" t="s">
        <v>249</v>
      </c>
    </row>
    <row r="88" spans="1:14" x14ac:dyDescent="0.35">
      <c r="A88" s="79" t="s">
        <v>257</v>
      </c>
      <c r="B88" s="79">
        <v>1</v>
      </c>
      <c r="C88" s="79">
        <v>1</v>
      </c>
      <c r="D88" s="79">
        <v>0.99124236032330704</v>
      </c>
      <c r="E88" s="79">
        <v>3.6900608683083041E-7</v>
      </c>
      <c r="F88" s="79">
        <v>0.9727441946983314</v>
      </c>
      <c r="G88" s="79">
        <v>2.3349270348625991E-91</v>
      </c>
      <c r="H88" s="79">
        <v>5.3926073520730547E-89</v>
      </c>
      <c r="I88" s="79">
        <v>7.4543400385651433E-268</v>
      </c>
      <c r="J88" s="79">
        <v>5.8356576079966777E-245</v>
      </c>
      <c r="K88" s="79">
        <v>2.9522028872401471E-30</v>
      </c>
      <c r="L88" s="79">
        <v>9.1483534982808835E-106</v>
      </c>
      <c r="M88" s="79">
        <v>5.7946825646347876E-191</v>
      </c>
      <c r="N88" s="79" t="s">
        <v>249</v>
      </c>
    </row>
    <row r="89" spans="1:14" x14ac:dyDescent="0.35">
      <c r="A89" s="79" t="s">
        <v>258</v>
      </c>
      <c r="B89" s="79">
        <v>1.1881822289344749E-212</v>
      </c>
      <c r="C89" s="79">
        <v>1.1881822289344749E-212</v>
      </c>
      <c r="D89" s="79">
        <v>1.7001674144718879E-200</v>
      </c>
      <c r="E89" s="79">
        <v>1.1881822289344749E-212</v>
      </c>
      <c r="F89" s="79">
        <v>1.1881822289344749E-212</v>
      </c>
      <c r="G89" s="79">
        <v>1.1881822289344749E-212</v>
      </c>
      <c r="H89" s="79">
        <v>1.1881822289344749E-212</v>
      </c>
      <c r="I89" s="79">
        <v>6.1162364502226952E-297</v>
      </c>
      <c r="J89" s="79">
        <v>0</v>
      </c>
      <c r="K89" s="79">
        <v>1.1881822289344749E-212</v>
      </c>
      <c r="L89" s="79">
        <v>6.1162364502226952E-297</v>
      </c>
      <c r="M89" s="79">
        <v>0</v>
      </c>
      <c r="N89" s="79" t="s">
        <v>249</v>
      </c>
    </row>
    <row r="90" spans="1:14" x14ac:dyDescent="0.35">
      <c r="A90" s="79" t="s">
        <v>259</v>
      </c>
      <c r="B90" s="79">
        <v>1</v>
      </c>
      <c r="C90" s="79">
        <v>1</v>
      </c>
      <c r="D90" s="79">
        <v>1.045738419167208E-15</v>
      </c>
      <c r="E90" s="79">
        <v>1.1881822289344749E-212</v>
      </c>
      <c r="F90" s="79">
        <v>9.3163432430796114E-191</v>
      </c>
      <c r="G90" s="79">
        <v>1.1881822289344749E-212</v>
      </c>
      <c r="H90" s="79">
        <v>1.1881822289344749E-212</v>
      </c>
      <c r="I90" s="79">
        <v>6.1162364502226952E-297</v>
      </c>
      <c r="J90" s="79">
        <v>0</v>
      </c>
      <c r="K90" s="79">
        <v>1.2126531082110179E-202</v>
      </c>
      <c r="L90" s="79">
        <v>9.3882644752537489E-240</v>
      </c>
      <c r="M90" s="79">
        <v>0</v>
      </c>
      <c r="N90" s="79" t="s">
        <v>249</v>
      </c>
    </row>
    <row r="91" spans="1:14" x14ac:dyDescent="0.35">
      <c r="A91" s="79" t="s">
        <v>260</v>
      </c>
      <c r="B91" s="79">
        <v>1.1881822289344749E-212</v>
      </c>
      <c r="C91" s="79">
        <v>1.238886896817734E-154</v>
      </c>
      <c r="D91" s="83">
        <v>1.1881822289344749E-212</v>
      </c>
      <c r="E91" s="79">
        <v>1.1881822289344749E-212</v>
      </c>
      <c r="F91" s="79">
        <v>1.1881822289344749E-212</v>
      </c>
      <c r="G91" s="79">
        <v>1.1881822289344749E-212</v>
      </c>
      <c r="H91" s="79">
        <v>1.1881822289344749E-212</v>
      </c>
      <c r="I91" s="79">
        <v>6.1162364502226952E-297</v>
      </c>
      <c r="J91" s="79">
        <v>0</v>
      </c>
      <c r="K91" s="79">
        <v>9.6669904004877135E-138</v>
      </c>
      <c r="L91" s="79">
        <v>6.1162364502226952E-297</v>
      </c>
      <c r="M91" s="79">
        <v>0</v>
      </c>
      <c r="N91" s="79" t="s">
        <v>249</v>
      </c>
    </row>
    <row r="92" spans="1:14" x14ac:dyDescent="0.35">
      <c r="A92" s="79" t="s">
        <v>261</v>
      </c>
      <c r="B92" s="79">
        <v>1.1812979235370811E-83</v>
      </c>
      <c r="C92" s="79">
        <v>0.19302048399242741</v>
      </c>
      <c r="D92" s="79">
        <v>4.421793809532649E-152</v>
      </c>
      <c r="E92" s="79">
        <v>1.1881822289344749E-212</v>
      </c>
      <c r="F92" s="79">
        <v>1.1881822289344749E-212</v>
      </c>
      <c r="G92" s="79">
        <v>1.1881822289344749E-212</v>
      </c>
      <c r="H92" s="79">
        <v>1.1881822289344749E-212</v>
      </c>
      <c r="I92" s="79">
        <v>6.1162364502226952E-297</v>
      </c>
      <c r="J92" s="79">
        <v>0</v>
      </c>
      <c r="K92" s="79">
        <v>6.9096200754625612E-205</v>
      </c>
      <c r="L92" s="79">
        <v>7.3023648994880731E-180</v>
      </c>
      <c r="M92" s="79">
        <v>0</v>
      </c>
      <c r="N92" s="79" t="s">
        <v>249</v>
      </c>
    </row>
    <row r="93" spans="1:14" x14ac:dyDescent="0.35">
      <c r="A93" s="79" t="s">
        <v>262</v>
      </c>
      <c r="B93" s="79">
        <v>1</v>
      </c>
      <c r="C93" s="79">
        <v>1</v>
      </c>
      <c r="D93" s="79">
        <v>1.412799308712125E-9</v>
      </c>
      <c r="E93" s="79">
        <v>3.0901002623633379E-52</v>
      </c>
      <c r="F93" s="79">
        <v>3.3687294616113379E-110</v>
      </c>
      <c r="G93" s="79">
        <v>7.5380420569438527E-116</v>
      </c>
      <c r="H93" s="79">
        <v>2.283112508325887E-108</v>
      </c>
      <c r="I93" s="79">
        <v>4.530176257837129E-206</v>
      </c>
      <c r="J93" s="79">
        <v>0</v>
      </c>
      <c r="K93" s="79">
        <v>6.8498175314148838E-54</v>
      </c>
      <c r="L93" s="79">
        <v>4.8356697146448E-145</v>
      </c>
      <c r="M93" s="79">
        <v>0</v>
      </c>
      <c r="N93" s="79" t="s">
        <v>249</v>
      </c>
    </row>
    <row r="94" spans="1:14" x14ac:dyDescent="0.35">
      <c r="A94" s="79" t="s">
        <v>263</v>
      </c>
      <c r="B94" s="79">
        <v>1</v>
      </c>
      <c r="C94" s="79">
        <v>0.99999999999410327</v>
      </c>
      <c r="D94" s="79">
        <v>1</v>
      </c>
      <c r="E94" s="79">
        <v>2.7936919739005708E-109</v>
      </c>
      <c r="F94" s="79">
        <v>1.3944129081349429E-94</v>
      </c>
      <c r="G94" s="79">
        <v>5.8864815922639292E-189</v>
      </c>
      <c r="H94" s="79">
        <v>1.1881822289344749E-212</v>
      </c>
      <c r="I94" s="79">
        <v>6.1162364502226952E-297</v>
      </c>
      <c r="J94" s="79">
        <v>0</v>
      </c>
      <c r="K94" s="79">
        <v>1.4586047453265601E-158</v>
      </c>
      <c r="L94" s="79">
        <v>6.1162364502226952E-297</v>
      </c>
      <c r="M94" s="79">
        <v>0</v>
      </c>
      <c r="N94" s="79" t="s">
        <v>249</v>
      </c>
    </row>
    <row r="95" spans="1:14" x14ac:dyDescent="0.35">
      <c r="A95" s="79" t="s">
        <v>264</v>
      </c>
      <c r="B95" s="79">
        <v>1.1881822289344749E-212</v>
      </c>
      <c r="C95" s="79">
        <v>1.1881822289344749E-212</v>
      </c>
      <c r="D95" s="79">
        <v>2.7255805301668649E-2</v>
      </c>
      <c r="E95" s="79">
        <v>1.1881822289344749E-212</v>
      </c>
      <c r="F95" s="79">
        <v>1.1881822289344749E-212</v>
      </c>
      <c r="G95" s="79">
        <v>2.9486049011460819E-207</v>
      </c>
      <c r="H95" s="79">
        <v>1.1881822289344749E-212</v>
      </c>
      <c r="I95" s="79">
        <v>6.1162364502226952E-297</v>
      </c>
      <c r="J95" s="79">
        <v>0</v>
      </c>
      <c r="K95" s="79">
        <v>1.1881822289344749E-212</v>
      </c>
      <c r="L95" s="79">
        <v>6.1162364502226952E-297</v>
      </c>
      <c r="M95" s="79">
        <v>2.5629563227737512E-267</v>
      </c>
      <c r="N95" s="79" t="s">
        <v>249</v>
      </c>
    </row>
    <row r="96" spans="1:14" x14ac:dyDescent="0.35">
      <c r="A96" s="79" t="s">
        <v>265</v>
      </c>
      <c r="B96" s="79">
        <v>1.1881822289344749E-212</v>
      </c>
      <c r="C96" s="79">
        <v>1.1881822289344749E-212</v>
      </c>
      <c r="D96" s="79">
        <v>1</v>
      </c>
      <c r="E96" s="79">
        <v>1.1881822289344749E-212</v>
      </c>
      <c r="F96" s="79">
        <v>1.1881822289344749E-212</v>
      </c>
      <c r="G96" s="79">
        <v>6.2672177835785651E-156</v>
      </c>
      <c r="H96" s="79">
        <v>1.1881822289344749E-212</v>
      </c>
      <c r="I96" s="79">
        <v>6.1162364502226952E-297</v>
      </c>
      <c r="J96" s="79">
        <v>0</v>
      </c>
      <c r="K96" s="79">
        <v>1.1881822289344749E-212</v>
      </c>
      <c r="L96" s="79">
        <v>6.1162364502226952E-297</v>
      </c>
      <c r="M96" s="79">
        <v>0</v>
      </c>
      <c r="N96" s="79" t="s">
        <v>249</v>
      </c>
    </row>
    <row r="97" spans="1:14" x14ac:dyDescent="0.35">
      <c r="A97" s="79" t="s">
        <v>266</v>
      </c>
      <c r="B97" s="83">
        <v>1.1881822289344749E-212</v>
      </c>
      <c r="C97" s="83">
        <v>1.1881822289344749E-212</v>
      </c>
      <c r="D97" s="79">
        <v>9.3964645870206983E-120</v>
      </c>
      <c r="E97" s="83">
        <v>1.1881822289344749E-212</v>
      </c>
      <c r="F97" s="83">
        <v>1.1881822289344749E-212</v>
      </c>
      <c r="G97" s="83">
        <v>1.1881822289344749E-212</v>
      </c>
      <c r="H97" s="83">
        <v>1.1881822289344749E-212</v>
      </c>
      <c r="I97" s="83">
        <v>6.1162364502226952E-297</v>
      </c>
      <c r="J97" s="79">
        <v>0</v>
      </c>
      <c r="K97" s="83">
        <v>1.1881822289344749E-212</v>
      </c>
      <c r="L97" s="83">
        <v>6.1162364502226952E-297</v>
      </c>
      <c r="M97" s="79">
        <v>0</v>
      </c>
      <c r="N97" s="79" t="s">
        <v>249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2C1D-B325-42F9-BCE8-DFD3AB760CD4}">
  <sheetPr>
    <tabColor rgb="FF00B050"/>
  </sheetPr>
  <dimension ref="A1:O58"/>
  <sheetViews>
    <sheetView workbookViewId="0">
      <selection activeCell="G23" sqref="G23"/>
    </sheetView>
  </sheetViews>
  <sheetFormatPr defaultRowHeight="14.5" x14ac:dyDescent="0.35"/>
  <cols>
    <col min="1" max="2" width="28.7265625" bestFit="1" customWidth="1"/>
    <col min="3" max="3" width="27.54296875" bestFit="1" customWidth="1"/>
    <col min="4" max="4" width="28.7265625" bestFit="1" customWidth="1"/>
    <col min="6" max="7" width="28.7265625" bestFit="1" customWidth="1"/>
    <col min="8" max="9" width="27.54296875" bestFit="1" customWidth="1"/>
    <col min="12" max="15" width="28.7265625" bestFit="1" customWidth="1"/>
  </cols>
  <sheetData>
    <row r="1" spans="1:15" x14ac:dyDescent="0.35">
      <c r="A1" s="165" t="s">
        <v>405</v>
      </c>
      <c r="B1" s="165"/>
      <c r="C1" s="165"/>
      <c r="D1" s="165"/>
      <c r="F1" s="165" t="s">
        <v>407</v>
      </c>
      <c r="G1" s="165"/>
      <c r="H1" s="165"/>
      <c r="I1" s="165"/>
      <c r="L1" s="165" t="s">
        <v>406</v>
      </c>
      <c r="M1" s="165"/>
      <c r="N1" s="165"/>
      <c r="O1" s="165"/>
    </row>
    <row r="2" spans="1:15" x14ac:dyDescent="0.35">
      <c r="A2" t="s">
        <v>7</v>
      </c>
      <c r="B2" t="s">
        <v>9</v>
      </c>
      <c r="C2" t="s">
        <v>8</v>
      </c>
      <c r="D2" t="s">
        <v>10</v>
      </c>
      <c r="F2" t="s">
        <v>7</v>
      </c>
      <c r="G2" t="s">
        <v>9</v>
      </c>
      <c r="H2" t="s">
        <v>8</v>
      </c>
      <c r="I2" t="s">
        <v>10</v>
      </c>
      <c r="L2" t="s">
        <v>7</v>
      </c>
      <c r="M2" t="s">
        <v>9</v>
      </c>
      <c r="N2" t="s">
        <v>8</v>
      </c>
      <c r="O2" t="s">
        <v>10</v>
      </c>
    </row>
    <row r="3" spans="1:15" x14ac:dyDescent="0.35">
      <c r="A3" s="48" t="s">
        <v>167</v>
      </c>
      <c r="B3" s="5" t="s">
        <v>179</v>
      </c>
      <c r="C3" s="5" t="s">
        <v>179</v>
      </c>
      <c r="D3" s="5" t="s">
        <v>177</v>
      </c>
      <c r="F3" s="48" t="s">
        <v>168</v>
      </c>
      <c r="G3" s="48" t="s">
        <v>167</v>
      </c>
      <c r="H3" s="48" t="s">
        <v>168</v>
      </c>
      <c r="I3" s="48" t="s">
        <v>168</v>
      </c>
      <c r="L3" s="48" t="s">
        <v>169</v>
      </c>
      <c r="M3" s="48" t="s">
        <v>166</v>
      </c>
      <c r="N3" s="48" t="s">
        <v>169</v>
      </c>
      <c r="O3" s="48" t="s">
        <v>169</v>
      </c>
    </row>
    <row r="4" spans="1:15" x14ac:dyDescent="0.35">
      <c r="A4" s="48" t="s">
        <v>171</v>
      </c>
      <c r="B4" s="5" t="s">
        <v>180</v>
      </c>
      <c r="C4" s="5" t="s">
        <v>180</v>
      </c>
      <c r="D4" s="5" t="s">
        <v>180</v>
      </c>
      <c r="F4" s="48" t="s">
        <v>169</v>
      </c>
      <c r="G4" s="48" t="s">
        <v>168</v>
      </c>
      <c r="H4" s="5" t="s">
        <v>173</v>
      </c>
      <c r="I4" s="48" t="s">
        <v>172</v>
      </c>
      <c r="L4" s="48" t="s">
        <v>170</v>
      </c>
      <c r="M4" s="48" t="s">
        <v>169</v>
      </c>
      <c r="N4" s="48" t="s">
        <v>170</v>
      </c>
      <c r="O4" s="48" t="s">
        <v>170</v>
      </c>
    </row>
    <row r="5" spans="1:15" x14ac:dyDescent="0.35">
      <c r="A5" s="5" t="s">
        <v>173</v>
      </c>
      <c r="B5" s="5" t="s">
        <v>183</v>
      </c>
      <c r="C5" s="140" t="s">
        <v>225</v>
      </c>
      <c r="D5" s="5" t="s">
        <v>185</v>
      </c>
      <c r="F5" s="48" t="s">
        <v>172</v>
      </c>
      <c r="G5" s="48" t="s">
        <v>172</v>
      </c>
      <c r="H5" s="5" t="s">
        <v>179</v>
      </c>
      <c r="I5" s="5" t="s">
        <v>173</v>
      </c>
      <c r="L5" s="48" t="s">
        <v>171</v>
      </c>
      <c r="M5" s="48" t="s">
        <v>170</v>
      </c>
      <c r="N5" s="5" t="s">
        <v>182</v>
      </c>
      <c r="O5" s="48" t="s">
        <v>171</v>
      </c>
    </row>
    <row r="6" spans="1:15" x14ac:dyDescent="0.35">
      <c r="A6" s="5" t="s">
        <v>180</v>
      </c>
      <c r="B6" s="5" t="s">
        <v>187</v>
      </c>
      <c r="C6" s="140" t="s">
        <v>235</v>
      </c>
      <c r="D6" s="5" t="s">
        <v>187</v>
      </c>
      <c r="F6" s="5" t="s">
        <v>173</v>
      </c>
      <c r="G6" s="5" t="s">
        <v>173</v>
      </c>
      <c r="H6" s="5" t="s">
        <v>181</v>
      </c>
      <c r="I6" s="5" t="s">
        <v>179</v>
      </c>
      <c r="L6" s="48" t="s">
        <v>172</v>
      </c>
      <c r="M6" s="48" t="s">
        <v>171</v>
      </c>
      <c r="N6" s="5" t="s">
        <v>183</v>
      </c>
      <c r="O6" s="48" t="s">
        <v>172</v>
      </c>
    </row>
    <row r="7" spans="1:15" x14ac:dyDescent="0.35">
      <c r="A7" s="5" t="s">
        <v>184</v>
      </c>
      <c r="B7" s="5" t="s">
        <v>194</v>
      </c>
      <c r="C7" s="140" t="s">
        <v>236</v>
      </c>
      <c r="D7" s="5" t="s">
        <v>194</v>
      </c>
      <c r="F7" s="5" t="s">
        <v>181</v>
      </c>
      <c r="G7" s="5" t="s">
        <v>181</v>
      </c>
      <c r="H7" s="5" t="s">
        <v>186</v>
      </c>
      <c r="I7" s="5" t="s">
        <v>181</v>
      </c>
      <c r="L7" s="5" t="s">
        <v>173</v>
      </c>
      <c r="M7" s="5" t="s">
        <v>180</v>
      </c>
      <c r="N7" s="5" t="s">
        <v>189</v>
      </c>
      <c r="O7" s="5" t="s">
        <v>173</v>
      </c>
    </row>
    <row r="8" spans="1:15" x14ac:dyDescent="0.35">
      <c r="A8" s="5" t="s">
        <v>187</v>
      </c>
      <c r="B8" s="61" t="s">
        <v>197</v>
      </c>
      <c r="C8" s="67" t="s">
        <v>253</v>
      </c>
      <c r="D8" s="61" t="s">
        <v>197</v>
      </c>
      <c r="F8" s="5" t="s">
        <v>186</v>
      </c>
      <c r="G8" s="5" t="s">
        <v>186</v>
      </c>
      <c r="H8" s="5" t="s">
        <v>187</v>
      </c>
      <c r="I8" s="5" t="s">
        <v>184</v>
      </c>
      <c r="L8" s="5" t="s">
        <v>176</v>
      </c>
      <c r="M8" s="5" t="s">
        <v>182</v>
      </c>
      <c r="N8" s="140" t="s">
        <v>204</v>
      </c>
      <c r="O8" s="5" t="s">
        <v>176</v>
      </c>
    </row>
    <row r="9" spans="1:15" x14ac:dyDescent="0.35">
      <c r="A9" s="140" t="s">
        <v>202</v>
      </c>
      <c r="B9" s="61" t="s">
        <v>199</v>
      </c>
      <c r="D9" s="61" t="s">
        <v>198</v>
      </c>
      <c r="F9" s="5" t="s">
        <v>187</v>
      </c>
      <c r="G9" s="5" t="s">
        <v>187</v>
      </c>
      <c r="H9" s="5" t="s">
        <v>188</v>
      </c>
      <c r="I9" s="5" t="s">
        <v>185</v>
      </c>
      <c r="L9" s="5" t="s">
        <v>177</v>
      </c>
      <c r="M9" s="140" t="s">
        <v>202</v>
      </c>
      <c r="N9" s="140" t="s">
        <v>216</v>
      </c>
      <c r="O9" s="5" t="s">
        <v>177</v>
      </c>
    </row>
    <row r="10" spans="1:15" x14ac:dyDescent="0.35">
      <c r="A10" s="140" t="s">
        <v>203</v>
      </c>
      <c r="B10" s="140" t="s">
        <v>202</v>
      </c>
      <c r="D10" s="61" t="s">
        <v>199</v>
      </c>
      <c r="F10" s="5" t="s">
        <v>188</v>
      </c>
      <c r="G10" s="5" t="s">
        <v>188</v>
      </c>
      <c r="H10" s="5" t="s">
        <v>190</v>
      </c>
      <c r="I10" s="5" t="s">
        <v>186</v>
      </c>
      <c r="L10" s="5" t="s">
        <v>179</v>
      </c>
      <c r="M10" s="140" t="s">
        <v>204</v>
      </c>
      <c r="N10" s="140" t="s">
        <v>225</v>
      </c>
      <c r="O10" s="5" t="s">
        <v>182</v>
      </c>
    </row>
    <row r="11" spans="1:15" x14ac:dyDescent="0.35">
      <c r="A11" s="140" t="s">
        <v>205</v>
      </c>
      <c r="B11" s="140" t="s">
        <v>203</v>
      </c>
      <c r="D11" s="140" t="s">
        <v>202</v>
      </c>
      <c r="F11" s="5" t="s">
        <v>190</v>
      </c>
      <c r="G11" s="5" t="s">
        <v>190</v>
      </c>
      <c r="H11" s="5" t="s">
        <v>191</v>
      </c>
      <c r="I11" s="5" t="s">
        <v>187</v>
      </c>
      <c r="L11" s="5" t="s">
        <v>181</v>
      </c>
      <c r="M11" s="140" t="s">
        <v>212</v>
      </c>
      <c r="N11" s="140" t="s">
        <v>232</v>
      </c>
      <c r="O11" s="5" t="s">
        <v>184</v>
      </c>
    </row>
    <row r="12" spans="1:15" x14ac:dyDescent="0.35">
      <c r="A12" s="140" t="s">
        <v>206</v>
      </c>
      <c r="B12" s="140" t="s">
        <v>205</v>
      </c>
      <c r="D12" s="140" t="s">
        <v>203</v>
      </c>
      <c r="F12" s="5" t="s">
        <v>191</v>
      </c>
      <c r="G12" s="5" t="s">
        <v>191</v>
      </c>
      <c r="H12" s="5" t="s">
        <v>192</v>
      </c>
      <c r="I12" s="5" t="s">
        <v>188</v>
      </c>
      <c r="L12" s="5" t="s">
        <v>182</v>
      </c>
      <c r="M12" s="140" t="s">
        <v>230</v>
      </c>
      <c r="N12" s="140" t="s">
        <v>233</v>
      </c>
      <c r="O12" s="5" t="s">
        <v>185</v>
      </c>
    </row>
    <row r="13" spans="1:15" x14ac:dyDescent="0.35">
      <c r="A13" s="140" t="s">
        <v>207</v>
      </c>
      <c r="B13" s="140" t="s">
        <v>206</v>
      </c>
      <c r="D13" s="140" t="s">
        <v>205</v>
      </c>
      <c r="F13" s="5" t="s">
        <v>193</v>
      </c>
      <c r="G13" s="5" t="s">
        <v>192</v>
      </c>
      <c r="H13" s="5" t="s">
        <v>193</v>
      </c>
      <c r="I13" s="5" t="s">
        <v>190</v>
      </c>
      <c r="L13" s="61" t="s">
        <v>199</v>
      </c>
      <c r="M13" s="140" t="s">
        <v>232</v>
      </c>
      <c r="N13" s="140" t="s">
        <v>234</v>
      </c>
      <c r="O13" s="5" t="s">
        <v>186</v>
      </c>
    </row>
    <row r="14" spans="1:15" x14ac:dyDescent="0.35">
      <c r="A14" s="140" t="s">
        <v>208</v>
      </c>
      <c r="B14" s="140" t="s">
        <v>207</v>
      </c>
      <c r="D14" s="140" t="s">
        <v>208</v>
      </c>
      <c r="F14" s="5" t="s">
        <v>194</v>
      </c>
      <c r="G14" s="61" t="s">
        <v>195</v>
      </c>
      <c r="H14" s="61" t="s">
        <v>195</v>
      </c>
      <c r="I14" s="5" t="s">
        <v>191</v>
      </c>
      <c r="L14" s="140" t="s">
        <v>200</v>
      </c>
      <c r="M14" s="140" t="s">
        <v>233</v>
      </c>
      <c r="N14" s="140" t="s">
        <v>241</v>
      </c>
      <c r="O14" s="5" t="s">
        <v>189</v>
      </c>
    </row>
    <row r="15" spans="1:15" x14ac:dyDescent="0.35">
      <c r="A15" s="140" t="s">
        <v>209</v>
      </c>
      <c r="B15" s="140" t="s">
        <v>209</v>
      </c>
      <c r="D15" s="140" t="s">
        <v>209</v>
      </c>
      <c r="F15" s="61" t="s">
        <v>195</v>
      </c>
      <c r="G15" s="61" t="s">
        <v>197</v>
      </c>
      <c r="H15" s="61" t="s">
        <v>197</v>
      </c>
      <c r="I15" s="5" t="s">
        <v>192</v>
      </c>
      <c r="L15" s="140" t="s">
        <v>205</v>
      </c>
      <c r="M15" s="140" t="s">
        <v>234</v>
      </c>
      <c r="N15" s="140" t="s">
        <v>243</v>
      </c>
      <c r="O15" s="5" t="s">
        <v>190</v>
      </c>
    </row>
    <row r="16" spans="1:15" x14ac:dyDescent="0.35">
      <c r="A16" s="140" t="s">
        <v>212</v>
      </c>
      <c r="B16" s="140" t="s">
        <v>214</v>
      </c>
      <c r="D16" s="140" t="s">
        <v>214</v>
      </c>
      <c r="F16" s="61" t="s">
        <v>197</v>
      </c>
      <c r="G16" s="140" t="s">
        <v>200</v>
      </c>
      <c r="H16" s="140" t="s">
        <v>200</v>
      </c>
      <c r="I16" s="5" t="s">
        <v>193</v>
      </c>
      <c r="L16" s="140" t="s">
        <v>206</v>
      </c>
      <c r="M16" s="140" t="s">
        <v>237</v>
      </c>
      <c r="N16" s="140" t="s">
        <v>244</v>
      </c>
      <c r="O16" s="61" t="s">
        <v>198</v>
      </c>
    </row>
    <row r="17" spans="1:15" x14ac:dyDescent="0.35">
      <c r="A17" s="140" t="s">
        <v>213</v>
      </c>
      <c r="B17" s="140" t="s">
        <v>223</v>
      </c>
      <c r="D17" s="140" t="s">
        <v>215</v>
      </c>
      <c r="F17" s="140" t="s">
        <v>200</v>
      </c>
      <c r="G17" s="140" t="s">
        <v>202</v>
      </c>
      <c r="H17" s="140" t="s">
        <v>202</v>
      </c>
      <c r="I17" s="61" t="s">
        <v>195</v>
      </c>
      <c r="L17" s="140" t="s">
        <v>210</v>
      </c>
      <c r="M17" s="140" t="s">
        <v>239</v>
      </c>
      <c r="N17" s="140" t="s">
        <v>245</v>
      </c>
      <c r="O17" s="140" t="s">
        <v>200</v>
      </c>
    </row>
    <row r="18" spans="1:15" x14ac:dyDescent="0.35">
      <c r="A18" s="140" t="s">
        <v>214</v>
      </c>
      <c r="B18" s="140" t="s">
        <v>225</v>
      </c>
      <c r="D18" s="140" t="s">
        <v>216</v>
      </c>
      <c r="F18" s="140" t="s">
        <v>202</v>
      </c>
      <c r="G18" s="140" t="s">
        <v>203</v>
      </c>
      <c r="H18" s="140" t="s">
        <v>203</v>
      </c>
      <c r="I18" s="140" t="s">
        <v>200</v>
      </c>
      <c r="L18" s="140" t="s">
        <v>212</v>
      </c>
      <c r="M18" s="140" t="s">
        <v>241</v>
      </c>
      <c r="N18" s="140" t="s">
        <v>246</v>
      </c>
      <c r="O18" s="140" t="s">
        <v>207</v>
      </c>
    </row>
    <row r="19" spans="1:15" x14ac:dyDescent="0.35">
      <c r="A19" s="140" t="s">
        <v>215</v>
      </c>
      <c r="B19" s="140" t="s">
        <v>228</v>
      </c>
      <c r="D19" s="140" t="s">
        <v>217</v>
      </c>
      <c r="F19" s="140" t="s">
        <v>203</v>
      </c>
      <c r="G19" s="140" t="s">
        <v>204</v>
      </c>
      <c r="H19" s="140" t="s">
        <v>204</v>
      </c>
      <c r="I19" s="140" t="s">
        <v>202</v>
      </c>
      <c r="L19" s="140" t="s">
        <v>213</v>
      </c>
      <c r="M19" s="140" t="s">
        <v>243</v>
      </c>
      <c r="N19" s="140" t="s">
        <v>247</v>
      </c>
      <c r="O19" s="140" t="s">
        <v>210</v>
      </c>
    </row>
    <row r="20" spans="1:15" x14ac:dyDescent="0.35">
      <c r="A20" s="140" t="s">
        <v>216</v>
      </c>
      <c r="B20" s="140" t="s">
        <v>236</v>
      </c>
      <c r="D20" s="140" t="s">
        <v>218</v>
      </c>
      <c r="F20" s="140" t="s">
        <v>205</v>
      </c>
      <c r="G20" s="140" t="s">
        <v>205</v>
      </c>
      <c r="H20" s="140" t="s">
        <v>206</v>
      </c>
      <c r="I20" s="140" t="s">
        <v>203</v>
      </c>
      <c r="L20" s="140" t="s">
        <v>215</v>
      </c>
      <c r="M20" s="140" t="s">
        <v>244</v>
      </c>
      <c r="N20" s="67" t="s">
        <v>253</v>
      </c>
      <c r="O20" s="140" t="s">
        <v>212</v>
      </c>
    </row>
    <row r="21" spans="1:15" x14ac:dyDescent="0.35">
      <c r="A21" s="140" t="s">
        <v>217</v>
      </c>
      <c r="B21" s="140" t="s">
        <v>239</v>
      </c>
      <c r="D21" s="140" t="s">
        <v>222</v>
      </c>
      <c r="F21" s="140" t="s">
        <v>206</v>
      </c>
      <c r="G21" s="140" t="s">
        <v>206</v>
      </c>
      <c r="H21" s="140" t="s">
        <v>207</v>
      </c>
      <c r="I21" s="140" t="s">
        <v>204</v>
      </c>
      <c r="L21" s="140" t="s">
        <v>216</v>
      </c>
      <c r="M21" s="140" t="s">
        <v>245</v>
      </c>
      <c r="N21" s="67" t="s">
        <v>254</v>
      </c>
      <c r="O21" s="140" t="s">
        <v>213</v>
      </c>
    </row>
    <row r="22" spans="1:15" x14ac:dyDescent="0.35">
      <c r="A22" s="140" t="s">
        <v>218</v>
      </c>
      <c r="B22" s="67" t="s">
        <v>253</v>
      </c>
      <c r="D22" s="140" t="s">
        <v>223</v>
      </c>
      <c r="F22" s="140" t="s">
        <v>207</v>
      </c>
      <c r="G22" s="140" t="s">
        <v>207</v>
      </c>
      <c r="H22" s="140" t="s">
        <v>208</v>
      </c>
      <c r="I22" s="140" t="s">
        <v>205</v>
      </c>
      <c r="L22" s="140" t="s">
        <v>217</v>
      </c>
      <c r="M22" s="140" t="s">
        <v>246</v>
      </c>
      <c r="N22" s="67" t="s">
        <v>255</v>
      </c>
      <c r="O22" s="140" t="s">
        <v>214</v>
      </c>
    </row>
    <row r="23" spans="1:15" x14ac:dyDescent="0.35">
      <c r="A23" s="140" t="s">
        <v>219</v>
      </c>
      <c r="B23" s="67" t="s">
        <v>254</v>
      </c>
      <c r="D23" s="140" t="s">
        <v>224</v>
      </c>
      <c r="F23" s="140" t="s">
        <v>208</v>
      </c>
      <c r="G23" s="140" t="s">
        <v>208</v>
      </c>
      <c r="H23" s="140" t="s">
        <v>209</v>
      </c>
      <c r="I23" s="140" t="s">
        <v>206</v>
      </c>
      <c r="L23" s="140" t="s">
        <v>218</v>
      </c>
      <c r="M23" s="67" t="s">
        <v>253</v>
      </c>
      <c r="O23" s="140" t="s">
        <v>215</v>
      </c>
    </row>
    <row r="24" spans="1:15" x14ac:dyDescent="0.35">
      <c r="A24" s="140" t="s">
        <v>223</v>
      </c>
      <c r="B24" s="67" t="s">
        <v>255</v>
      </c>
      <c r="D24" s="140" t="s">
        <v>225</v>
      </c>
      <c r="F24" s="140" t="s">
        <v>209</v>
      </c>
      <c r="G24" s="140" t="s">
        <v>209</v>
      </c>
      <c r="H24" s="140" t="s">
        <v>210</v>
      </c>
      <c r="I24" s="140" t="s">
        <v>207</v>
      </c>
      <c r="L24" s="140" t="s">
        <v>219</v>
      </c>
      <c r="M24" s="67" t="s">
        <v>254</v>
      </c>
      <c r="O24" s="140" t="s">
        <v>216</v>
      </c>
    </row>
    <row r="25" spans="1:15" x14ac:dyDescent="0.35">
      <c r="A25" s="140" t="s">
        <v>224</v>
      </c>
      <c r="D25" s="140" t="s">
        <v>228</v>
      </c>
      <c r="F25" s="140" t="s">
        <v>210</v>
      </c>
      <c r="G25" s="140" t="s">
        <v>210</v>
      </c>
      <c r="H25" s="140" t="s">
        <v>212</v>
      </c>
      <c r="I25" s="140" t="s">
        <v>208</v>
      </c>
      <c r="L25" s="140" t="s">
        <v>220</v>
      </c>
      <c r="M25" s="67" t="s">
        <v>255</v>
      </c>
      <c r="O25" s="140" t="s">
        <v>217</v>
      </c>
    </row>
    <row r="26" spans="1:15" x14ac:dyDescent="0.35">
      <c r="A26" s="140" t="s">
        <v>225</v>
      </c>
      <c r="D26" s="140" t="s">
        <v>238</v>
      </c>
      <c r="F26" s="140" t="s">
        <v>212</v>
      </c>
      <c r="G26" s="140" t="s">
        <v>212</v>
      </c>
      <c r="H26" s="140" t="s">
        <v>213</v>
      </c>
      <c r="I26" s="140" t="s">
        <v>209</v>
      </c>
      <c r="L26" s="140" t="s">
        <v>230</v>
      </c>
      <c r="O26" s="140" t="s">
        <v>225</v>
      </c>
    </row>
    <row r="27" spans="1:15" x14ac:dyDescent="0.35">
      <c r="A27" s="140" t="s">
        <v>226</v>
      </c>
      <c r="D27" s="140" t="s">
        <v>239</v>
      </c>
      <c r="F27" s="140" t="s">
        <v>213</v>
      </c>
      <c r="G27" s="140" t="s">
        <v>214</v>
      </c>
      <c r="H27" s="140" t="s">
        <v>214</v>
      </c>
      <c r="I27" s="140" t="s">
        <v>210</v>
      </c>
      <c r="L27" s="140" t="s">
        <v>233</v>
      </c>
      <c r="O27" s="140" t="s">
        <v>232</v>
      </c>
    </row>
    <row r="28" spans="1:15" x14ac:dyDescent="0.35">
      <c r="A28" s="140" t="s">
        <v>231</v>
      </c>
      <c r="D28" s="67" t="s">
        <v>253</v>
      </c>
      <c r="F28" s="140" t="s">
        <v>214</v>
      </c>
      <c r="G28" s="140" t="s">
        <v>215</v>
      </c>
      <c r="H28" s="140" t="s">
        <v>215</v>
      </c>
      <c r="I28" s="140" t="s">
        <v>211</v>
      </c>
      <c r="L28" s="140" t="s">
        <v>234</v>
      </c>
      <c r="O28" s="140" t="s">
        <v>233</v>
      </c>
    </row>
    <row r="29" spans="1:15" x14ac:dyDescent="0.35">
      <c r="A29" s="140" t="s">
        <v>233</v>
      </c>
      <c r="D29" s="67" t="s">
        <v>254</v>
      </c>
      <c r="F29" s="140" t="s">
        <v>215</v>
      </c>
      <c r="G29" s="140" t="s">
        <v>216</v>
      </c>
      <c r="H29" s="140" t="s">
        <v>216</v>
      </c>
      <c r="I29" s="140" t="s">
        <v>212</v>
      </c>
      <c r="L29" s="140" t="s">
        <v>241</v>
      </c>
      <c r="O29" s="140" t="s">
        <v>234</v>
      </c>
    </row>
    <row r="30" spans="1:15" x14ac:dyDescent="0.35">
      <c r="A30" s="140" t="s">
        <v>234</v>
      </c>
      <c r="D30" s="67" t="s">
        <v>255</v>
      </c>
      <c r="F30" s="140" t="s">
        <v>216</v>
      </c>
      <c r="G30" s="140" t="s">
        <v>217</v>
      </c>
      <c r="H30" s="140" t="s">
        <v>217</v>
      </c>
      <c r="I30" s="140" t="s">
        <v>213</v>
      </c>
      <c r="L30" s="140" t="s">
        <v>243</v>
      </c>
      <c r="O30" s="140" t="s">
        <v>241</v>
      </c>
    </row>
    <row r="31" spans="1:15" x14ac:dyDescent="0.35">
      <c r="A31" s="140" t="s">
        <v>239</v>
      </c>
      <c r="F31" s="140" t="s">
        <v>217</v>
      </c>
      <c r="G31" s="140" t="s">
        <v>218</v>
      </c>
      <c r="H31" s="140" t="s">
        <v>218</v>
      </c>
      <c r="I31" s="140" t="s">
        <v>215</v>
      </c>
      <c r="L31" s="140" t="s">
        <v>244</v>
      </c>
      <c r="O31" s="140" t="s">
        <v>243</v>
      </c>
    </row>
    <row r="32" spans="1:15" x14ac:dyDescent="0.35">
      <c r="A32" s="140" t="s">
        <v>243</v>
      </c>
      <c r="F32" s="140" t="s">
        <v>218</v>
      </c>
      <c r="G32" s="140" t="s">
        <v>219</v>
      </c>
      <c r="H32" s="140" t="s">
        <v>219</v>
      </c>
      <c r="I32" s="140" t="s">
        <v>216</v>
      </c>
      <c r="L32" s="140" t="s">
        <v>247</v>
      </c>
      <c r="O32" s="140" t="s">
        <v>244</v>
      </c>
    </row>
    <row r="33" spans="1:15" x14ac:dyDescent="0.35">
      <c r="A33" s="140" t="s">
        <v>244</v>
      </c>
      <c r="F33" s="140" t="s">
        <v>219</v>
      </c>
      <c r="G33" s="140" t="s">
        <v>221</v>
      </c>
      <c r="H33" s="140" t="s">
        <v>220</v>
      </c>
      <c r="I33" s="140" t="s">
        <v>217</v>
      </c>
      <c r="L33" s="67" t="s">
        <v>248</v>
      </c>
      <c r="O33" s="140" t="s">
        <v>245</v>
      </c>
    </row>
    <row r="34" spans="1:15" x14ac:dyDescent="0.35">
      <c r="A34" s="140" t="s">
        <v>247</v>
      </c>
      <c r="F34" s="140" t="s">
        <v>220</v>
      </c>
      <c r="G34" s="140" t="s">
        <v>222</v>
      </c>
      <c r="H34" s="140" t="s">
        <v>222</v>
      </c>
      <c r="I34" s="140" t="s">
        <v>218</v>
      </c>
      <c r="L34" s="67" t="s">
        <v>253</v>
      </c>
      <c r="O34" s="140" t="s">
        <v>247</v>
      </c>
    </row>
    <row r="35" spans="1:15" x14ac:dyDescent="0.35">
      <c r="A35" s="67" t="s">
        <v>248</v>
      </c>
      <c r="F35" s="140" t="s">
        <v>221</v>
      </c>
      <c r="G35" s="140" t="s">
        <v>225</v>
      </c>
      <c r="H35" s="140" t="s">
        <v>223</v>
      </c>
      <c r="I35" s="140" t="s">
        <v>219</v>
      </c>
      <c r="L35" s="67" t="s">
        <v>254</v>
      </c>
      <c r="O35" s="67" t="s">
        <v>253</v>
      </c>
    </row>
    <row r="36" spans="1:15" x14ac:dyDescent="0.35">
      <c r="A36" s="67" t="s">
        <v>253</v>
      </c>
      <c r="F36" s="140" t="s">
        <v>222</v>
      </c>
      <c r="G36" s="140" t="s">
        <v>226</v>
      </c>
      <c r="H36" s="140" t="s">
        <v>225</v>
      </c>
      <c r="I36" s="140" t="s">
        <v>220</v>
      </c>
      <c r="L36" s="67" t="s">
        <v>255</v>
      </c>
      <c r="O36" s="67" t="s">
        <v>254</v>
      </c>
    </row>
    <row r="37" spans="1:15" x14ac:dyDescent="0.35">
      <c r="A37" s="67" t="s">
        <v>254</v>
      </c>
      <c r="F37" s="140" t="s">
        <v>225</v>
      </c>
      <c r="G37" s="140" t="s">
        <v>227</v>
      </c>
      <c r="H37" s="140" t="s">
        <v>226</v>
      </c>
      <c r="I37" s="140" t="s">
        <v>222</v>
      </c>
      <c r="L37" s="67" t="s">
        <v>256</v>
      </c>
      <c r="O37" s="67" t="s">
        <v>255</v>
      </c>
    </row>
    <row r="38" spans="1:15" x14ac:dyDescent="0.35">
      <c r="A38" s="67" t="s">
        <v>255</v>
      </c>
      <c r="F38" s="140" t="s">
        <v>226</v>
      </c>
      <c r="G38" s="140" t="s">
        <v>228</v>
      </c>
      <c r="H38" s="140" t="s">
        <v>227</v>
      </c>
      <c r="I38" s="140" t="s">
        <v>223</v>
      </c>
      <c r="L38" s="67" t="s">
        <v>257</v>
      </c>
    </row>
    <row r="39" spans="1:15" x14ac:dyDescent="0.35">
      <c r="A39" s="67" t="s">
        <v>256</v>
      </c>
      <c r="F39" s="140" t="s">
        <v>228</v>
      </c>
      <c r="G39" s="140" t="s">
        <v>229</v>
      </c>
      <c r="H39" s="140" t="s">
        <v>228</v>
      </c>
      <c r="I39" s="140" t="s">
        <v>225</v>
      </c>
      <c r="L39" s="67" t="s">
        <v>263</v>
      </c>
    </row>
    <row r="40" spans="1:15" x14ac:dyDescent="0.35">
      <c r="A40" s="67" t="s">
        <v>257</v>
      </c>
      <c r="F40" s="140" t="s">
        <v>230</v>
      </c>
      <c r="G40" s="140" t="s">
        <v>231</v>
      </c>
      <c r="H40" s="140" t="s">
        <v>229</v>
      </c>
      <c r="I40" s="140" t="s">
        <v>226</v>
      </c>
      <c r="L40" s="67" t="s">
        <v>265</v>
      </c>
    </row>
    <row r="41" spans="1:15" x14ac:dyDescent="0.35">
      <c r="A41" s="67" t="s">
        <v>259</v>
      </c>
      <c r="F41" s="140" t="s">
        <v>231</v>
      </c>
      <c r="G41" s="140" t="s">
        <v>233</v>
      </c>
      <c r="H41" s="140" t="s">
        <v>235</v>
      </c>
      <c r="I41" s="140" t="s">
        <v>228</v>
      </c>
    </row>
    <row r="42" spans="1:15" x14ac:dyDescent="0.35">
      <c r="A42" s="67" t="s">
        <v>262</v>
      </c>
      <c r="F42" s="140" t="s">
        <v>232</v>
      </c>
      <c r="G42" s="140" t="s">
        <v>234</v>
      </c>
      <c r="H42" s="140" t="s">
        <v>244</v>
      </c>
      <c r="I42" s="140" t="s">
        <v>230</v>
      </c>
    </row>
    <row r="43" spans="1:15" x14ac:dyDescent="0.35">
      <c r="A43" s="67" t="s">
        <v>263</v>
      </c>
      <c r="F43" s="140" t="s">
        <v>233</v>
      </c>
      <c r="G43" s="140" t="s">
        <v>241</v>
      </c>
      <c r="H43" s="140" t="s">
        <v>245</v>
      </c>
      <c r="I43" s="140" t="s">
        <v>231</v>
      </c>
    </row>
    <row r="44" spans="1:15" x14ac:dyDescent="0.35">
      <c r="F44" s="140" t="s">
        <v>234</v>
      </c>
      <c r="G44" s="140" t="s">
        <v>243</v>
      </c>
      <c r="I44" s="140" t="s">
        <v>233</v>
      </c>
    </row>
    <row r="45" spans="1:15" x14ac:dyDescent="0.35">
      <c r="F45" s="140" t="s">
        <v>240</v>
      </c>
      <c r="G45" s="140" t="s">
        <v>244</v>
      </c>
      <c r="I45" s="140" t="s">
        <v>235</v>
      </c>
    </row>
    <row r="46" spans="1:15" x14ac:dyDescent="0.35">
      <c r="F46" s="140" t="s">
        <v>241</v>
      </c>
      <c r="G46" s="140" t="s">
        <v>246</v>
      </c>
      <c r="I46" s="140" t="s">
        <v>236</v>
      </c>
    </row>
    <row r="47" spans="1:15" x14ac:dyDescent="0.35">
      <c r="F47" s="140" t="s">
        <v>244</v>
      </c>
      <c r="G47" s="67" t="s">
        <v>254</v>
      </c>
      <c r="I47" s="140" t="s">
        <v>240</v>
      </c>
    </row>
    <row r="48" spans="1:15" x14ac:dyDescent="0.35">
      <c r="F48" s="140" t="s">
        <v>246</v>
      </c>
      <c r="G48" s="67" t="s">
        <v>255</v>
      </c>
      <c r="I48" s="140" t="s">
        <v>244</v>
      </c>
    </row>
    <row r="49" spans="6:9" x14ac:dyDescent="0.35">
      <c r="F49" s="140" t="s">
        <v>247</v>
      </c>
      <c r="G49" s="67" t="s">
        <v>257</v>
      </c>
      <c r="I49" s="140" t="s">
        <v>245</v>
      </c>
    </row>
    <row r="50" spans="6:9" x14ac:dyDescent="0.35">
      <c r="F50" s="67" t="s">
        <v>248</v>
      </c>
    </row>
    <row r="51" spans="6:9" x14ac:dyDescent="0.35">
      <c r="F51" s="67" t="s">
        <v>251</v>
      </c>
    </row>
    <row r="52" spans="6:9" x14ac:dyDescent="0.35">
      <c r="F52" s="67" t="s">
        <v>252</v>
      </c>
    </row>
    <row r="53" spans="6:9" x14ac:dyDescent="0.35">
      <c r="F53" s="67" t="s">
        <v>254</v>
      </c>
    </row>
    <row r="54" spans="6:9" x14ac:dyDescent="0.35">
      <c r="F54" s="67" t="s">
        <v>255</v>
      </c>
    </row>
    <row r="55" spans="6:9" x14ac:dyDescent="0.35">
      <c r="F55" s="67" t="s">
        <v>257</v>
      </c>
    </row>
    <row r="56" spans="6:9" x14ac:dyDescent="0.35">
      <c r="F56" s="67" t="s">
        <v>259</v>
      </c>
    </row>
    <row r="57" spans="6:9" x14ac:dyDescent="0.35">
      <c r="F57" s="67" t="s">
        <v>262</v>
      </c>
    </row>
    <row r="58" spans="6:9" x14ac:dyDescent="0.35">
      <c r="F58" s="67" t="s">
        <v>263</v>
      </c>
    </row>
  </sheetData>
  <mergeCells count="3">
    <mergeCell ref="A1:D1"/>
    <mergeCell ref="F1:I1"/>
    <mergeCell ref="L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D118-B763-46AA-813A-F5475AEF7117}">
  <sheetPr>
    <tabColor theme="9" tint="-0.249977111117893"/>
  </sheetPr>
  <dimension ref="B2:N58"/>
  <sheetViews>
    <sheetView zoomScale="115" zoomScaleNormal="115" workbookViewId="0">
      <selection activeCell="B16" sqref="B16"/>
    </sheetView>
  </sheetViews>
  <sheetFormatPr defaultRowHeight="14.5" x14ac:dyDescent="0.35"/>
  <cols>
    <col min="2" max="2" width="10.1796875" bestFit="1" customWidth="1"/>
    <col min="3" max="14" width="15.81640625" customWidth="1"/>
  </cols>
  <sheetData>
    <row r="2" spans="2:14" x14ac:dyDescent="0.35">
      <c r="B2" s="1"/>
      <c r="C2" s="1" t="s">
        <v>7</v>
      </c>
      <c r="D2" s="1" t="s">
        <v>7</v>
      </c>
      <c r="E2" s="1" t="s">
        <v>7</v>
      </c>
      <c r="F2" s="1" t="s">
        <v>9</v>
      </c>
      <c r="G2" s="1" t="s">
        <v>9</v>
      </c>
      <c r="H2" s="1" t="s">
        <v>9</v>
      </c>
      <c r="I2" s="1" t="s">
        <v>8</v>
      </c>
      <c r="J2" s="1" t="s">
        <v>8</v>
      </c>
      <c r="K2" s="1" t="s">
        <v>8</v>
      </c>
      <c r="L2" s="1" t="s">
        <v>10</v>
      </c>
      <c r="M2" s="1" t="s">
        <v>10</v>
      </c>
      <c r="N2" s="1" t="s">
        <v>10</v>
      </c>
    </row>
    <row r="3" spans="2:14" x14ac:dyDescent="0.35">
      <c r="B3" s="104" t="s">
        <v>268</v>
      </c>
      <c r="C3" s="108">
        <v>9.4747657568744627E-20</v>
      </c>
      <c r="D3" s="109">
        <v>2.6430735322449501E-23</v>
      </c>
      <c r="E3" s="109">
        <v>1.970744891997375E-100</v>
      </c>
      <c r="F3" s="109">
        <v>6.0586569339323469E-44</v>
      </c>
      <c r="G3" s="109">
        <v>7.4354863343056346E-32</v>
      </c>
      <c r="H3" s="109">
        <v>0.17304251071291021</v>
      </c>
      <c r="I3" s="109">
        <v>6.1834499551240674E-46</v>
      </c>
      <c r="J3" s="109">
        <v>4.9435347258272642E-48</v>
      </c>
      <c r="K3" s="108">
        <v>5.9034508792565296E-25</v>
      </c>
      <c r="L3" s="109">
        <v>1.500360979571102E-49</v>
      </c>
      <c r="M3" s="109">
        <v>2.8416390445028618E-20</v>
      </c>
      <c r="N3" s="108">
        <v>1.6529223188613301E-72</v>
      </c>
    </row>
    <row r="4" spans="2:14" x14ac:dyDescent="0.35">
      <c r="B4" s="104" t="s">
        <v>269</v>
      </c>
      <c r="C4" s="109">
        <v>8.2873783617900435E-17</v>
      </c>
      <c r="D4" s="109">
        <v>4.092554003950535E-131</v>
      </c>
      <c r="E4" s="108">
        <v>3.5029776358737497E-141</v>
      </c>
      <c r="F4" s="108">
        <v>1.624786414533184E-64</v>
      </c>
      <c r="G4" s="108">
        <v>3.47484664341686E-171</v>
      </c>
      <c r="H4" s="109">
        <v>1</v>
      </c>
      <c r="I4" s="109">
        <v>6.5456300674276173E-83</v>
      </c>
      <c r="J4" s="109">
        <v>7.3023648994880731E-180</v>
      </c>
      <c r="K4" s="109">
        <v>1</v>
      </c>
      <c r="L4" s="109">
        <v>7.0562677454433879E-58</v>
      </c>
      <c r="M4" s="108">
        <v>1.076185694569204E-197</v>
      </c>
      <c r="N4" s="109">
        <v>0.99999999999996669</v>
      </c>
    </row>
    <row r="5" spans="2:14" x14ac:dyDescent="0.35">
      <c r="B5" s="104" t="s">
        <v>270</v>
      </c>
      <c r="C5" s="109">
        <v>2.9804535640973499E-16</v>
      </c>
      <c r="D5" s="108">
        <v>9.6669904004877135E-138</v>
      </c>
      <c r="E5" s="109">
        <v>7.0502656550163309E-139</v>
      </c>
      <c r="F5" s="109">
        <v>1.672935226012477E-36</v>
      </c>
      <c r="G5" s="109">
        <v>1.0319786181859531E-169</v>
      </c>
      <c r="H5" s="109">
        <v>1</v>
      </c>
      <c r="I5" s="108">
        <v>1.945343773751816E-81</v>
      </c>
      <c r="J5" s="108">
        <v>3.7336137155963601E-153</v>
      </c>
      <c r="K5" s="109">
        <v>1</v>
      </c>
      <c r="L5" s="108">
        <v>4.7432684194368774E-59</v>
      </c>
      <c r="M5" s="109">
        <v>1.5818165607475441E-166</v>
      </c>
      <c r="N5" s="109">
        <v>1</v>
      </c>
    </row>
    <row r="6" spans="2:14" x14ac:dyDescent="0.35">
      <c r="B6" s="105" t="s">
        <v>271</v>
      </c>
      <c r="C6" s="110">
        <v>2.755242345259783E-38</v>
      </c>
      <c r="D6" s="108">
        <v>3.2323281818118338E-88</v>
      </c>
      <c r="E6" s="108">
        <v>3.9580772877522923E-77</v>
      </c>
      <c r="F6" s="110">
        <v>3.0901002623633379E-52</v>
      </c>
      <c r="G6" s="108">
        <v>6.2672177835785651E-156</v>
      </c>
      <c r="H6" s="110">
        <v>1</v>
      </c>
      <c r="I6" s="110">
        <v>2.185671853612087E-134</v>
      </c>
      <c r="J6" s="108">
        <v>7.0536890593392512E-157</v>
      </c>
      <c r="K6" s="110">
        <v>1</v>
      </c>
      <c r="L6" s="110">
        <v>1.9942195158585969E-76</v>
      </c>
      <c r="M6" s="108">
        <v>1.569241167657816E-170</v>
      </c>
      <c r="N6" s="110">
        <v>1</v>
      </c>
    </row>
    <row r="7" spans="2:14" x14ac:dyDescent="0.35">
      <c r="B7" s="105" t="s">
        <v>272</v>
      </c>
      <c r="C7" s="110">
        <v>5.4826488871356029E-69</v>
      </c>
      <c r="D7" s="110">
        <v>2.9522028872401471E-30</v>
      </c>
      <c r="E7" s="110">
        <v>0.99999652535152628</v>
      </c>
      <c r="F7" s="110">
        <v>2.7496109338662921E-133</v>
      </c>
      <c r="G7" s="110">
        <v>6.8373850169727422E-98</v>
      </c>
      <c r="H7" s="110">
        <v>0.99288163498380022</v>
      </c>
      <c r="I7" s="110">
        <v>7.2250008608970368E-179</v>
      </c>
      <c r="J7" s="110">
        <v>6.3197111296909042E-146</v>
      </c>
      <c r="K7" s="110">
        <v>1</v>
      </c>
      <c r="L7" s="110">
        <v>2.185671853612087E-134</v>
      </c>
      <c r="M7" s="110">
        <v>2.3213986636838901E-117</v>
      </c>
      <c r="N7" s="110">
        <v>1</v>
      </c>
    </row>
    <row r="8" spans="2:14" x14ac:dyDescent="0.35">
      <c r="B8" s="105" t="s">
        <v>273</v>
      </c>
      <c r="C8" s="108">
        <v>1.043564636923742E-80</v>
      </c>
      <c r="D8" s="110">
        <v>8.2873783617900435E-17</v>
      </c>
      <c r="E8" s="110">
        <v>1</v>
      </c>
      <c r="F8" s="108">
        <v>7.0502656550163309E-139</v>
      </c>
      <c r="G8" s="110">
        <v>2.7936919739005708E-109</v>
      </c>
      <c r="H8" s="110">
        <v>0.99999999992226063</v>
      </c>
      <c r="I8" s="108">
        <v>2.761758638022099E-177</v>
      </c>
      <c r="J8" s="110">
        <v>2.9974819174971911E-89</v>
      </c>
      <c r="K8" s="110">
        <v>1</v>
      </c>
      <c r="L8" s="108">
        <v>1.2964756745662891E-136</v>
      </c>
      <c r="M8" s="110">
        <v>9.3485474238570638E-77</v>
      </c>
      <c r="N8" s="110">
        <v>1</v>
      </c>
    </row>
    <row r="9" spans="2:14" x14ac:dyDescent="0.35">
      <c r="B9" s="106" t="s">
        <v>274</v>
      </c>
      <c r="C9" s="108">
        <v>3.3886224594721331E-132</v>
      </c>
      <c r="D9" s="111">
        <v>5.0438205584933382E-5</v>
      </c>
      <c r="E9" s="111">
        <v>1</v>
      </c>
      <c r="F9" s="111">
        <v>4.092554003950535E-131</v>
      </c>
      <c r="G9" s="111">
        <v>6.0128866720584896E-28</v>
      </c>
      <c r="H9" s="111">
        <v>1</v>
      </c>
      <c r="I9" s="108">
        <v>1.405935159882604E-149</v>
      </c>
      <c r="J9" s="111">
        <v>2.5192600171359881E-49</v>
      </c>
      <c r="K9" s="111">
        <v>1</v>
      </c>
      <c r="L9" s="111">
        <v>2.0822370290439729E-66</v>
      </c>
      <c r="M9" s="108">
        <v>2.1353120423697011E-38</v>
      </c>
      <c r="N9" s="111">
        <v>1</v>
      </c>
    </row>
    <row r="10" spans="2:14" x14ac:dyDescent="0.35">
      <c r="B10" s="106" t="s">
        <v>275</v>
      </c>
      <c r="C10" s="111">
        <v>6.8373850169727422E-98</v>
      </c>
      <c r="D10" s="108">
        <v>6.2158512455527271E-45</v>
      </c>
      <c r="E10" s="111">
        <v>1</v>
      </c>
      <c r="F10" s="111">
        <v>1.3944129081349429E-94</v>
      </c>
      <c r="G10" s="108">
        <v>1.405935159882604E-149</v>
      </c>
      <c r="H10" s="111">
        <v>1</v>
      </c>
      <c r="I10" s="111">
        <v>6.1300941690726921E-114</v>
      </c>
      <c r="J10" s="108">
        <v>9.8164763680076484E-111</v>
      </c>
      <c r="K10" s="111">
        <v>1</v>
      </c>
      <c r="L10" s="108">
        <v>6.7186205577721868E-104</v>
      </c>
      <c r="M10" s="111">
        <v>3.740680254232027E-22</v>
      </c>
      <c r="N10" s="111">
        <v>1</v>
      </c>
    </row>
    <row r="11" spans="2:14" x14ac:dyDescent="0.35">
      <c r="B11" s="106" t="s">
        <v>276</v>
      </c>
      <c r="C11" s="111">
        <v>7.5380420569438527E-116</v>
      </c>
      <c r="D11" s="111">
        <v>1.5346390564693779E-18</v>
      </c>
      <c r="E11" s="111">
        <v>3.6812046908991251E-5</v>
      </c>
      <c r="F11" s="108">
        <v>3.3886224594721331E-132</v>
      </c>
      <c r="G11" s="111">
        <v>4.7432684194368774E-59</v>
      </c>
      <c r="H11" s="111">
        <v>1</v>
      </c>
      <c r="I11" s="111">
        <v>3.7378802256302499E-102</v>
      </c>
      <c r="J11" s="111">
        <v>8.8336644347912755E-54</v>
      </c>
      <c r="K11" s="111">
        <v>1</v>
      </c>
      <c r="L11" s="111">
        <v>3.5800149477577373E-15</v>
      </c>
      <c r="M11" s="111">
        <v>3.0794260643292591E-18</v>
      </c>
      <c r="N11" s="111">
        <v>1</v>
      </c>
    </row>
    <row r="12" spans="2:14" x14ac:dyDescent="0.35">
      <c r="B12" s="106" t="s">
        <v>277</v>
      </c>
      <c r="C12" s="111">
        <v>1.460229168655794E-106</v>
      </c>
      <c r="D12" s="111">
        <v>2.2479212144743419E-17</v>
      </c>
      <c r="E12" s="108">
        <v>2.9804535640973499E-16</v>
      </c>
      <c r="F12" s="111">
        <v>1.945343773751816E-81</v>
      </c>
      <c r="G12" s="111">
        <v>5.4000264204073981E-113</v>
      </c>
      <c r="H12" s="111">
        <v>1</v>
      </c>
      <c r="I12" s="111">
        <v>1.5118112287067971E-78</v>
      </c>
      <c r="J12" s="111">
        <v>1.0946544440119319E-93</v>
      </c>
      <c r="K12" s="111">
        <v>1</v>
      </c>
      <c r="L12" s="111">
        <v>6.7296703835153783E-13</v>
      </c>
      <c r="M12" s="111">
        <v>0.80530098914564607</v>
      </c>
      <c r="N12" s="111">
        <v>1</v>
      </c>
    </row>
    <row r="13" spans="2:14" x14ac:dyDescent="0.35">
      <c r="B13" s="107" t="s">
        <v>278</v>
      </c>
      <c r="C13" s="112">
        <v>8.1621766870248294E-117</v>
      </c>
      <c r="D13" s="112">
        <v>2.404943654208772E-148</v>
      </c>
      <c r="E13" s="112">
        <v>0.8932160997258477</v>
      </c>
      <c r="F13" s="112">
        <v>1.3944129081349429E-94</v>
      </c>
      <c r="G13" s="112">
        <v>1.4586047453265601E-158</v>
      </c>
      <c r="H13" s="112">
        <v>1</v>
      </c>
      <c r="I13" s="112">
        <v>1.970744891997375E-100</v>
      </c>
      <c r="J13" s="112">
        <v>2.673259630904494E-212</v>
      </c>
      <c r="K13" s="112">
        <v>1.6523142715001319E-32</v>
      </c>
      <c r="L13" s="112">
        <v>4.1928894555716279E-26</v>
      </c>
      <c r="M13" s="112">
        <v>3.6748513402275478E-55</v>
      </c>
      <c r="N13" s="112">
        <v>1</v>
      </c>
    </row>
    <row r="14" spans="2:14" x14ac:dyDescent="0.35">
      <c r="B14" s="107" t="s">
        <v>279</v>
      </c>
      <c r="C14" s="108">
        <v>1.728284543766001E-194</v>
      </c>
      <c r="D14" s="112">
        <v>5.0271216826926082E-140</v>
      </c>
      <c r="E14" s="108">
        <v>2.9328384174142829E-168</v>
      </c>
      <c r="F14" s="108">
        <v>1.728284543766001E-194</v>
      </c>
      <c r="G14" s="108">
        <v>1.98356930329381E-198</v>
      </c>
      <c r="H14" s="108">
        <v>7.3853968232725039E-8</v>
      </c>
      <c r="I14" s="108">
        <v>2.7496109338662921E-133</v>
      </c>
      <c r="J14" s="108">
        <v>1.2269891234164789E-271</v>
      </c>
      <c r="K14" s="108">
        <v>1.780879237193481E-140</v>
      </c>
      <c r="L14" s="108">
        <v>2.404943654208772E-148</v>
      </c>
      <c r="M14" s="108">
        <v>2.9615810909522833E-185</v>
      </c>
      <c r="N14" s="108">
        <v>1.4624497416904881E-15</v>
      </c>
    </row>
    <row r="15" spans="2:14" x14ac:dyDescent="0.35">
      <c r="B15" s="107" t="s">
        <v>280</v>
      </c>
      <c r="C15" s="112">
        <v>6.4971223240490441E-146</v>
      </c>
      <c r="D15" s="108">
        <v>7.2250008608970368E-179</v>
      </c>
      <c r="E15" s="112">
        <v>7.0562677454433879E-58</v>
      </c>
      <c r="F15" s="112">
        <v>5.4000264204073981E-113</v>
      </c>
      <c r="G15" s="112">
        <v>3.4045060532262742E-187</v>
      </c>
      <c r="H15" s="112">
        <v>2.425141220284132E-6</v>
      </c>
      <c r="I15" s="112">
        <v>2.454723128522135E-68</v>
      </c>
      <c r="J15" s="112">
        <v>1.157860406755632E-260</v>
      </c>
      <c r="K15" s="112">
        <v>6.6569854056430112E-3</v>
      </c>
      <c r="L15" s="112">
        <v>1.9304614207791681E-61</v>
      </c>
      <c r="M15" s="112">
        <v>7.3023648994880731E-180</v>
      </c>
      <c r="N15" s="112">
        <v>0.9998184688162598</v>
      </c>
    </row>
    <row r="16" spans="2:14" x14ac:dyDescent="0.35">
      <c r="B16" s="106" t="s">
        <v>281</v>
      </c>
      <c r="C16" s="111">
        <v>6.6978574091944809E-160</v>
      </c>
      <c r="D16" s="111">
        <v>4.7695483598372971E-62</v>
      </c>
      <c r="E16" s="111">
        <v>5.7444478971644066E-23</v>
      </c>
      <c r="F16" s="111">
        <v>7.7756403794340515E-78</v>
      </c>
      <c r="G16" s="111">
        <v>3.5029776358737497E-141</v>
      </c>
      <c r="H16" s="111">
        <v>0.99999831688327856</v>
      </c>
      <c r="I16" s="111">
        <v>3.7585550675657738E-51</v>
      </c>
      <c r="J16" s="111">
        <v>3.2199735654230919E-194</v>
      </c>
      <c r="K16" s="108">
        <v>5.5319197747443668E-220</v>
      </c>
      <c r="L16" s="111">
        <v>5.0454549307334114E-103</v>
      </c>
      <c r="M16" s="111">
        <v>1.27371932048623E-174</v>
      </c>
      <c r="N16" s="108">
        <v>1.0561768432081439E-29</v>
      </c>
    </row>
    <row r="17" spans="2:14" x14ac:dyDescent="0.35">
      <c r="B17" s="106" t="s">
        <v>282</v>
      </c>
      <c r="C17" s="111">
        <v>6.7186205577721868E-104</v>
      </c>
      <c r="D17" s="111">
        <v>2.3842679704473091E-142</v>
      </c>
      <c r="E17" s="111">
        <v>7.0502656550163309E-139</v>
      </c>
      <c r="F17" s="111">
        <v>8.1621766870248294E-117</v>
      </c>
      <c r="G17" s="111">
        <v>1.1881822289344749E-212</v>
      </c>
      <c r="H17" s="111">
        <v>3.0726242659104559E-157</v>
      </c>
      <c r="I17" s="111">
        <v>6.2672177835785651E-156</v>
      </c>
      <c r="J17" s="111">
        <v>6.1162364502226952E-297</v>
      </c>
      <c r="K17" s="111">
        <v>0</v>
      </c>
      <c r="L17" s="111">
        <v>7.2250008608970368E-179</v>
      </c>
      <c r="M17" s="108">
        <v>6.1162364502226952E-297</v>
      </c>
      <c r="N17" s="111">
        <v>0</v>
      </c>
    </row>
    <row r="18" spans="2:14" x14ac:dyDescent="0.35">
      <c r="B18" s="106" t="s">
        <v>283</v>
      </c>
      <c r="C18" s="111">
        <v>1.2126531082110179E-202</v>
      </c>
      <c r="D18" s="111">
        <v>1.1881822289344749E-212</v>
      </c>
      <c r="E18" s="111">
        <v>8.376684713988048E-210</v>
      </c>
      <c r="F18" s="111">
        <v>9.3163432430796114E-191</v>
      </c>
      <c r="G18" s="111">
        <v>1.1881822289344749E-212</v>
      </c>
      <c r="H18" s="111">
        <v>1.1881822289344749E-212</v>
      </c>
      <c r="I18" s="111">
        <v>2.9486049011460819E-207</v>
      </c>
      <c r="J18" s="111">
        <v>6.1162364502226952E-297</v>
      </c>
      <c r="K18" s="111">
        <v>0</v>
      </c>
      <c r="L18" s="111">
        <v>7.2250008608970368E-179</v>
      </c>
      <c r="M18" s="111">
        <v>6.1162364502226952E-297</v>
      </c>
      <c r="N18" s="111">
        <v>0</v>
      </c>
    </row>
    <row r="19" spans="2:14" x14ac:dyDescent="0.35">
      <c r="B19" s="106" t="s">
        <v>284</v>
      </c>
      <c r="C19" s="111">
        <v>1.1881822289344749E-212</v>
      </c>
      <c r="D19" s="111">
        <v>1.1881822289344749E-212</v>
      </c>
      <c r="E19" s="111">
        <v>1.1881822289344749E-212</v>
      </c>
      <c r="F19" s="111">
        <v>1.1881822289344749E-212</v>
      </c>
      <c r="G19" s="111">
        <v>8.376684713988048E-210</v>
      </c>
      <c r="H19" s="111">
        <v>1.1881822289344749E-212</v>
      </c>
      <c r="I19" s="111">
        <v>1.1881822289344749E-212</v>
      </c>
      <c r="J19" s="111">
        <v>6.1162364502226952E-297</v>
      </c>
      <c r="K19" s="111">
        <v>0</v>
      </c>
      <c r="L19" s="108">
        <v>8.376684713988048E-210</v>
      </c>
      <c r="M19" s="111">
        <v>2.9640566247433731E-291</v>
      </c>
      <c r="N19" s="111">
        <v>0</v>
      </c>
    </row>
    <row r="20" spans="2:14" x14ac:dyDescent="0.35">
      <c r="B20" s="106" t="s">
        <v>285</v>
      </c>
      <c r="C20" s="108">
        <v>1.1881822289344749E-212</v>
      </c>
      <c r="D20" s="108">
        <v>1.1881822289344749E-212</v>
      </c>
      <c r="E20" s="108">
        <v>1.1881822289344749E-212</v>
      </c>
      <c r="F20" s="108">
        <v>1.1881822289344749E-212</v>
      </c>
      <c r="G20" s="108">
        <v>1.1881822289344749E-212</v>
      </c>
      <c r="H20" s="108">
        <v>1.1881822289344749E-212</v>
      </c>
      <c r="I20" s="108">
        <v>1.1881822289344749E-212</v>
      </c>
      <c r="J20" s="108">
        <v>6.1162364502226952E-297</v>
      </c>
      <c r="K20" s="111">
        <v>0</v>
      </c>
      <c r="L20" s="111">
        <v>1.2126531082110179E-202</v>
      </c>
      <c r="M20" s="111">
        <v>6.1162364502226952E-297</v>
      </c>
      <c r="N20" s="111">
        <v>0</v>
      </c>
    </row>
    <row r="27" spans="2:14" x14ac:dyDescent="0.35">
      <c r="C27" s="92" t="s">
        <v>7</v>
      </c>
      <c r="D27" s="41" t="s">
        <v>7</v>
      </c>
      <c r="E27" s="41" t="s">
        <v>7</v>
      </c>
      <c r="F27" s="86" t="s">
        <v>9</v>
      </c>
      <c r="G27" s="41" t="s">
        <v>9</v>
      </c>
      <c r="H27" s="41" t="s">
        <v>9</v>
      </c>
      <c r="I27" s="41" t="s">
        <v>8</v>
      </c>
      <c r="J27" s="41" t="s">
        <v>8</v>
      </c>
      <c r="K27" s="41" t="s">
        <v>8</v>
      </c>
      <c r="L27" s="41" t="s">
        <v>10</v>
      </c>
      <c r="M27" s="41" t="s">
        <v>10</v>
      </c>
      <c r="N27" s="41" t="s">
        <v>10</v>
      </c>
    </row>
    <row r="28" spans="2:14" x14ac:dyDescent="0.35">
      <c r="C28" s="93" t="s">
        <v>4</v>
      </c>
      <c r="D28" s="43" t="s">
        <v>5</v>
      </c>
      <c r="E28" s="43" t="s">
        <v>6</v>
      </c>
      <c r="F28" s="87" t="s">
        <v>4</v>
      </c>
      <c r="G28" s="43" t="s">
        <v>5</v>
      </c>
      <c r="H28" s="43" t="s">
        <v>6</v>
      </c>
      <c r="I28" s="43" t="s">
        <v>4</v>
      </c>
      <c r="J28" s="43" t="s">
        <v>5</v>
      </c>
      <c r="K28" s="43" t="s">
        <v>6</v>
      </c>
      <c r="L28" s="43" t="s">
        <v>4</v>
      </c>
      <c r="M28" s="43" t="s">
        <v>5</v>
      </c>
      <c r="N28" s="43" t="s">
        <v>6</v>
      </c>
    </row>
    <row r="29" spans="2:14" ht="29" x14ac:dyDescent="0.35">
      <c r="B29" s="104" t="s">
        <v>268</v>
      </c>
      <c r="C29" s="113" t="s">
        <v>286</v>
      </c>
      <c r="D29" s="114"/>
      <c r="E29" s="114"/>
      <c r="F29" s="114"/>
      <c r="G29" s="114"/>
      <c r="H29" s="114"/>
      <c r="I29" s="114"/>
      <c r="J29" s="114"/>
      <c r="K29" s="113" t="s">
        <v>295</v>
      </c>
      <c r="L29" s="114"/>
      <c r="M29" s="114"/>
      <c r="N29" s="113" t="s">
        <v>296</v>
      </c>
    </row>
    <row r="30" spans="2:14" ht="29" x14ac:dyDescent="0.35">
      <c r="B30" s="104" t="s">
        <v>269</v>
      </c>
      <c r="C30" s="104"/>
      <c r="D30" s="114"/>
      <c r="E30" s="113" t="s">
        <v>297</v>
      </c>
      <c r="F30" s="113" t="s">
        <v>298</v>
      </c>
      <c r="G30" s="113" t="s">
        <v>299</v>
      </c>
      <c r="H30" s="114"/>
      <c r="I30" s="114"/>
      <c r="J30" s="114"/>
      <c r="K30" s="114"/>
      <c r="L30" s="114"/>
      <c r="M30" s="113" t="s">
        <v>300</v>
      </c>
      <c r="N30" s="114"/>
    </row>
    <row r="31" spans="2:14" ht="29" x14ac:dyDescent="0.35">
      <c r="B31" s="104" t="s">
        <v>270</v>
      </c>
      <c r="C31" s="104"/>
      <c r="D31" s="113" t="s">
        <v>291</v>
      </c>
      <c r="E31" s="114"/>
      <c r="F31" s="114"/>
      <c r="G31" s="114"/>
      <c r="H31" s="114"/>
      <c r="I31" s="113" t="s">
        <v>292</v>
      </c>
      <c r="J31" s="113" t="s">
        <v>293</v>
      </c>
      <c r="K31" s="114"/>
      <c r="L31" s="113" t="s">
        <v>294</v>
      </c>
      <c r="M31" s="114"/>
      <c r="N31" s="114"/>
    </row>
    <row r="32" spans="2:14" ht="29" x14ac:dyDescent="0.35">
      <c r="B32" s="105" t="s">
        <v>271</v>
      </c>
      <c r="C32" s="105"/>
      <c r="D32" s="113" t="s">
        <v>301</v>
      </c>
      <c r="E32" s="113" t="s">
        <v>302</v>
      </c>
      <c r="F32" s="115"/>
      <c r="G32" s="113" t="s">
        <v>303</v>
      </c>
      <c r="H32" s="115"/>
      <c r="I32" s="115"/>
      <c r="J32" s="113" t="s">
        <v>304</v>
      </c>
      <c r="K32" s="115"/>
      <c r="L32" s="115"/>
      <c r="M32" s="113" t="s">
        <v>305</v>
      </c>
      <c r="N32" s="115"/>
    </row>
    <row r="33" spans="2:14" x14ac:dyDescent="0.35">
      <c r="B33" s="105" t="s">
        <v>272</v>
      </c>
      <c r="C33" s="10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</row>
    <row r="34" spans="2:14" ht="29" x14ac:dyDescent="0.35">
      <c r="B34" s="105" t="s">
        <v>273</v>
      </c>
      <c r="C34" s="113" t="s">
        <v>287</v>
      </c>
      <c r="D34" s="115"/>
      <c r="E34" s="115"/>
      <c r="F34" s="113" t="s">
        <v>306</v>
      </c>
      <c r="G34" s="115"/>
      <c r="H34" s="115"/>
      <c r="I34" s="113" t="s">
        <v>307</v>
      </c>
      <c r="J34" s="115"/>
      <c r="K34" s="115"/>
      <c r="L34" s="113" t="s">
        <v>308</v>
      </c>
      <c r="M34" s="115"/>
      <c r="N34" s="115"/>
    </row>
    <row r="35" spans="2:14" ht="29" x14ac:dyDescent="0.35">
      <c r="B35" s="106" t="s">
        <v>274</v>
      </c>
      <c r="C35" s="113" t="s">
        <v>288</v>
      </c>
      <c r="D35" s="116"/>
      <c r="E35" s="116"/>
      <c r="F35" s="116"/>
      <c r="G35" s="116"/>
      <c r="H35" s="116"/>
      <c r="I35" s="113" t="s">
        <v>309</v>
      </c>
      <c r="J35" s="116"/>
      <c r="K35" s="116"/>
      <c r="L35" s="116"/>
      <c r="M35" s="113" t="s">
        <v>310</v>
      </c>
      <c r="N35" s="116"/>
    </row>
    <row r="36" spans="2:14" ht="29" x14ac:dyDescent="0.35">
      <c r="B36" s="106" t="s">
        <v>275</v>
      </c>
      <c r="C36" s="106"/>
      <c r="D36" s="113" t="s">
        <v>311</v>
      </c>
      <c r="E36" s="116"/>
      <c r="F36" s="116"/>
      <c r="G36" s="113" t="s">
        <v>312</v>
      </c>
      <c r="H36" s="116"/>
      <c r="I36" s="116"/>
      <c r="J36" s="113" t="s">
        <v>313</v>
      </c>
      <c r="K36" s="116"/>
      <c r="L36" s="113" t="s">
        <v>314</v>
      </c>
      <c r="M36" s="116"/>
      <c r="N36" s="116"/>
    </row>
    <row r="37" spans="2:14" ht="29" x14ac:dyDescent="0.35">
      <c r="B37" s="106" t="s">
        <v>276</v>
      </c>
      <c r="C37" s="106"/>
      <c r="D37" s="116"/>
      <c r="E37" s="116"/>
      <c r="F37" s="113" t="s">
        <v>336</v>
      </c>
      <c r="G37" s="116"/>
      <c r="H37" s="116"/>
      <c r="I37" s="116"/>
      <c r="J37" s="116"/>
      <c r="K37" s="116"/>
      <c r="L37" s="116"/>
      <c r="M37" s="116"/>
      <c r="N37" s="116"/>
    </row>
    <row r="38" spans="2:14" ht="29" x14ac:dyDescent="0.35">
      <c r="B38" s="106" t="s">
        <v>277</v>
      </c>
      <c r="C38" s="106"/>
      <c r="D38" s="116"/>
      <c r="E38" s="113" t="s">
        <v>337</v>
      </c>
      <c r="F38" s="116"/>
      <c r="G38" s="116"/>
      <c r="H38" s="116"/>
      <c r="I38" s="116"/>
      <c r="J38" s="116"/>
      <c r="K38" s="116"/>
      <c r="L38" s="116"/>
      <c r="M38" s="116"/>
      <c r="N38" s="116"/>
    </row>
    <row r="39" spans="2:14" x14ac:dyDescent="0.35">
      <c r="B39" s="107" t="s">
        <v>278</v>
      </c>
      <c r="C39" s="10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</row>
    <row r="40" spans="2:14" ht="29" x14ac:dyDescent="0.35">
      <c r="B40" s="107" t="s">
        <v>279</v>
      </c>
      <c r="C40" s="113" t="s">
        <v>289</v>
      </c>
      <c r="D40" s="117"/>
      <c r="E40" s="113" t="s">
        <v>315</v>
      </c>
      <c r="F40" s="113" t="s">
        <v>316</v>
      </c>
      <c r="G40" s="113" t="s">
        <v>317</v>
      </c>
      <c r="H40" s="113" t="s">
        <v>318</v>
      </c>
      <c r="I40" s="113" t="s">
        <v>319</v>
      </c>
      <c r="J40" s="113" t="s">
        <v>320</v>
      </c>
      <c r="K40" s="113" t="s">
        <v>321</v>
      </c>
      <c r="L40" s="113" t="s">
        <v>322</v>
      </c>
      <c r="M40" s="113" t="s">
        <v>323</v>
      </c>
      <c r="N40" s="113" t="s">
        <v>324</v>
      </c>
    </row>
    <row r="41" spans="2:14" ht="29" x14ac:dyDescent="0.35">
      <c r="B41" s="107" t="s">
        <v>280</v>
      </c>
      <c r="C41" s="107"/>
      <c r="D41" s="113" t="s">
        <v>325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</row>
    <row r="42" spans="2:14" ht="29" x14ac:dyDescent="0.35">
      <c r="B42" s="106" t="s">
        <v>281</v>
      </c>
      <c r="C42" s="106"/>
      <c r="D42" s="116"/>
      <c r="E42" s="116"/>
      <c r="F42" s="116"/>
      <c r="G42" s="116"/>
      <c r="H42" s="116"/>
      <c r="I42" s="116"/>
      <c r="J42" s="116"/>
      <c r="K42" s="113" t="s">
        <v>326</v>
      </c>
      <c r="L42" s="116"/>
      <c r="M42" s="116"/>
      <c r="N42" s="113" t="s">
        <v>327</v>
      </c>
    </row>
    <row r="43" spans="2:14" ht="29" x14ac:dyDescent="0.35">
      <c r="B43" s="106" t="s">
        <v>282</v>
      </c>
      <c r="C43" s="106"/>
      <c r="D43" s="116"/>
      <c r="E43" s="116"/>
      <c r="F43" s="116"/>
      <c r="G43" s="116"/>
      <c r="H43" s="116"/>
      <c r="I43" s="116"/>
      <c r="J43" s="116"/>
      <c r="K43" s="116"/>
      <c r="L43" s="116"/>
      <c r="M43" s="113" t="s">
        <v>328</v>
      </c>
      <c r="N43" s="116"/>
    </row>
    <row r="44" spans="2:14" x14ac:dyDescent="0.35">
      <c r="B44" s="106" t="s">
        <v>283</v>
      </c>
      <c r="C44" s="10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</row>
    <row r="45" spans="2:14" ht="29" x14ac:dyDescent="0.35">
      <c r="B45" s="106" t="s">
        <v>284</v>
      </c>
      <c r="C45" s="106"/>
      <c r="D45" s="116"/>
      <c r="E45" s="116"/>
      <c r="F45" s="116"/>
      <c r="G45" s="116"/>
      <c r="H45" s="116"/>
      <c r="I45" s="116"/>
      <c r="J45" s="116"/>
      <c r="K45" s="116"/>
      <c r="L45" s="113" t="s">
        <v>329</v>
      </c>
      <c r="M45" s="116"/>
      <c r="N45" s="116"/>
    </row>
    <row r="46" spans="2:14" ht="29" x14ac:dyDescent="0.35">
      <c r="B46" s="106" t="s">
        <v>285</v>
      </c>
      <c r="C46" s="113" t="s">
        <v>290</v>
      </c>
      <c r="D46" s="113" t="s">
        <v>290</v>
      </c>
      <c r="E46" s="113" t="s">
        <v>290</v>
      </c>
      <c r="F46" s="113" t="s">
        <v>290</v>
      </c>
      <c r="G46" s="113" t="s">
        <v>290</v>
      </c>
      <c r="H46" s="113" t="s">
        <v>290</v>
      </c>
      <c r="I46" s="113" t="s">
        <v>290</v>
      </c>
      <c r="J46" s="113" t="s">
        <v>330</v>
      </c>
      <c r="K46" s="116"/>
      <c r="L46" s="116"/>
      <c r="M46" s="116"/>
      <c r="N46" s="116"/>
    </row>
    <row r="52" spans="2:14" x14ac:dyDescent="0.35">
      <c r="B52" s="1" t="s">
        <v>338</v>
      </c>
      <c r="C52" s="88" t="s">
        <v>7</v>
      </c>
      <c r="D52" s="41" t="s">
        <v>7</v>
      </c>
      <c r="E52" s="41" t="s">
        <v>7</v>
      </c>
      <c r="F52" s="41" t="s">
        <v>9</v>
      </c>
      <c r="G52" s="41" t="s">
        <v>9</v>
      </c>
      <c r="H52" s="41" t="s">
        <v>9</v>
      </c>
      <c r="I52" s="41" t="s">
        <v>8</v>
      </c>
      <c r="J52" s="41" t="s">
        <v>8</v>
      </c>
      <c r="K52" s="41" t="s">
        <v>8</v>
      </c>
      <c r="L52" s="41" t="s">
        <v>10</v>
      </c>
      <c r="M52" s="41" t="s">
        <v>10</v>
      </c>
      <c r="N52" s="41" t="s">
        <v>10</v>
      </c>
    </row>
    <row r="53" spans="2:14" x14ac:dyDescent="0.35">
      <c r="B53" s="1"/>
      <c r="C53" s="88" t="s">
        <v>4</v>
      </c>
      <c r="D53" s="41" t="s">
        <v>5</v>
      </c>
      <c r="E53" s="41" t="s">
        <v>6</v>
      </c>
      <c r="F53" s="41" t="s">
        <v>4</v>
      </c>
      <c r="G53" s="41" t="s">
        <v>5</v>
      </c>
      <c r="H53" s="41" t="s">
        <v>6</v>
      </c>
      <c r="I53" s="41" t="s">
        <v>4</v>
      </c>
      <c r="J53" s="41" t="s">
        <v>5</v>
      </c>
      <c r="K53" s="41" t="s">
        <v>6</v>
      </c>
      <c r="L53" s="41" t="s">
        <v>4</v>
      </c>
      <c r="M53" s="41" t="s">
        <v>5</v>
      </c>
      <c r="N53" s="41" t="s">
        <v>6</v>
      </c>
    </row>
    <row r="54" spans="2:14" ht="29" x14ac:dyDescent="0.35">
      <c r="B54" s="1" t="s">
        <v>333</v>
      </c>
      <c r="C54" s="118" t="s">
        <v>286</v>
      </c>
      <c r="D54" s="118" t="s">
        <v>291</v>
      </c>
      <c r="E54" s="118" t="s">
        <v>297</v>
      </c>
      <c r="F54" s="118" t="s">
        <v>298</v>
      </c>
      <c r="G54" s="118" t="s">
        <v>299</v>
      </c>
      <c r="H54" s="1"/>
      <c r="I54" s="118" t="s">
        <v>292</v>
      </c>
      <c r="J54" s="118" t="s">
        <v>293</v>
      </c>
      <c r="K54" s="118" t="s">
        <v>295</v>
      </c>
      <c r="L54" s="118" t="s">
        <v>294</v>
      </c>
      <c r="M54" s="118" t="s">
        <v>300</v>
      </c>
      <c r="N54" s="118" t="s">
        <v>296</v>
      </c>
    </row>
    <row r="55" spans="2:14" ht="29" x14ac:dyDescent="0.35">
      <c r="B55" s="119" t="s">
        <v>332</v>
      </c>
      <c r="C55" s="118" t="s">
        <v>287</v>
      </c>
      <c r="D55" s="118" t="s">
        <v>301</v>
      </c>
      <c r="E55" s="118" t="s">
        <v>302</v>
      </c>
      <c r="F55" s="118" t="s">
        <v>306</v>
      </c>
      <c r="G55" s="118" t="s">
        <v>303</v>
      </c>
      <c r="H55" s="1"/>
      <c r="I55" s="118" t="s">
        <v>307</v>
      </c>
      <c r="J55" s="118" t="s">
        <v>304</v>
      </c>
      <c r="K55" s="1"/>
      <c r="L55" s="118" t="s">
        <v>308</v>
      </c>
      <c r="M55" s="118" t="s">
        <v>305</v>
      </c>
      <c r="N55" s="1"/>
    </row>
    <row r="56" spans="2:14" ht="29" x14ac:dyDescent="0.35">
      <c r="B56" s="120" t="s">
        <v>334</v>
      </c>
      <c r="C56" s="118" t="s">
        <v>288</v>
      </c>
      <c r="D56" s="118" t="s">
        <v>311</v>
      </c>
      <c r="E56" s="118" t="s">
        <v>337</v>
      </c>
      <c r="F56" s="118" t="s">
        <v>336</v>
      </c>
      <c r="G56" s="118" t="s">
        <v>312</v>
      </c>
      <c r="H56" s="1"/>
      <c r="I56" s="118" t="s">
        <v>309</v>
      </c>
      <c r="J56" s="118" t="s">
        <v>313</v>
      </c>
      <c r="K56" s="1"/>
      <c r="L56" s="118" t="s">
        <v>314</v>
      </c>
      <c r="M56" s="118" t="s">
        <v>310</v>
      </c>
      <c r="N56" s="1"/>
    </row>
    <row r="57" spans="2:14" ht="29" x14ac:dyDescent="0.35">
      <c r="B57" s="1" t="s">
        <v>331</v>
      </c>
      <c r="C57" s="118" t="s">
        <v>289</v>
      </c>
      <c r="D57" s="118" t="s">
        <v>325</v>
      </c>
      <c r="E57" s="118" t="s">
        <v>315</v>
      </c>
      <c r="F57" s="118" t="s">
        <v>316</v>
      </c>
      <c r="G57" s="118" t="s">
        <v>317</v>
      </c>
      <c r="H57" s="118" t="s">
        <v>318</v>
      </c>
      <c r="I57" s="118" t="s">
        <v>319</v>
      </c>
      <c r="J57" s="118" t="s">
        <v>320</v>
      </c>
      <c r="K57" s="118" t="s">
        <v>321</v>
      </c>
      <c r="L57" s="118" t="s">
        <v>322</v>
      </c>
      <c r="M57" s="118" t="s">
        <v>323</v>
      </c>
      <c r="N57" s="118" t="s">
        <v>324</v>
      </c>
    </row>
    <row r="58" spans="2:14" ht="29" x14ac:dyDescent="0.35">
      <c r="B58" s="1" t="s">
        <v>335</v>
      </c>
      <c r="C58" s="118" t="s">
        <v>290</v>
      </c>
      <c r="D58" s="118" t="s">
        <v>290</v>
      </c>
      <c r="E58" s="118" t="s">
        <v>290</v>
      </c>
      <c r="F58" s="118" t="s">
        <v>290</v>
      </c>
      <c r="G58" s="118" t="s">
        <v>290</v>
      </c>
      <c r="H58" s="118" t="s">
        <v>290</v>
      </c>
      <c r="I58" s="118" t="s">
        <v>290</v>
      </c>
      <c r="J58" s="118" t="s">
        <v>330</v>
      </c>
      <c r="K58" s="118" t="s">
        <v>326</v>
      </c>
      <c r="L58" s="118" t="s">
        <v>329</v>
      </c>
      <c r="M58" s="118" t="s">
        <v>328</v>
      </c>
      <c r="N58" s="118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3F6F-2AF5-4027-BB89-801CAE134D59}">
  <dimension ref="A1:O20"/>
  <sheetViews>
    <sheetView topLeftCell="A6" workbookViewId="0">
      <selection activeCell="L3" sqref="L3:O13"/>
    </sheetView>
  </sheetViews>
  <sheetFormatPr defaultRowHeight="14.5" x14ac:dyDescent="0.35"/>
  <cols>
    <col min="1" max="4" width="10.1796875" bestFit="1" customWidth="1"/>
    <col min="6" max="9" width="10.1796875" bestFit="1" customWidth="1"/>
    <col min="12" max="15" width="10.1796875" bestFit="1" customWidth="1"/>
  </cols>
  <sheetData>
    <row r="1" spans="1:15" x14ac:dyDescent="0.35">
      <c r="A1" s="165" t="s">
        <v>405</v>
      </c>
      <c r="B1" s="165"/>
      <c r="C1" s="165"/>
      <c r="D1" s="165"/>
      <c r="F1" s="165" t="s">
        <v>407</v>
      </c>
      <c r="G1" s="165"/>
      <c r="H1" s="165"/>
      <c r="I1" s="165"/>
      <c r="L1" s="165" t="s">
        <v>406</v>
      </c>
      <c r="M1" s="165"/>
      <c r="N1" s="165"/>
      <c r="O1" s="165"/>
    </row>
    <row r="2" spans="1:15" x14ac:dyDescent="0.35">
      <c r="A2" t="s">
        <v>7</v>
      </c>
      <c r="B2" t="s">
        <v>9</v>
      </c>
      <c r="C2" t="s">
        <v>8</v>
      </c>
      <c r="D2" t="s">
        <v>10</v>
      </c>
      <c r="F2" t="s">
        <v>7</v>
      </c>
      <c r="G2" t="s">
        <v>9</v>
      </c>
      <c r="H2" t="s">
        <v>8</v>
      </c>
      <c r="I2" t="s">
        <v>10</v>
      </c>
      <c r="L2" t="s">
        <v>7</v>
      </c>
      <c r="M2" t="s">
        <v>9</v>
      </c>
      <c r="N2" t="s">
        <v>8</v>
      </c>
      <c r="O2" t="s">
        <v>10</v>
      </c>
    </row>
    <row r="3" spans="1:15" x14ac:dyDescent="0.35">
      <c r="A3" s="104" t="s">
        <v>268</v>
      </c>
      <c r="B3" s="104" t="s">
        <v>268</v>
      </c>
      <c r="C3" s="104" t="s">
        <v>268</v>
      </c>
      <c r="D3" s="104" t="s">
        <v>268</v>
      </c>
      <c r="F3" s="104" t="s">
        <v>268</v>
      </c>
      <c r="G3" s="104" t="s">
        <v>268</v>
      </c>
      <c r="H3" s="104" t="s">
        <v>268</v>
      </c>
      <c r="I3" s="104" t="s">
        <v>268</v>
      </c>
      <c r="L3" s="61" t="s">
        <v>272</v>
      </c>
      <c r="M3" s="5" t="s">
        <v>269</v>
      </c>
      <c r="N3" s="5" t="s">
        <v>269</v>
      </c>
      <c r="O3" s="5" t="s">
        <v>269</v>
      </c>
    </row>
    <row r="4" spans="1:15" x14ac:dyDescent="0.35">
      <c r="A4" s="104" t="s">
        <v>269</v>
      </c>
      <c r="B4" s="104" t="s">
        <v>269</v>
      </c>
      <c r="C4" s="104" t="s">
        <v>269</v>
      </c>
      <c r="D4" s="104" t="s">
        <v>269</v>
      </c>
      <c r="F4" s="104" t="s">
        <v>269</v>
      </c>
      <c r="G4" s="104" t="s">
        <v>269</v>
      </c>
      <c r="H4" s="104" t="s">
        <v>269</v>
      </c>
      <c r="I4" s="104" t="s">
        <v>269</v>
      </c>
      <c r="L4" s="61" t="s">
        <v>273</v>
      </c>
      <c r="M4" s="5" t="s">
        <v>270</v>
      </c>
      <c r="N4" s="5" t="s">
        <v>270</v>
      </c>
      <c r="O4" s="5" t="s">
        <v>270</v>
      </c>
    </row>
    <row r="5" spans="1:15" x14ac:dyDescent="0.35">
      <c r="A5" s="104" t="s">
        <v>270</v>
      </c>
      <c r="B5" s="104" t="s">
        <v>270</v>
      </c>
      <c r="C5" s="104" t="s">
        <v>270</v>
      </c>
      <c r="D5" s="104" t="s">
        <v>270</v>
      </c>
      <c r="F5" s="104" t="s">
        <v>270</v>
      </c>
      <c r="G5" s="104" t="s">
        <v>270</v>
      </c>
      <c r="H5" s="104" t="s">
        <v>270</v>
      </c>
      <c r="I5" s="104" t="s">
        <v>270</v>
      </c>
      <c r="L5" s="48" t="s">
        <v>274</v>
      </c>
      <c r="M5" s="61" t="s">
        <v>271</v>
      </c>
      <c r="N5" s="61" t="s">
        <v>271</v>
      </c>
      <c r="O5" s="61" t="s">
        <v>271</v>
      </c>
    </row>
    <row r="6" spans="1:15" x14ac:dyDescent="0.35">
      <c r="A6" s="105" t="s">
        <v>271</v>
      </c>
      <c r="B6" s="105" t="s">
        <v>271</v>
      </c>
      <c r="C6" s="105" t="s">
        <v>271</v>
      </c>
      <c r="D6" s="105" t="s">
        <v>271</v>
      </c>
      <c r="F6" s="105" t="s">
        <v>271</v>
      </c>
      <c r="G6" s="105" t="s">
        <v>271</v>
      </c>
      <c r="H6" s="105" t="s">
        <v>271</v>
      </c>
      <c r="I6" s="105" t="s">
        <v>271</v>
      </c>
      <c r="L6" s="48" t="s">
        <v>275</v>
      </c>
      <c r="M6" s="61" t="s">
        <v>272</v>
      </c>
      <c r="N6" s="61" t="s">
        <v>272</v>
      </c>
      <c r="O6" s="61" t="s">
        <v>272</v>
      </c>
    </row>
    <row r="7" spans="1:15" x14ac:dyDescent="0.35">
      <c r="A7" s="105" t="s">
        <v>272</v>
      </c>
      <c r="B7" s="105" t="s">
        <v>272</v>
      </c>
      <c r="C7" s="105" t="s">
        <v>272</v>
      </c>
      <c r="D7" s="105" t="s">
        <v>272</v>
      </c>
      <c r="F7" s="105" t="s">
        <v>272</v>
      </c>
      <c r="G7" s="105" t="s">
        <v>272</v>
      </c>
      <c r="H7" s="105" t="s">
        <v>272</v>
      </c>
      <c r="I7" s="105" t="s">
        <v>272</v>
      </c>
      <c r="M7" s="61" t="s">
        <v>273</v>
      </c>
      <c r="N7" s="61" t="s">
        <v>273</v>
      </c>
      <c r="O7" s="61" t="s">
        <v>273</v>
      </c>
    </row>
    <row r="8" spans="1:15" x14ac:dyDescent="0.35">
      <c r="A8" s="105" t="s">
        <v>273</v>
      </c>
      <c r="B8" s="105" t="s">
        <v>273</v>
      </c>
      <c r="C8" s="105" t="s">
        <v>273</v>
      </c>
      <c r="D8" s="105" t="s">
        <v>273</v>
      </c>
      <c r="F8" s="105" t="s">
        <v>273</v>
      </c>
      <c r="G8" s="105" t="s">
        <v>273</v>
      </c>
      <c r="H8" s="105" t="s">
        <v>273</v>
      </c>
      <c r="I8" s="105" t="s">
        <v>273</v>
      </c>
      <c r="M8" s="48" t="s">
        <v>274</v>
      </c>
      <c r="N8" s="48" t="s">
        <v>274</v>
      </c>
      <c r="O8" s="48" t="s">
        <v>274</v>
      </c>
    </row>
    <row r="9" spans="1:15" x14ac:dyDescent="0.35">
      <c r="A9" s="106" t="s">
        <v>274</v>
      </c>
      <c r="B9" s="106" t="s">
        <v>274</v>
      </c>
      <c r="C9" s="106" t="s">
        <v>274</v>
      </c>
      <c r="D9" s="106" t="s">
        <v>274</v>
      </c>
      <c r="F9" s="106" t="s">
        <v>274</v>
      </c>
      <c r="G9" s="106" t="s">
        <v>274</v>
      </c>
      <c r="H9" s="106" t="s">
        <v>274</v>
      </c>
      <c r="I9" s="106" t="s">
        <v>274</v>
      </c>
      <c r="M9" s="48" t="s">
        <v>275</v>
      </c>
      <c r="N9" s="48" t="s">
        <v>275</v>
      </c>
      <c r="O9" s="48" t="s">
        <v>275</v>
      </c>
    </row>
    <row r="10" spans="1:15" x14ac:dyDescent="0.35">
      <c r="A10" s="106" t="s">
        <v>275</v>
      </c>
      <c r="B10" s="106" t="s">
        <v>275</v>
      </c>
      <c r="C10" s="106" t="s">
        <v>275</v>
      </c>
      <c r="D10" s="106" t="s">
        <v>275</v>
      </c>
      <c r="F10" s="106" t="s">
        <v>275</v>
      </c>
      <c r="G10" s="106" t="s">
        <v>275</v>
      </c>
      <c r="H10" s="106" t="s">
        <v>275</v>
      </c>
      <c r="I10" s="106" t="s">
        <v>275</v>
      </c>
      <c r="M10" s="48" t="s">
        <v>276</v>
      </c>
      <c r="N10" s="48" t="s">
        <v>276</v>
      </c>
      <c r="O10" s="48" t="s">
        <v>276</v>
      </c>
    </row>
    <row r="11" spans="1:15" x14ac:dyDescent="0.35">
      <c r="A11" s="106" t="s">
        <v>276</v>
      </c>
      <c r="B11" s="106" t="s">
        <v>276</v>
      </c>
      <c r="C11" s="106" t="s">
        <v>276</v>
      </c>
      <c r="D11" s="106" t="s">
        <v>276</v>
      </c>
      <c r="F11" s="106" t="s">
        <v>276</v>
      </c>
      <c r="G11" s="106" t="s">
        <v>276</v>
      </c>
      <c r="H11" s="106" t="s">
        <v>276</v>
      </c>
      <c r="I11" s="106" t="s">
        <v>276</v>
      </c>
      <c r="M11" s="48" t="s">
        <v>277</v>
      </c>
      <c r="N11" s="48" t="s">
        <v>277</v>
      </c>
      <c r="O11" s="48" t="s">
        <v>277</v>
      </c>
    </row>
    <row r="12" spans="1:15" x14ac:dyDescent="0.35">
      <c r="A12" s="106" t="s">
        <v>277</v>
      </c>
      <c r="B12" s="106" t="s">
        <v>277</v>
      </c>
      <c r="C12" s="106" t="s">
        <v>277</v>
      </c>
      <c r="D12" s="106" t="s">
        <v>277</v>
      </c>
      <c r="F12" s="106" t="s">
        <v>277</v>
      </c>
      <c r="G12" s="106" t="s">
        <v>277</v>
      </c>
      <c r="H12" s="106" t="s">
        <v>277</v>
      </c>
      <c r="I12" s="106" t="s">
        <v>277</v>
      </c>
      <c r="M12" s="6" t="s">
        <v>278</v>
      </c>
      <c r="O12" s="6" t="s">
        <v>278</v>
      </c>
    </row>
    <row r="13" spans="1:15" x14ac:dyDescent="0.35">
      <c r="A13" s="107" t="s">
        <v>278</v>
      </c>
      <c r="B13" s="107" t="s">
        <v>278</v>
      </c>
      <c r="C13" s="107" t="s">
        <v>278</v>
      </c>
      <c r="D13" s="107" t="s">
        <v>278</v>
      </c>
      <c r="F13" s="107" t="s">
        <v>278</v>
      </c>
      <c r="G13" s="107" t="s">
        <v>278</v>
      </c>
      <c r="H13" s="107" t="s">
        <v>278</v>
      </c>
      <c r="I13" s="107" t="s">
        <v>278</v>
      </c>
      <c r="M13" s="48" t="s">
        <v>281</v>
      </c>
      <c r="O13" s="6" t="s">
        <v>280</v>
      </c>
    </row>
    <row r="14" spans="1:15" x14ac:dyDescent="0.35">
      <c r="A14" s="107" t="s">
        <v>279</v>
      </c>
      <c r="B14" s="107" t="s">
        <v>279</v>
      </c>
      <c r="C14" s="107" t="s">
        <v>279</v>
      </c>
      <c r="D14" s="107" t="s">
        <v>279</v>
      </c>
      <c r="F14" s="107" t="s">
        <v>279</v>
      </c>
      <c r="G14" s="107" t="s">
        <v>279</v>
      </c>
      <c r="H14" s="107" t="s">
        <v>279</v>
      </c>
      <c r="I14" s="107" t="s">
        <v>279</v>
      </c>
    </row>
    <row r="15" spans="1:15" x14ac:dyDescent="0.35">
      <c r="A15" s="107" t="s">
        <v>280</v>
      </c>
      <c r="B15" s="107" t="s">
        <v>280</v>
      </c>
      <c r="C15" s="107" t="s">
        <v>280</v>
      </c>
      <c r="D15" s="107" t="s">
        <v>280</v>
      </c>
      <c r="F15" s="107" t="s">
        <v>280</v>
      </c>
      <c r="G15" s="107" t="s">
        <v>280</v>
      </c>
      <c r="H15" s="107" t="s">
        <v>280</v>
      </c>
      <c r="I15" s="107" t="s">
        <v>280</v>
      </c>
    </row>
    <row r="16" spans="1:15" x14ac:dyDescent="0.35">
      <c r="A16" s="106" t="s">
        <v>281</v>
      </c>
      <c r="B16" s="106" t="s">
        <v>281</v>
      </c>
      <c r="C16" s="106" t="s">
        <v>281</v>
      </c>
      <c r="D16" s="106" t="s">
        <v>281</v>
      </c>
      <c r="F16" s="106" t="s">
        <v>281</v>
      </c>
      <c r="G16" s="106" t="s">
        <v>281</v>
      </c>
      <c r="H16" s="106" t="s">
        <v>281</v>
      </c>
      <c r="I16" s="106" t="s">
        <v>281</v>
      </c>
    </row>
    <row r="17" spans="1:9" x14ac:dyDescent="0.35">
      <c r="A17" s="106" t="s">
        <v>282</v>
      </c>
      <c r="B17" s="106" t="s">
        <v>282</v>
      </c>
      <c r="C17" s="106" t="s">
        <v>282</v>
      </c>
      <c r="D17" s="106" t="s">
        <v>282</v>
      </c>
      <c r="F17" s="106" t="s">
        <v>282</v>
      </c>
      <c r="G17" s="106" t="s">
        <v>282</v>
      </c>
      <c r="H17" s="106" t="s">
        <v>282</v>
      </c>
      <c r="I17" s="106" t="s">
        <v>282</v>
      </c>
    </row>
    <row r="18" spans="1:9" x14ac:dyDescent="0.35">
      <c r="A18" s="106" t="s">
        <v>283</v>
      </c>
      <c r="B18" s="106" t="s">
        <v>283</v>
      </c>
      <c r="C18" s="106" t="s">
        <v>283</v>
      </c>
      <c r="D18" s="106" t="s">
        <v>283</v>
      </c>
      <c r="F18" s="106" t="s">
        <v>283</v>
      </c>
      <c r="G18" s="106" t="s">
        <v>283</v>
      </c>
      <c r="H18" s="106" t="s">
        <v>283</v>
      </c>
      <c r="I18" s="106" t="s">
        <v>283</v>
      </c>
    </row>
    <row r="19" spans="1:9" x14ac:dyDescent="0.35">
      <c r="A19" s="106" t="s">
        <v>284</v>
      </c>
      <c r="B19" s="106" t="s">
        <v>284</v>
      </c>
      <c r="C19" s="106" t="s">
        <v>284</v>
      </c>
      <c r="D19" s="106" t="s">
        <v>284</v>
      </c>
      <c r="F19" s="106" t="s">
        <v>284</v>
      </c>
      <c r="G19" s="106" t="s">
        <v>284</v>
      </c>
      <c r="H19" s="106" t="s">
        <v>284</v>
      </c>
      <c r="I19" s="106" t="s">
        <v>284</v>
      </c>
    </row>
    <row r="20" spans="1:9" x14ac:dyDescent="0.35">
      <c r="A20" s="106" t="s">
        <v>285</v>
      </c>
      <c r="B20" s="106" t="s">
        <v>285</v>
      </c>
      <c r="C20" s="106" t="s">
        <v>285</v>
      </c>
      <c r="D20" s="106" t="s">
        <v>285</v>
      </c>
      <c r="F20" s="106" t="s">
        <v>285</v>
      </c>
      <c r="G20" s="106" t="s">
        <v>285</v>
      </c>
      <c r="H20" s="106" t="s">
        <v>285</v>
      </c>
      <c r="I20" s="106" t="s">
        <v>285</v>
      </c>
    </row>
  </sheetData>
  <mergeCells count="3">
    <mergeCell ref="A1:D1"/>
    <mergeCell ref="F1:I1"/>
    <mergeCell ref="L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5DA9-222F-421B-9D34-DA4D9730624E}">
  <dimension ref="A1:AK116"/>
  <sheetViews>
    <sheetView topLeftCell="A90" zoomScale="130" zoomScaleNormal="130" workbookViewId="0">
      <selection activeCell="F105" sqref="F105"/>
    </sheetView>
  </sheetViews>
  <sheetFormatPr defaultRowHeight="14.5" x14ac:dyDescent="0.35"/>
  <cols>
    <col min="2" max="2" width="11.6328125" bestFit="1" customWidth="1"/>
    <col min="3" max="3" width="15.81640625" bestFit="1" customWidth="1"/>
    <col min="4" max="4" width="16.54296875" bestFit="1" customWidth="1"/>
    <col min="5" max="5" width="10" customWidth="1"/>
    <col min="6" max="6" width="10.26953125" style="40" bestFit="1" customWidth="1"/>
    <col min="7" max="7" width="9.7265625" customWidth="1"/>
    <col min="8" max="8" width="11.81640625" bestFit="1" customWidth="1"/>
    <col min="9" max="9" width="12.453125" bestFit="1" customWidth="1"/>
    <col min="10" max="10" width="5" bestFit="1" customWidth="1"/>
    <col min="11" max="11" width="7.90625" bestFit="1" customWidth="1"/>
    <col min="12" max="12" width="8.26953125" bestFit="1" customWidth="1"/>
    <col min="13" max="13" width="10.36328125" customWidth="1"/>
    <col min="14" max="14" width="8.81640625" bestFit="1" customWidth="1"/>
    <col min="15" max="15" width="11.81640625" bestFit="1" customWidth="1"/>
    <col min="16" max="16" width="5" bestFit="1" customWidth="1"/>
    <col min="17" max="17" width="12.453125" bestFit="1" customWidth="1"/>
    <col min="18" max="18" width="8.26953125" bestFit="1" customWidth="1"/>
    <col min="21" max="21" width="5.7265625" bestFit="1" customWidth="1"/>
    <col min="22" max="22" width="5" bestFit="1" customWidth="1"/>
    <col min="23" max="23" width="7.90625" bestFit="1" customWidth="1"/>
    <col min="24" max="24" width="8.26953125" bestFit="1" customWidth="1"/>
    <col min="27" max="27" width="5.7265625" bestFit="1" customWidth="1"/>
    <col min="28" max="28" width="5" bestFit="1" customWidth="1"/>
    <col min="29" max="29" width="7.90625" bestFit="1" customWidth="1"/>
    <col min="30" max="30" width="8.26953125" bestFit="1" customWidth="1"/>
    <col min="33" max="33" width="10.81640625" bestFit="1" customWidth="1"/>
  </cols>
  <sheetData>
    <row r="1" spans="2:9" x14ac:dyDescent="0.35">
      <c r="B1" s="165" t="s">
        <v>346</v>
      </c>
      <c r="C1" s="165"/>
      <c r="D1" s="165"/>
      <c r="E1" s="165"/>
      <c r="F1" s="165"/>
      <c r="G1" s="165"/>
      <c r="H1" s="165"/>
      <c r="I1" s="165"/>
    </row>
    <row r="3" spans="2:9" x14ac:dyDescent="0.35">
      <c r="B3" s="1"/>
      <c r="C3" s="41" t="s">
        <v>339</v>
      </c>
      <c r="D3" s="41" t="s">
        <v>340</v>
      </c>
      <c r="E3" s="41" t="s">
        <v>341</v>
      </c>
      <c r="F3" s="41" t="s">
        <v>342</v>
      </c>
      <c r="G3" s="41" t="s">
        <v>343</v>
      </c>
      <c r="H3" s="41" t="s">
        <v>344</v>
      </c>
      <c r="I3" s="41" t="s">
        <v>345</v>
      </c>
    </row>
    <row r="4" spans="2:9" x14ac:dyDescent="0.35">
      <c r="B4" s="82" t="s">
        <v>355</v>
      </c>
      <c r="C4" s="41">
        <v>23</v>
      </c>
      <c r="D4" s="41">
        <v>23</v>
      </c>
      <c r="E4" s="41">
        <v>8</v>
      </c>
      <c r="F4" s="41">
        <v>54</v>
      </c>
      <c r="G4" s="41">
        <v>54</v>
      </c>
      <c r="H4" s="41">
        <v>50</v>
      </c>
      <c r="I4" s="41">
        <v>0</v>
      </c>
    </row>
    <row r="5" spans="2:9" x14ac:dyDescent="0.35">
      <c r="B5" s="130" t="s">
        <v>356</v>
      </c>
      <c r="C5" s="41">
        <v>33</v>
      </c>
      <c r="D5" s="41">
        <v>13</v>
      </c>
      <c r="E5" s="41">
        <v>8</v>
      </c>
      <c r="F5" s="41">
        <v>54</v>
      </c>
      <c r="G5" s="41">
        <v>54</v>
      </c>
      <c r="H5" s="41">
        <v>71.739130434782609</v>
      </c>
      <c r="I5" s="41">
        <v>0.37037037037037035</v>
      </c>
    </row>
    <row r="6" spans="2:9" x14ac:dyDescent="0.35">
      <c r="B6" s="82" t="s">
        <v>357</v>
      </c>
      <c r="C6" s="41">
        <v>12</v>
      </c>
      <c r="D6" s="41">
        <v>39</v>
      </c>
      <c r="E6" s="41">
        <v>3</v>
      </c>
      <c r="F6" s="41">
        <v>54</v>
      </c>
      <c r="G6" s="41">
        <v>54</v>
      </c>
      <c r="H6" s="41">
        <v>23.52941176470588</v>
      </c>
      <c r="I6" s="41">
        <v>-0.5</v>
      </c>
    </row>
    <row r="7" spans="2:9" x14ac:dyDescent="0.35">
      <c r="B7" s="82" t="s">
        <v>358</v>
      </c>
      <c r="C7" s="41">
        <v>17</v>
      </c>
      <c r="D7" s="41">
        <v>27</v>
      </c>
      <c r="E7" s="41">
        <v>10</v>
      </c>
      <c r="F7" s="41">
        <v>54</v>
      </c>
      <c r="G7" s="41">
        <v>54</v>
      </c>
      <c r="H7" s="41">
        <v>38.636363636363633</v>
      </c>
      <c r="I7" s="41">
        <v>-0.18518518518518517</v>
      </c>
    </row>
    <row r="8" spans="2:9" x14ac:dyDescent="0.35">
      <c r="B8" s="130" t="s">
        <v>359</v>
      </c>
      <c r="C8" s="41">
        <v>32</v>
      </c>
      <c r="D8" s="41">
        <v>13</v>
      </c>
      <c r="E8" s="41">
        <v>9</v>
      </c>
      <c r="F8" s="41">
        <v>54</v>
      </c>
      <c r="G8" s="41">
        <v>54</v>
      </c>
      <c r="H8" s="41">
        <v>71.111111111111114</v>
      </c>
      <c r="I8" s="41">
        <v>0.35185185185185186</v>
      </c>
    </row>
    <row r="9" spans="2:9" x14ac:dyDescent="0.35">
      <c r="B9" s="82" t="s">
        <v>360</v>
      </c>
      <c r="C9" s="41">
        <v>19</v>
      </c>
      <c r="D9" s="41">
        <v>25</v>
      </c>
      <c r="E9" s="41">
        <v>10</v>
      </c>
      <c r="F9" s="41">
        <v>54</v>
      </c>
      <c r="G9" s="41">
        <v>54</v>
      </c>
      <c r="H9" s="41">
        <v>43.18181818181818</v>
      </c>
      <c r="I9" s="41">
        <v>-0.1111111111111111</v>
      </c>
    </row>
    <row r="10" spans="2:9" x14ac:dyDescent="0.35">
      <c r="B10" s="131" t="s">
        <v>361</v>
      </c>
      <c r="C10" s="41">
        <v>29</v>
      </c>
      <c r="D10" s="41">
        <v>18</v>
      </c>
      <c r="E10" s="41">
        <v>7</v>
      </c>
      <c r="F10" s="41">
        <v>54</v>
      </c>
      <c r="G10" s="41">
        <v>54</v>
      </c>
      <c r="H10" s="41">
        <v>61.702127659574465</v>
      </c>
      <c r="I10" s="41">
        <v>0.20370370370370369</v>
      </c>
    </row>
    <row r="11" spans="2:9" x14ac:dyDescent="0.35">
      <c r="B11" s="130" t="s">
        <v>362</v>
      </c>
      <c r="C11" s="41">
        <v>43</v>
      </c>
      <c r="D11" s="41">
        <v>5</v>
      </c>
      <c r="E11" s="41">
        <v>6</v>
      </c>
      <c r="F11" s="41">
        <v>54</v>
      </c>
      <c r="G11" s="41">
        <v>54</v>
      </c>
      <c r="H11" s="41">
        <v>89.583333333333343</v>
      </c>
      <c r="I11" s="41">
        <v>0.70370370370370372</v>
      </c>
    </row>
    <row r="12" spans="2:9" x14ac:dyDescent="0.35">
      <c r="B12" s="82" t="s">
        <v>363</v>
      </c>
      <c r="C12" s="41">
        <v>11</v>
      </c>
      <c r="D12" s="41">
        <v>40</v>
      </c>
      <c r="E12" s="41">
        <v>3</v>
      </c>
      <c r="F12" s="41">
        <v>54</v>
      </c>
      <c r="G12" s="41">
        <v>54</v>
      </c>
      <c r="H12" s="41">
        <v>21.568627450980394</v>
      </c>
      <c r="I12" s="41">
        <v>-0.53703703703703709</v>
      </c>
    </row>
    <row r="13" spans="2:9" x14ac:dyDescent="0.35">
      <c r="B13" s="82" t="s">
        <v>364</v>
      </c>
      <c r="C13" s="41">
        <v>15</v>
      </c>
      <c r="D13" s="41">
        <v>28</v>
      </c>
      <c r="E13" s="41">
        <v>11</v>
      </c>
      <c r="F13" s="41">
        <v>54</v>
      </c>
      <c r="G13" s="41">
        <v>54</v>
      </c>
      <c r="H13" s="41">
        <v>34.883720930232556</v>
      </c>
      <c r="I13" s="41">
        <v>-0.24074074074074073</v>
      </c>
    </row>
    <row r="14" spans="2:9" x14ac:dyDescent="0.35">
      <c r="B14" s="130" t="s">
        <v>365</v>
      </c>
      <c r="C14" s="41">
        <v>42</v>
      </c>
      <c r="D14" s="41">
        <v>8</v>
      </c>
      <c r="E14" s="41">
        <v>4</v>
      </c>
      <c r="F14" s="41">
        <v>54</v>
      </c>
      <c r="G14" s="41">
        <v>54</v>
      </c>
      <c r="H14" s="41">
        <v>84</v>
      </c>
      <c r="I14" s="41">
        <v>0.62962962962962965</v>
      </c>
    </row>
    <row r="15" spans="2:9" x14ac:dyDescent="0.35">
      <c r="B15" s="82" t="s">
        <v>366</v>
      </c>
      <c r="C15" s="41">
        <v>6</v>
      </c>
      <c r="D15" s="41">
        <v>45</v>
      </c>
      <c r="E15" s="41">
        <v>3</v>
      </c>
      <c r="F15" s="41">
        <v>54</v>
      </c>
      <c r="G15" s="41">
        <v>54</v>
      </c>
      <c r="H15" s="41">
        <v>11.76470588235294</v>
      </c>
      <c r="I15" s="41">
        <v>-0.72222222222222221</v>
      </c>
    </row>
    <row r="17" spans="2:9" x14ac:dyDescent="0.35">
      <c r="B17" s="165" t="s">
        <v>347</v>
      </c>
      <c r="C17" s="165"/>
      <c r="D17" s="165"/>
      <c r="E17" s="165"/>
      <c r="F17" s="165"/>
      <c r="G17" s="165"/>
      <c r="H17" s="165"/>
      <c r="I17" s="165"/>
    </row>
    <row r="18" spans="2:9" x14ac:dyDescent="0.35">
      <c r="B18" s="1"/>
      <c r="C18" s="41" t="s">
        <v>339</v>
      </c>
      <c r="D18" s="41" t="s">
        <v>340</v>
      </c>
      <c r="E18" s="41" t="s">
        <v>341</v>
      </c>
      <c r="F18" s="41" t="s">
        <v>342</v>
      </c>
      <c r="G18" s="41" t="s">
        <v>343</v>
      </c>
      <c r="H18" s="41" t="s">
        <v>344</v>
      </c>
      <c r="I18" s="41" t="s">
        <v>345</v>
      </c>
    </row>
    <row r="19" spans="2:9" x14ac:dyDescent="0.35">
      <c r="B19" s="82" t="s">
        <v>355</v>
      </c>
      <c r="C19" s="1">
        <v>28</v>
      </c>
      <c r="D19" s="1">
        <v>41</v>
      </c>
      <c r="E19" s="1">
        <v>27</v>
      </c>
      <c r="F19" s="132">
        <v>96</v>
      </c>
      <c r="G19" s="1">
        <v>96</v>
      </c>
      <c r="H19" s="1">
        <v>40.579710144927539</v>
      </c>
      <c r="I19" s="1">
        <v>-0.13541666666666666</v>
      </c>
    </row>
    <row r="20" spans="2:9" x14ac:dyDescent="0.35">
      <c r="B20" s="130" t="s">
        <v>356</v>
      </c>
      <c r="C20" s="1">
        <v>24</v>
      </c>
      <c r="D20" s="1">
        <v>56</v>
      </c>
      <c r="E20" s="1">
        <v>16</v>
      </c>
      <c r="F20" s="132">
        <v>96</v>
      </c>
      <c r="G20" s="1">
        <v>96</v>
      </c>
      <c r="H20" s="1">
        <v>30</v>
      </c>
      <c r="I20" s="1">
        <v>-0.33333333333333331</v>
      </c>
    </row>
    <row r="21" spans="2:9" x14ac:dyDescent="0.35">
      <c r="B21" s="82" t="s">
        <v>357</v>
      </c>
      <c r="C21" s="1">
        <v>39</v>
      </c>
      <c r="D21" s="1">
        <v>38</v>
      </c>
      <c r="E21" s="1">
        <v>19</v>
      </c>
      <c r="F21" s="132">
        <v>96</v>
      </c>
      <c r="G21" s="1">
        <v>96</v>
      </c>
      <c r="H21" s="1">
        <v>50.649350649350644</v>
      </c>
      <c r="I21" s="1">
        <v>1.0416666666666666E-2</v>
      </c>
    </row>
    <row r="22" spans="2:9" x14ac:dyDescent="0.35">
      <c r="B22" s="82" t="s">
        <v>358</v>
      </c>
      <c r="C22" s="1">
        <v>48</v>
      </c>
      <c r="D22" s="1">
        <v>22</v>
      </c>
      <c r="E22" s="1">
        <v>26</v>
      </c>
      <c r="F22" s="132">
        <v>96</v>
      </c>
      <c r="G22" s="1">
        <v>96</v>
      </c>
      <c r="H22" s="1">
        <v>68.571428571428569</v>
      </c>
      <c r="I22" s="1">
        <v>0.27083333333333331</v>
      </c>
    </row>
    <row r="23" spans="2:9" x14ac:dyDescent="0.35">
      <c r="B23" s="130" t="s">
        <v>359</v>
      </c>
      <c r="C23" s="1">
        <v>37</v>
      </c>
      <c r="D23" s="1">
        <v>47</v>
      </c>
      <c r="E23" s="1">
        <v>12</v>
      </c>
      <c r="F23" s="132">
        <v>96</v>
      </c>
      <c r="G23" s="1">
        <v>96</v>
      </c>
      <c r="H23" s="1">
        <v>44.047619047619044</v>
      </c>
      <c r="I23" s="1">
        <v>-0.10416666666666667</v>
      </c>
    </row>
    <row r="24" spans="2:9" x14ac:dyDescent="0.35">
      <c r="B24" s="82" t="s">
        <v>360</v>
      </c>
      <c r="C24" s="1">
        <v>49</v>
      </c>
      <c r="D24" s="1">
        <v>23</v>
      </c>
      <c r="E24" s="1">
        <v>24</v>
      </c>
      <c r="F24" s="132">
        <v>96</v>
      </c>
      <c r="G24" s="1">
        <v>96</v>
      </c>
      <c r="H24" s="1">
        <v>68.055555555555557</v>
      </c>
      <c r="I24" s="1">
        <v>0.27083333333333331</v>
      </c>
    </row>
    <row r="25" spans="2:9" x14ac:dyDescent="0.35">
      <c r="B25" s="131" t="s">
        <v>361</v>
      </c>
      <c r="C25" s="1">
        <v>68</v>
      </c>
      <c r="D25" s="1">
        <v>6</v>
      </c>
      <c r="E25" s="1">
        <v>22</v>
      </c>
      <c r="F25" s="132">
        <v>96</v>
      </c>
      <c r="G25" s="1">
        <v>96</v>
      </c>
      <c r="H25" s="1">
        <v>91.891891891891902</v>
      </c>
      <c r="I25" s="1">
        <v>0.64583333333333337</v>
      </c>
    </row>
    <row r="26" spans="2:9" x14ac:dyDescent="0.35">
      <c r="B26" s="130" t="s">
        <v>362</v>
      </c>
      <c r="C26" s="1">
        <v>42</v>
      </c>
      <c r="D26" s="1">
        <v>41</v>
      </c>
      <c r="E26" s="1">
        <v>13</v>
      </c>
      <c r="F26" s="132">
        <v>96</v>
      </c>
      <c r="G26" s="1">
        <v>96</v>
      </c>
      <c r="H26" s="1">
        <v>50.602409638554214</v>
      </c>
      <c r="I26" s="1">
        <v>1.0416666666666666E-2</v>
      </c>
    </row>
    <row r="27" spans="2:9" x14ac:dyDescent="0.35">
      <c r="B27" s="82" t="s">
        <v>363</v>
      </c>
      <c r="C27" s="1">
        <v>65</v>
      </c>
      <c r="D27" s="1">
        <v>20</v>
      </c>
      <c r="E27" s="1">
        <v>11</v>
      </c>
      <c r="F27" s="132">
        <v>96</v>
      </c>
      <c r="G27" s="1">
        <v>96</v>
      </c>
      <c r="H27" s="1">
        <v>76.470588235294116</v>
      </c>
      <c r="I27" s="1">
        <v>0.46875</v>
      </c>
    </row>
    <row r="28" spans="2:9" x14ac:dyDescent="0.35">
      <c r="B28" s="82" t="s">
        <v>364</v>
      </c>
      <c r="C28" s="1">
        <v>45</v>
      </c>
      <c r="D28" s="1">
        <v>28</v>
      </c>
      <c r="E28" s="1">
        <v>23</v>
      </c>
      <c r="F28" s="132">
        <v>96</v>
      </c>
      <c r="G28" s="1">
        <v>96</v>
      </c>
      <c r="H28" s="1">
        <v>61.643835616438359</v>
      </c>
      <c r="I28" s="1">
        <v>0.17708333333333334</v>
      </c>
    </row>
    <row r="29" spans="2:9" x14ac:dyDescent="0.35">
      <c r="B29" s="130" t="s">
        <v>365</v>
      </c>
      <c r="C29" s="1">
        <v>42</v>
      </c>
      <c r="D29" s="1">
        <v>47</v>
      </c>
      <c r="E29" s="1">
        <v>7</v>
      </c>
      <c r="F29" s="132">
        <v>96</v>
      </c>
      <c r="G29" s="1">
        <v>96</v>
      </c>
      <c r="H29" s="1">
        <v>47.191011235955052</v>
      </c>
      <c r="I29" s="1">
        <v>-5.2083333333333336E-2</v>
      </c>
    </row>
    <row r="30" spans="2:9" x14ac:dyDescent="0.35">
      <c r="B30" s="82" t="s">
        <v>366</v>
      </c>
      <c r="C30" s="1">
        <v>48</v>
      </c>
      <c r="D30" s="1">
        <v>35</v>
      </c>
      <c r="E30" s="1">
        <v>13</v>
      </c>
      <c r="F30" s="132">
        <v>96</v>
      </c>
      <c r="G30" s="1">
        <v>96</v>
      </c>
      <c r="H30" s="1">
        <v>57.831325301204814</v>
      </c>
      <c r="I30" s="1">
        <v>0.13541666666666666</v>
      </c>
    </row>
    <row r="32" spans="2:9" x14ac:dyDescent="0.35">
      <c r="B32" s="165" t="s">
        <v>348</v>
      </c>
      <c r="C32" s="165"/>
      <c r="D32" s="165"/>
      <c r="E32" s="165"/>
      <c r="F32" s="165"/>
      <c r="G32" s="165"/>
      <c r="H32" s="165"/>
      <c r="I32" s="165"/>
    </row>
    <row r="33" spans="2:9" x14ac:dyDescent="0.35">
      <c r="B33" s="1"/>
      <c r="C33" s="41" t="s">
        <v>339</v>
      </c>
      <c r="D33" s="41" t="s">
        <v>340</v>
      </c>
      <c r="E33" s="41" t="s">
        <v>341</v>
      </c>
      <c r="F33" s="41" t="s">
        <v>342</v>
      </c>
      <c r="G33" s="41" t="s">
        <v>343</v>
      </c>
      <c r="H33" s="41" t="s">
        <v>344</v>
      </c>
      <c r="I33" s="41" t="s">
        <v>345</v>
      </c>
    </row>
    <row r="34" spans="2:9" x14ac:dyDescent="0.35">
      <c r="B34" s="82" t="s">
        <v>355</v>
      </c>
      <c r="C34" s="1">
        <v>33</v>
      </c>
      <c r="D34" s="1">
        <v>19</v>
      </c>
      <c r="E34" s="1">
        <v>10</v>
      </c>
      <c r="F34" s="132">
        <v>62</v>
      </c>
      <c r="G34" s="1">
        <v>62</v>
      </c>
      <c r="H34" s="1">
        <v>63.46153846153846</v>
      </c>
      <c r="I34" s="1">
        <v>0.22580645161290322</v>
      </c>
    </row>
    <row r="35" spans="2:9" x14ac:dyDescent="0.35">
      <c r="B35" s="130" t="s">
        <v>356</v>
      </c>
      <c r="C35" s="1">
        <v>18</v>
      </c>
      <c r="D35" s="1">
        <v>30</v>
      </c>
      <c r="E35" s="1">
        <v>14</v>
      </c>
      <c r="F35" s="132">
        <v>62</v>
      </c>
      <c r="G35" s="1">
        <v>62</v>
      </c>
      <c r="H35" s="1">
        <v>37.5</v>
      </c>
      <c r="I35" s="1">
        <v>-0.19354838709677419</v>
      </c>
    </row>
    <row r="36" spans="2:9" x14ac:dyDescent="0.35">
      <c r="B36" s="82" t="s">
        <v>357</v>
      </c>
      <c r="C36" s="1">
        <v>20</v>
      </c>
      <c r="D36" s="1">
        <v>29</v>
      </c>
      <c r="E36" s="1">
        <v>13</v>
      </c>
      <c r="F36" s="132">
        <v>62</v>
      </c>
      <c r="G36" s="1">
        <v>62</v>
      </c>
      <c r="H36" s="1">
        <v>40.816326530612244</v>
      </c>
      <c r="I36" s="1">
        <v>-0.14516129032258066</v>
      </c>
    </row>
    <row r="37" spans="2:9" x14ac:dyDescent="0.35">
      <c r="B37" s="82" t="s">
        <v>358</v>
      </c>
      <c r="C37" s="1">
        <v>24</v>
      </c>
      <c r="D37" s="1">
        <v>24</v>
      </c>
      <c r="E37" s="1">
        <v>14</v>
      </c>
      <c r="F37" s="132">
        <v>62</v>
      </c>
      <c r="G37" s="1">
        <v>62</v>
      </c>
      <c r="H37" s="1">
        <v>50</v>
      </c>
      <c r="I37" s="1">
        <v>0</v>
      </c>
    </row>
    <row r="38" spans="2:9" x14ac:dyDescent="0.35">
      <c r="B38" s="130" t="s">
        <v>359</v>
      </c>
      <c r="C38" s="1">
        <v>20</v>
      </c>
      <c r="D38" s="1">
        <v>29</v>
      </c>
      <c r="E38" s="1">
        <v>13</v>
      </c>
      <c r="F38" s="132">
        <v>62</v>
      </c>
      <c r="G38" s="1">
        <v>62</v>
      </c>
      <c r="H38" s="1">
        <v>40.816326530612244</v>
      </c>
      <c r="I38" s="1">
        <v>-0.14516129032258066</v>
      </c>
    </row>
    <row r="39" spans="2:9" x14ac:dyDescent="0.35">
      <c r="B39" s="82" t="s">
        <v>360</v>
      </c>
      <c r="C39" s="1">
        <v>30</v>
      </c>
      <c r="D39" s="1">
        <v>15</v>
      </c>
      <c r="E39" s="1">
        <v>17</v>
      </c>
      <c r="F39" s="132">
        <v>62</v>
      </c>
      <c r="G39" s="1">
        <v>62</v>
      </c>
      <c r="H39" s="1">
        <v>66.666666666666657</v>
      </c>
      <c r="I39" s="1">
        <v>0.24193548387096775</v>
      </c>
    </row>
    <row r="40" spans="2:9" x14ac:dyDescent="0.35">
      <c r="B40" s="131" t="s">
        <v>361</v>
      </c>
      <c r="C40" s="1">
        <v>29</v>
      </c>
      <c r="D40" s="1">
        <v>20</v>
      </c>
      <c r="E40" s="1">
        <v>13</v>
      </c>
      <c r="F40" s="132">
        <v>62</v>
      </c>
      <c r="G40" s="1">
        <v>62</v>
      </c>
      <c r="H40" s="1">
        <v>59.183673469387756</v>
      </c>
      <c r="I40" s="1">
        <v>0.14516129032258066</v>
      </c>
    </row>
    <row r="41" spans="2:9" x14ac:dyDescent="0.35">
      <c r="B41" s="130" t="s">
        <v>362</v>
      </c>
      <c r="C41" s="1">
        <v>19</v>
      </c>
      <c r="D41" s="1">
        <v>32</v>
      </c>
      <c r="E41" s="1">
        <v>11</v>
      </c>
      <c r="F41" s="132">
        <v>62</v>
      </c>
      <c r="G41" s="1">
        <v>62</v>
      </c>
      <c r="H41" s="1">
        <v>37.254901960784316</v>
      </c>
      <c r="I41" s="1">
        <v>-0.20967741935483872</v>
      </c>
    </row>
    <row r="42" spans="2:9" x14ac:dyDescent="0.35">
      <c r="B42" s="82" t="s">
        <v>363</v>
      </c>
      <c r="C42" s="1">
        <v>26</v>
      </c>
      <c r="D42" s="1">
        <v>26</v>
      </c>
      <c r="E42" s="1">
        <v>10</v>
      </c>
      <c r="F42" s="132">
        <v>62</v>
      </c>
      <c r="G42" s="1">
        <v>62</v>
      </c>
      <c r="H42" s="1">
        <v>50</v>
      </c>
      <c r="I42" s="1">
        <v>0</v>
      </c>
    </row>
    <row r="43" spans="2:9" x14ac:dyDescent="0.35">
      <c r="B43" s="82" t="s">
        <v>364</v>
      </c>
      <c r="C43" s="1">
        <v>33</v>
      </c>
      <c r="D43" s="1">
        <v>19</v>
      </c>
      <c r="E43" s="1">
        <v>10</v>
      </c>
      <c r="F43" s="132">
        <v>62</v>
      </c>
      <c r="G43" s="1">
        <v>62</v>
      </c>
      <c r="H43" s="1">
        <v>63.46153846153846</v>
      </c>
      <c r="I43" s="1">
        <v>0.22580645161290322</v>
      </c>
    </row>
    <row r="44" spans="2:9" x14ac:dyDescent="0.35">
      <c r="B44" s="130" t="s">
        <v>365</v>
      </c>
      <c r="C44" s="1">
        <v>20</v>
      </c>
      <c r="D44" s="1">
        <v>27</v>
      </c>
      <c r="E44" s="1">
        <v>15</v>
      </c>
      <c r="F44" s="132">
        <v>62</v>
      </c>
      <c r="G44" s="1">
        <v>62</v>
      </c>
      <c r="H44" s="1">
        <v>42.553191489361701</v>
      </c>
      <c r="I44" s="1">
        <v>-0.11290322580645161</v>
      </c>
    </row>
    <row r="45" spans="2:9" x14ac:dyDescent="0.35">
      <c r="B45" s="82" t="s">
        <v>366</v>
      </c>
      <c r="C45" s="1">
        <v>18</v>
      </c>
      <c r="D45" s="1">
        <v>33</v>
      </c>
      <c r="E45" s="1">
        <v>11</v>
      </c>
      <c r="F45" s="132">
        <v>62</v>
      </c>
      <c r="G45" s="1">
        <v>62</v>
      </c>
      <c r="H45" s="1">
        <v>35.294117647058826</v>
      </c>
      <c r="I45" s="1">
        <v>-0.24193548387096775</v>
      </c>
    </row>
    <row r="48" spans="2:9" x14ac:dyDescent="0.35">
      <c r="B48" s="165" t="s">
        <v>349</v>
      </c>
      <c r="C48" s="165"/>
      <c r="D48" s="165"/>
      <c r="E48" s="165"/>
      <c r="F48" s="165"/>
      <c r="G48" s="165"/>
      <c r="H48" s="165"/>
      <c r="I48" s="165"/>
    </row>
    <row r="49" spans="2:17" x14ac:dyDescent="0.35">
      <c r="B49" s="1"/>
      <c r="C49" s="41" t="s">
        <v>339</v>
      </c>
      <c r="D49" s="41" t="s">
        <v>340</v>
      </c>
      <c r="E49" s="41" t="s">
        <v>341</v>
      </c>
      <c r="F49" s="41" t="s">
        <v>342</v>
      </c>
      <c r="G49" s="41" t="s">
        <v>343</v>
      </c>
      <c r="H49" s="41" t="s">
        <v>344</v>
      </c>
      <c r="I49" s="41" t="s">
        <v>345</v>
      </c>
      <c r="L49" s="41" t="s">
        <v>350</v>
      </c>
      <c r="M49" s="41" t="s">
        <v>351</v>
      </c>
      <c r="N49" s="41" t="s">
        <v>352</v>
      </c>
      <c r="O49" s="41" t="s">
        <v>353</v>
      </c>
      <c r="P49" s="1"/>
      <c r="Q49" s="41" t="s">
        <v>345</v>
      </c>
    </row>
    <row r="50" spans="2:17" x14ac:dyDescent="0.35">
      <c r="B50" s="82" t="s">
        <v>355</v>
      </c>
      <c r="C50">
        <v>33</v>
      </c>
      <c r="D50">
        <v>9</v>
      </c>
      <c r="E50">
        <v>10</v>
      </c>
      <c r="F50" s="40">
        <v>42</v>
      </c>
      <c r="G50">
        <v>52</v>
      </c>
      <c r="H50">
        <v>0.7857142857142857</v>
      </c>
      <c r="I50">
        <v>0.5714285714285714</v>
      </c>
      <c r="L50" s="1">
        <v>4</v>
      </c>
      <c r="M50" s="1">
        <v>2</v>
      </c>
      <c r="N50" s="1">
        <f>L50-M50</f>
        <v>2</v>
      </c>
      <c r="O50" s="1">
        <f>L50/6</f>
        <v>0.66666666666666663</v>
      </c>
      <c r="P50" s="1"/>
      <c r="Q50" s="1">
        <f>2/6</f>
        <v>0.33333333333333331</v>
      </c>
    </row>
    <row r="51" spans="2:17" x14ac:dyDescent="0.35">
      <c r="B51" s="130" t="s">
        <v>356</v>
      </c>
      <c r="C51">
        <v>27</v>
      </c>
      <c r="D51">
        <v>17</v>
      </c>
      <c r="E51">
        <v>8</v>
      </c>
      <c r="F51" s="40">
        <v>44</v>
      </c>
      <c r="G51">
        <v>52</v>
      </c>
      <c r="H51">
        <v>0.61363636363636365</v>
      </c>
      <c r="I51">
        <v>0.22727272727272727</v>
      </c>
      <c r="L51" s="1">
        <v>2</v>
      </c>
      <c r="M51" s="1">
        <v>0</v>
      </c>
      <c r="N51" s="1">
        <v>2</v>
      </c>
      <c r="O51" s="1">
        <f>2/2</f>
        <v>1</v>
      </c>
      <c r="P51" s="1"/>
      <c r="Q51" s="1">
        <f>2/2</f>
        <v>1</v>
      </c>
    </row>
    <row r="52" spans="2:17" x14ac:dyDescent="0.35">
      <c r="B52" s="82" t="s">
        <v>357</v>
      </c>
      <c r="C52">
        <v>13</v>
      </c>
      <c r="D52">
        <v>33</v>
      </c>
      <c r="E52">
        <v>6</v>
      </c>
      <c r="F52" s="40">
        <v>46</v>
      </c>
      <c r="G52">
        <v>52</v>
      </c>
      <c r="H52">
        <v>0.28260869565217389</v>
      </c>
      <c r="I52">
        <v>-0.43478260869565216</v>
      </c>
      <c r="L52" s="1">
        <v>2</v>
      </c>
      <c r="M52" s="1">
        <v>4</v>
      </c>
      <c r="N52" s="1">
        <v>2</v>
      </c>
      <c r="O52" s="1">
        <f>L52/6</f>
        <v>0.33333333333333331</v>
      </c>
      <c r="P52" s="1"/>
      <c r="Q52" s="1">
        <f>-2/6</f>
        <v>-0.33333333333333331</v>
      </c>
    </row>
    <row r="53" spans="2:17" x14ac:dyDescent="0.35">
      <c r="B53" s="82" t="s">
        <v>358</v>
      </c>
      <c r="C53">
        <v>27</v>
      </c>
      <c r="D53">
        <v>12</v>
      </c>
      <c r="E53">
        <v>13</v>
      </c>
      <c r="F53" s="40">
        <v>39</v>
      </c>
      <c r="G53">
        <v>52</v>
      </c>
      <c r="H53">
        <v>0.69230769230769229</v>
      </c>
      <c r="I53">
        <v>0.38461538461538464</v>
      </c>
    </row>
    <row r="54" spans="2:17" x14ac:dyDescent="0.35">
      <c r="B54" s="130" t="s">
        <v>359</v>
      </c>
      <c r="C54">
        <v>26</v>
      </c>
      <c r="D54">
        <v>18</v>
      </c>
      <c r="E54">
        <v>8</v>
      </c>
      <c r="F54" s="40">
        <v>44</v>
      </c>
      <c r="G54">
        <v>52</v>
      </c>
      <c r="H54">
        <v>0.59090909090909094</v>
      </c>
      <c r="I54">
        <v>0.18181818181818182</v>
      </c>
    </row>
    <row r="55" spans="2:17" x14ac:dyDescent="0.35">
      <c r="B55" s="82" t="s">
        <v>360</v>
      </c>
      <c r="C55">
        <v>25</v>
      </c>
      <c r="D55">
        <v>22</v>
      </c>
      <c r="E55">
        <v>5</v>
      </c>
      <c r="F55" s="40">
        <v>47</v>
      </c>
      <c r="G55">
        <v>52</v>
      </c>
      <c r="H55">
        <v>0.53191489361702127</v>
      </c>
      <c r="I55">
        <v>6.3829787234042548E-2</v>
      </c>
    </row>
    <row r="56" spans="2:17" x14ac:dyDescent="0.35">
      <c r="B56" s="131" t="s">
        <v>361</v>
      </c>
      <c r="C56">
        <v>31</v>
      </c>
      <c r="D56">
        <v>11</v>
      </c>
      <c r="E56">
        <v>10</v>
      </c>
      <c r="F56" s="40">
        <v>42</v>
      </c>
      <c r="G56">
        <v>52</v>
      </c>
      <c r="H56">
        <v>0.73809523809523814</v>
      </c>
      <c r="I56">
        <v>0.47619047619047616</v>
      </c>
    </row>
    <row r="57" spans="2:17" x14ac:dyDescent="0.35">
      <c r="B57" s="130" t="s">
        <v>362</v>
      </c>
      <c r="C57">
        <v>25</v>
      </c>
      <c r="D57">
        <v>23</v>
      </c>
      <c r="E57">
        <v>4</v>
      </c>
      <c r="F57" s="40">
        <v>48</v>
      </c>
      <c r="G57">
        <v>52</v>
      </c>
      <c r="H57">
        <v>0.52083333333333337</v>
      </c>
      <c r="I57">
        <v>4.1666666666666664E-2</v>
      </c>
    </row>
    <row r="58" spans="2:17" x14ac:dyDescent="0.35">
      <c r="B58" s="82" t="s">
        <v>363</v>
      </c>
      <c r="C58">
        <v>12</v>
      </c>
      <c r="D58">
        <v>34</v>
      </c>
      <c r="E58">
        <v>6</v>
      </c>
      <c r="F58" s="40">
        <v>46</v>
      </c>
      <c r="G58">
        <v>52</v>
      </c>
      <c r="H58">
        <v>0.2608695652173913</v>
      </c>
      <c r="I58">
        <v>-0.47826086956521741</v>
      </c>
    </row>
    <row r="59" spans="2:17" x14ac:dyDescent="0.35">
      <c r="B59" s="82" t="s">
        <v>364</v>
      </c>
      <c r="C59">
        <v>33</v>
      </c>
      <c r="D59">
        <v>10</v>
      </c>
      <c r="E59">
        <v>9</v>
      </c>
      <c r="F59" s="40">
        <v>43</v>
      </c>
      <c r="G59">
        <v>52</v>
      </c>
      <c r="H59">
        <v>0.76744186046511631</v>
      </c>
      <c r="I59">
        <v>0.53488372093023251</v>
      </c>
    </row>
    <row r="60" spans="2:17" x14ac:dyDescent="0.35">
      <c r="B60" s="130" t="s">
        <v>365</v>
      </c>
      <c r="C60">
        <v>22</v>
      </c>
      <c r="D60">
        <v>22</v>
      </c>
      <c r="E60">
        <v>8</v>
      </c>
      <c r="F60" s="40">
        <v>44</v>
      </c>
      <c r="G60">
        <v>52</v>
      </c>
      <c r="H60">
        <v>0.5</v>
      </c>
      <c r="I60">
        <v>0</v>
      </c>
    </row>
    <row r="61" spans="2:17" x14ac:dyDescent="0.35">
      <c r="B61" s="82" t="s">
        <v>366</v>
      </c>
      <c r="C61">
        <v>12</v>
      </c>
      <c r="D61">
        <v>33</v>
      </c>
      <c r="E61">
        <v>7</v>
      </c>
      <c r="F61" s="40">
        <v>45</v>
      </c>
      <c r="G61">
        <v>52</v>
      </c>
      <c r="H61">
        <v>0.26666666666666666</v>
      </c>
      <c r="I61">
        <v>-0.46666666666666667</v>
      </c>
    </row>
    <row r="64" spans="2:17" x14ac:dyDescent="0.35">
      <c r="B64" s="165" t="s">
        <v>354</v>
      </c>
      <c r="C64" s="165"/>
      <c r="D64" s="165"/>
      <c r="E64" s="165"/>
      <c r="F64" s="165"/>
      <c r="G64" s="165"/>
      <c r="H64" s="165"/>
      <c r="I64" s="165"/>
    </row>
    <row r="65" spans="2:9" x14ac:dyDescent="0.35">
      <c r="B65" s="82" t="s">
        <v>355</v>
      </c>
      <c r="C65">
        <v>18</v>
      </c>
      <c r="D65">
        <v>0</v>
      </c>
      <c r="E65">
        <v>0</v>
      </c>
      <c r="F65" s="40">
        <v>18</v>
      </c>
      <c r="G65">
        <v>18</v>
      </c>
      <c r="H65">
        <v>100</v>
      </c>
      <c r="I65">
        <v>1</v>
      </c>
    </row>
    <row r="66" spans="2:9" x14ac:dyDescent="0.35">
      <c r="B66" s="130" t="s">
        <v>356</v>
      </c>
      <c r="C66">
        <v>18</v>
      </c>
      <c r="D66">
        <v>0</v>
      </c>
      <c r="E66">
        <v>0</v>
      </c>
      <c r="F66" s="40">
        <v>18</v>
      </c>
      <c r="G66">
        <v>18</v>
      </c>
      <c r="H66">
        <v>100</v>
      </c>
      <c r="I66">
        <v>1</v>
      </c>
    </row>
    <row r="67" spans="2:9" x14ac:dyDescent="0.35">
      <c r="B67" s="82" t="s">
        <v>357</v>
      </c>
      <c r="C67">
        <v>13</v>
      </c>
      <c r="D67">
        <v>4</v>
      </c>
      <c r="E67">
        <v>1</v>
      </c>
      <c r="F67" s="40">
        <v>18</v>
      </c>
      <c r="G67">
        <v>18</v>
      </c>
      <c r="H67">
        <v>76.470588235294116</v>
      </c>
      <c r="I67">
        <v>0.5</v>
      </c>
    </row>
    <row r="68" spans="2:9" x14ac:dyDescent="0.35">
      <c r="B68" s="82" t="s">
        <v>358</v>
      </c>
      <c r="C68">
        <v>18</v>
      </c>
      <c r="D68">
        <v>0</v>
      </c>
      <c r="E68">
        <v>0</v>
      </c>
      <c r="F68" s="40">
        <v>18</v>
      </c>
      <c r="G68">
        <v>18</v>
      </c>
      <c r="H68">
        <v>100</v>
      </c>
      <c r="I68">
        <v>1</v>
      </c>
    </row>
    <row r="69" spans="2:9" x14ac:dyDescent="0.35">
      <c r="B69" s="130" t="s">
        <v>359</v>
      </c>
      <c r="C69">
        <v>18</v>
      </c>
      <c r="D69">
        <v>0</v>
      </c>
      <c r="E69">
        <v>0</v>
      </c>
      <c r="F69" s="40">
        <v>18</v>
      </c>
      <c r="G69">
        <v>18</v>
      </c>
      <c r="H69">
        <v>100</v>
      </c>
      <c r="I69">
        <v>1</v>
      </c>
    </row>
    <row r="70" spans="2:9" x14ac:dyDescent="0.35">
      <c r="B70" s="82" t="s">
        <v>360</v>
      </c>
      <c r="C70">
        <v>6</v>
      </c>
      <c r="D70">
        <v>11</v>
      </c>
      <c r="E70">
        <v>1</v>
      </c>
      <c r="F70" s="40">
        <v>18</v>
      </c>
      <c r="G70">
        <v>18</v>
      </c>
      <c r="H70">
        <v>35.294117647058826</v>
      </c>
      <c r="I70">
        <v>-0.27777777777777779</v>
      </c>
    </row>
    <row r="71" spans="2:9" x14ac:dyDescent="0.35">
      <c r="B71" s="131" t="s">
        <v>361</v>
      </c>
      <c r="C71">
        <v>18</v>
      </c>
      <c r="D71">
        <v>0</v>
      </c>
      <c r="E71">
        <v>0</v>
      </c>
      <c r="F71" s="40">
        <v>18</v>
      </c>
      <c r="G71">
        <v>18</v>
      </c>
      <c r="H71">
        <v>100</v>
      </c>
      <c r="I71">
        <v>1</v>
      </c>
    </row>
    <row r="72" spans="2:9" x14ac:dyDescent="0.35">
      <c r="B72" s="130" t="s">
        <v>362</v>
      </c>
      <c r="C72">
        <v>18</v>
      </c>
      <c r="D72">
        <v>0</v>
      </c>
      <c r="E72">
        <v>0</v>
      </c>
      <c r="F72" s="40">
        <v>18</v>
      </c>
      <c r="G72">
        <v>18</v>
      </c>
      <c r="H72">
        <v>100</v>
      </c>
      <c r="I72">
        <v>1</v>
      </c>
    </row>
    <row r="73" spans="2:9" x14ac:dyDescent="0.35">
      <c r="B73" s="82" t="s">
        <v>363</v>
      </c>
      <c r="C73">
        <v>9</v>
      </c>
      <c r="D73">
        <v>9</v>
      </c>
      <c r="E73">
        <v>0</v>
      </c>
      <c r="F73" s="40">
        <v>18</v>
      </c>
      <c r="G73">
        <v>18</v>
      </c>
      <c r="H73">
        <v>50</v>
      </c>
      <c r="I73">
        <v>0</v>
      </c>
    </row>
    <row r="74" spans="2:9" x14ac:dyDescent="0.35">
      <c r="B74" s="82" t="s">
        <v>364</v>
      </c>
      <c r="C74">
        <v>18</v>
      </c>
      <c r="D74">
        <v>0</v>
      </c>
      <c r="E74">
        <v>0</v>
      </c>
      <c r="F74" s="40">
        <v>18</v>
      </c>
      <c r="G74">
        <v>18</v>
      </c>
      <c r="H74">
        <v>100</v>
      </c>
      <c r="I74">
        <v>1</v>
      </c>
    </row>
    <row r="75" spans="2:9" x14ac:dyDescent="0.35">
      <c r="B75" s="130" t="s">
        <v>365</v>
      </c>
      <c r="C75">
        <v>17</v>
      </c>
      <c r="D75">
        <v>0</v>
      </c>
      <c r="E75">
        <v>1</v>
      </c>
      <c r="F75" s="40">
        <v>18</v>
      </c>
      <c r="G75">
        <v>18</v>
      </c>
      <c r="H75">
        <v>100</v>
      </c>
      <c r="I75">
        <v>0.94444444444444442</v>
      </c>
    </row>
    <row r="76" spans="2:9" x14ac:dyDescent="0.35">
      <c r="B76" s="82" t="s">
        <v>366</v>
      </c>
      <c r="C76">
        <v>7</v>
      </c>
      <c r="D76">
        <v>11</v>
      </c>
      <c r="E76">
        <v>0</v>
      </c>
      <c r="F76" s="40">
        <v>18</v>
      </c>
      <c r="G76">
        <v>18</v>
      </c>
      <c r="H76">
        <v>38.888888888888893</v>
      </c>
      <c r="I76">
        <v>-0.22222222222222221</v>
      </c>
    </row>
    <row r="84" spans="2:33" x14ac:dyDescent="0.35">
      <c r="B84" s="132"/>
      <c r="C84" s="166" t="s">
        <v>367</v>
      </c>
      <c r="D84" s="166"/>
      <c r="E84" s="166"/>
      <c r="F84" s="166"/>
      <c r="G84" s="166"/>
      <c r="H84" s="166"/>
      <c r="I84" s="167" t="s">
        <v>347</v>
      </c>
      <c r="J84" s="167"/>
      <c r="K84" s="167"/>
      <c r="L84" s="167"/>
      <c r="M84" s="167"/>
      <c r="N84" s="167"/>
      <c r="O84" s="168" t="s">
        <v>368</v>
      </c>
      <c r="P84" s="168"/>
      <c r="Q84" s="168"/>
      <c r="R84" s="168"/>
      <c r="S84" s="168"/>
      <c r="T84" s="168"/>
      <c r="U84" s="169" t="s">
        <v>369</v>
      </c>
      <c r="V84" s="169"/>
      <c r="W84" s="169"/>
      <c r="X84" s="169"/>
      <c r="Y84" s="169"/>
      <c r="Z84" s="169"/>
      <c r="AA84" s="170" t="s">
        <v>370</v>
      </c>
      <c r="AB84" s="170"/>
      <c r="AC84" s="170"/>
      <c r="AD84" s="170"/>
      <c r="AE84" s="170"/>
      <c r="AF84" s="170"/>
    </row>
    <row r="85" spans="2:33" ht="58" x14ac:dyDescent="0.35">
      <c r="B85" s="132"/>
      <c r="C85" s="132" t="s">
        <v>353</v>
      </c>
      <c r="D85" s="132" t="s">
        <v>345</v>
      </c>
      <c r="E85" s="132" t="s">
        <v>410</v>
      </c>
      <c r="F85" s="125" t="s">
        <v>425</v>
      </c>
      <c r="G85" s="125" t="s">
        <v>426</v>
      </c>
      <c r="H85" s="125" t="s">
        <v>427</v>
      </c>
      <c r="I85" s="132" t="s">
        <v>353</v>
      </c>
      <c r="J85" s="132" t="s">
        <v>345</v>
      </c>
      <c r="K85" s="132" t="s">
        <v>410</v>
      </c>
      <c r="L85" s="125" t="s">
        <v>425</v>
      </c>
      <c r="M85" s="125" t="s">
        <v>426</v>
      </c>
      <c r="N85" s="125" t="s">
        <v>427</v>
      </c>
      <c r="O85" s="132" t="s">
        <v>353</v>
      </c>
      <c r="P85" s="132" t="s">
        <v>345</v>
      </c>
      <c r="Q85" s="132" t="s">
        <v>410</v>
      </c>
      <c r="R85" s="125" t="s">
        <v>425</v>
      </c>
      <c r="S85" s="125" t="s">
        <v>426</v>
      </c>
      <c r="T85" s="125" t="s">
        <v>427</v>
      </c>
      <c r="U85" s="132" t="s">
        <v>353</v>
      </c>
      <c r="V85" s="132" t="s">
        <v>345</v>
      </c>
      <c r="W85" s="132" t="s">
        <v>410</v>
      </c>
      <c r="X85" s="125" t="s">
        <v>425</v>
      </c>
      <c r="Y85" s="125" t="s">
        <v>426</v>
      </c>
      <c r="Z85" s="125" t="s">
        <v>427</v>
      </c>
      <c r="AA85" s="132" t="s">
        <v>353</v>
      </c>
      <c r="AB85" s="132" t="s">
        <v>345</v>
      </c>
      <c r="AC85" s="132" t="s">
        <v>410</v>
      </c>
      <c r="AD85" s="125" t="s">
        <v>425</v>
      </c>
      <c r="AE85" s="125" t="s">
        <v>426</v>
      </c>
      <c r="AF85" s="125" t="s">
        <v>427</v>
      </c>
      <c r="AG85" s="132"/>
    </row>
    <row r="86" spans="2:33" x14ac:dyDescent="0.35">
      <c r="B86" s="147" t="s">
        <v>355</v>
      </c>
      <c r="C86" s="150">
        <v>100</v>
      </c>
      <c r="D86" s="150">
        <v>1</v>
      </c>
      <c r="E86" s="151">
        <f>_xlfn.RANK.EQ(C86,$C$86:$C$97,1)</f>
        <v>5</v>
      </c>
      <c r="F86" s="151">
        <f>_xlfn.RANK.EQ(D86,$D$86:$D$97,1)</f>
        <v>6</v>
      </c>
      <c r="G86" s="155" t="s">
        <v>411</v>
      </c>
      <c r="H86" s="148" t="s">
        <v>411</v>
      </c>
      <c r="I86" s="150">
        <v>40.579710144927539</v>
      </c>
      <c r="J86" s="158">
        <v>-0.13541666666666666</v>
      </c>
      <c r="K86" s="151">
        <f t="shared" ref="K86:K97" si="0">_xlfn.RANK.EQ(I86,$I$86:$I$97)</f>
        <v>11</v>
      </c>
      <c r="L86" s="151">
        <f>_xlfn.RANK.EQ(J86,$J$86:$J$97,1)</f>
        <v>2</v>
      </c>
      <c r="M86" s="148" t="s">
        <v>419</v>
      </c>
      <c r="N86" s="148" t="s">
        <v>419</v>
      </c>
      <c r="O86" s="150">
        <v>50</v>
      </c>
      <c r="P86" s="150">
        <v>0</v>
      </c>
      <c r="Q86" s="151">
        <f t="shared" ref="Q86:Q97" si="1">_xlfn.RANK.EQ(O86,$O$86:$O$97)</f>
        <v>6</v>
      </c>
      <c r="R86" s="151">
        <f>_xlfn.RANK.EQ(P86,$P$86:$P$97,1)</f>
        <v>7</v>
      </c>
      <c r="S86" s="155" t="s">
        <v>412</v>
      </c>
      <c r="T86" s="155" t="s">
        <v>412</v>
      </c>
      <c r="U86" s="150">
        <f>0.785714285714286*100</f>
        <v>78.571428571428598</v>
      </c>
      <c r="V86" s="150">
        <v>0.5714285714285714</v>
      </c>
      <c r="W86" s="151">
        <f t="shared" ref="W86:W97" si="2">_xlfn.RANK.EQ(U86,$U$86:$U$97)</f>
        <v>1</v>
      </c>
      <c r="X86" s="151">
        <f>_xlfn.RANK.EQ(V86,$V$86:$V$97,1)</f>
        <v>12</v>
      </c>
      <c r="Y86" s="150" t="s">
        <v>412</v>
      </c>
      <c r="Z86" s="150" t="s">
        <v>412</v>
      </c>
      <c r="AA86" s="150">
        <v>63.46153846153846</v>
      </c>
      <c r="AB86" s="150">
        <v>0.22580645161290322</v>
      </c>
      <c r="AC86" s="151">
        <f t="shared" ref="AC86:AC97" si="3">_xlfn.RANK.EQ(AA86,$AA$86:$AA$97)</f>
        <v>2</v>
      </c>
      <c r="AD86" s="151">
        <f>_xlfn.RANK.EQ(AB86,$AB$86:$AB$97,1)</f>
        <v>10</v>
      </c>
      <c r="AE86" s="150" t="s">
        <v>412</v>
      </c>
      <c r="AF86" s="150" t="s">
        <v>412</v>
      </c>
      <c r="AG86" s="147" t="s">
        <v>355</v>
      </c>
    </row>
    <row r="87" spans="2:33" x14ac:dyDescent="0.35">
      <c r="B87" s="146" t="s">
        <v>356</v>
      </c>
      <c r="C87" s="152">
        <v>100</v>
      </c>
      <c r="D87" s="152">
        <v>1</v>
      </c>
      <c r="E87" s="153">
        <f t="shared" ref="E87:E97" si="4">_xlfn.RANK.EQ(C87,$C$86:$C$97,1)</f>
        <v>5</v>
      </c>
      <c r="F87" s="153">
        <f t="shared" ref="F87:F97" si="5">_xlfn.RANK.EQ(D87,$D$86:$D$97,1)</f>
        <v>6</v>
      </c>
      <c r="G87" s="156" t="s">
        <v>411</v>
      </c>
      <c r="H87" s="149" t="s">
        <v>412</v>
      </c>
      <c r="I87" s="152">
        <v>30</v>
      </c>
      <c r="J87" s="152">
        <v>-0.33333333333333331</v>
      </c>
      <c r="K87" s="153">
        <f t="shared" si="0"/>
        <v>12</v>
      </c>
      <c r="L87" s="153">
        <f t="shared" ref="L87:L97" si="6">_xlfn.RANK.EQ(J87,$J$86:$J$97,1)</f>
        <v>1</v>
      </c>
      <c r="M87" s="161" t="s">
        <v>419</v>
      </c>
      <c r="N87" s="161" t="s">
        <v>419</v>
      </c>
      <c r="O87" s="152">
        <v>71.739130434782609</v>
      </c>
      <c r="P87" s="152">
        <v>0.37037037037037035</v>
      </c>
      <c r="Q87" s="153">
        <f t="shared" si="1"/>
        <v>3</v>
      </c>
      <c r="R87" s="153">
        <f t="shared" ref="R87:R97" si="7">_xlfn.RANK.EQ(P87,$P$86:$P$97,1)</f>
        <v>10</v>
      </c>
      <c r="S87" s="156" t="s">
        <v>412</v>
      </c>
      <c r="T87" s="156" t="s">
        <v>412</v>
      </c>
      <c r="U87" s="152">
        <f>0.613636363636364*100</f>
        <v>61.363636363636395</v>
      </c>
      <c r="V87" s="152">
        <v>0.22727272727272727</v>
      </c>
      <c r="W87" s="153">
        <f t="shared" si="2"/>
        <v>5</v>
      </c>
      <c r="X87" s="153">
        <f t="shared" ref="X87:X97" si="8">_xlfn.RANK.EQ(V87,$V$86:$V$97,1)</f>
        <v>8</v>
      </c>
      <c r="Y87" s="152" t="s">
        <v>412</v>
      </c>
      <c r="Z87" s="152"/>
      <c r="AA87" s="152">
        <v>37.5</v>
      </c>
      <c r="AB87" s="152">
        <v>-0.19354838709677419</v>
      </c>
      <c r="AC87" s="153">
        <f t="shared" si="3"/>
        <v>10</v>
      </c>
      <c r="AD87" s="153">
        <f t="shared" ref="AD87:AD97" si="9">_xlfn.RANK.EQ(AB87,$AB$86:$AB$97,1)</f>
        <v>3</v>
      </c>
      <c r="AE87" s="164" t="s">
        <v>419</v>
      </c>
      <c r="AF87" s="164" t="s">
        <v>419</v>
      </c>
      <c r="AG87" s="146" t="s">
        <v>356</v>
      </c>
    </row>
    <row r="88" spans="2:33" x14ac:dyDescent="0.35">
      <c r="B88" s="145" t="s">
        <v>357</v>
      </c>
      <c r="C88" s="144">
        <v>76.470588235294116</v>
      </c>
      <c r="D88" s="144">
        <v>0.5</v>
      </c>
      <c r="E88" s="154">
        <f t="shared" si="4"/>
        <v>4</v>
      </c>
      <c r="F88" s="154">
        <f t="shared" si="5"/>
        <v>4</v>
      </c>
      <c r="G88" s="144" t="s">
        <v>411</v>
      </c>
      <c r="H88" s="144" t="s">
        <v>412</v>
      </c>
      <c r="I88" s="144">
        <v>50.649350649350644</v>
      </c>
      <c r="J88" s="144">
        <v>1.0416666666666666E-2</v>
      </c>
      <c r="K88" s="154">
        <f t="shared" si="0"/>
        <v>7</v>
      </c>
      <c r="L88" s="154">
        <f t="shared" si="6"/>
        <v>5</v>
      </c>
      <c r="M88" s="162" t="s">
        <v>419</v>
      </c>
      <c r="N88" s="162" t="s">
        <v>419</v>
      </c>
      <c r="O88" s="144">
        <v>23.52941176470588</v>
      </c>
      <c r="P88" s="144">
        <v>-0.5</v>
      </c>
      <c r="Q88" s="154">
        <f t="shared" si="1"/>
        <v>10</v>
      </c>
      <c r="R88" s="154">
        <f t="shared" si="7"/>
        <v>3</v>
      </c>
      <c r="S88" s="162" t="s">
        <v>419</v>
      </c>
      <c r="T88" s="162" t="s">
        <v>419</v>
      </c>
      <c r="U88" s="144">
        <f>0.282608695652174*100</f>
        <v>28.260869565217401</v>
      </c>
      <c r="V88" s="144">
        <v>-0.43478260869565216</v>
      </c>
      <c r="W88" s="154">
        <f t="shared" si="2"/>
        <v>10</v>
      </c>
      <c r="X88" s="154">
        <f t="shared" si="8"/>
        <v>3</v>
      </c>
      <c r="Y88" s="162" t="s">
        <v>419</v>
      </c>
      <c r="Z88" s="162" t="s">
        <v>419</v>
      </c>
      <c r="AA88" s="144">
        <v>40.816326530612244</v>
      </c>
      <c r="AB88" s="144">
        <v>-0.14516129032258066</v>
      </c>
      <c r="AC88" s="154">
        <f t="shared" si="3"/>
        <v>8</v>
      </c>
      <c r="AD88" s="154">
        <f t="shared" si="9"/>
        <v>4</v>
      </c>
      <c r="AE88" s="162" t="s">
        <v>419</v>
      </c>
      <c r="AF88" s="162" t="s">
        <v>419</v>
      </c>
      <c r="AG88" s="145" t="s">
        <v>357</v>
      </c>
    </row>
    <row r="89" spans="2:33" x14ac:dyDescent="0.35">
      <c r="B89" s="147" t="s">
        <v>358</v>
      </c>
      <c r="C89" s="150">
        <v>100</v>
      </c>
      <c r="D89" s="150">
        <v>1</v>
      </c>
      <c r="E89" s="151">
        <f t="shared" si="4"/>
        <v>5</v>
      </c>
      <c r="F89" s="151">
        <f t="shared" si="5"/>
        <v>6</v>
      </c>
      <c r="G89" s="155" t="s">
        <v>411</v>
      </c>
      <c r="H89" s="148" t="s">
        <v>412</v>
      </c>
      <c r="I89" s="150">
        <v>68.571428571428569</v>
      </c>
      <c r="J89" s="150">
        <v>0.27083333333333331</v>
      </c>
      <c r="K89" s="151">
        <f t="shared" si="0"/>
        <v>3</v>
      </c>
      <c r="L89" s="151">
        <f t="shared" si="6"/>
        <v>9</v>
      </c>
      <c r="M89" s="155" t="s">
        <v>412</v>
      </c>
      <c r="N89" s="155" t="s">
        <v>412</v>
      </c>
      <c r="O89" s="150">
        <v>38.636363636363633</v>
      </c>
      <c r="P89" s="157">
        <v>-0.18518518518518517</v>
      </c>
      <c r="Q89" s="151">
        <f t="shared" si="1"/>
        <v>8</v>
      </c>
      <c r="R89" s="151">
        <f t="shared" si="7"/>
        <v>5</v>
      </c>
      <c r="S89" s="163" t="s">
        <v>419</v>
      </c>
      <c r="T89" s="163" t="s">
        <v>419</v>
      </c>
      <c r="U89" s="150">
        <f>0.692307692307692*100</f>
        <v>69.230769230769198</v>
      </c>
      <c r="V89" s="150">
        <v>0.38461538461538464</v>
      </c>
      <c r="W89" s="151">
        <f t="shared" si="2"/>
        <v>4</v>
      </c>
      <c r="X89" s="151">
        <f t="shared" si="8"/>
        <v>9</v>
      </c>
      <c r="Y89" s="150" t="s">
        <v>412</v>
      </c>
      <c r="Z89" s="150" t="s">
        <v>412</v>
      </c>
      <c r="AA89" s="150">
        <v>50</v>
      </c>
      <c r="AB89" s="150">
        <v>0</v>
      </c>
      <c r="AC89" s="151">
        <f t="shared" si="3"/>
        <v>5</v>
      </c>
      <c r="AD89" s="151">
        <f t="shared" si="9"/>
        <v>7</v>
      </c>
      <c r="AE89" s="150" t="s">
        <v>412</v>
      </c>
      <c r="AF89" s="150" t="s">
        <v>412</v>
      </c>
      <c r="AG89" s="147" t="s">
        <v>358</v>
      </c>
    </row>
    <row r="90" spans="2:33" x14ac:dyDescent="0.35">
      <c r="B90" s="146" t="s">
        <v>359</v>
      </c>
      <c r="C90" s="152">
        <v>100</v>
      </c>
      <c r="D90" s="152">
        <v>1</v>
      </c>
      <c r="E90" s="153">
        <f t="shared" si="4"/>
        <v>5</v>
      </c>
      <c r="F90" s="153">
        <f t="shared" si="5"/>
        <v>6</v>
      </c>
      <c r="G90" s="156" t="s">
        <v>411</v>
      </c>
      <c r="H90" s="149" t="s">
        <v>412</v>
      </c>
      <c r="I90" s="152">
        <v>44.047619047619044</v>
      </c>
      <c r="J90" s="152">
        <v>-0.10416666666666667</v>
      </c>
      <c r="K90" s="153">
        <f t="shared" si="0"/>
        <v>10</v>
      </c>
      <c r="L90" s="153">
        <f t="shared" si="6"/>
        <v>3</v>
      </c>
      <c r="M90" s="161" t="s">
        <v>419</v>
      </c>
      <c r="N90" s="161" t="s">
        <v>419</v>
      </c>
      <c r="O90" s="152">
        <v>71.111111111111114</v>
      </c>
      <c r="P90" s="152">
        <v>0.35185185185185186</v>
      </c>
      <c r="Q90" s="153">
        <f t="shared" si="1"/>
        <v>4</v>
      </c>
      <c r="R90" s="153">
        <f t="shared" si="7"/>
        <v>9</v>
      </c>
      <c r="S90" s="156" t="s">
        <v>412</v>
      </c>
      <c r="T90" s="156" t="s">
        <v>412</v>
      </c>
      <c r="U90" s="152">
        <f>0.590909090909091*100</f>
        <v>59.090909090909108</v>
      </c>
      <c r="V90" s="152">
        <v>0.18181818181818182</v>
      </c>
      <c r="W90" s="153">
        <f t="shared" si="2"/>
        <v>6</v>
      </c>
      <c r="X90" s="153">
        <f t="shared" si="8"/>
        <v>7</v>
      </c>
      <c r="Y90" s="152"/>
      <c r="Z90" s="152"/>
      <c r="AA90" s="152">
        <v>40.816326530612244</v>
      </c>
      <c r="AB90" s="152">
        <v>-0.14516129032258066</v>
      </c>
      <c r="AC90" s="153">
        <f t="shared" si="3"/>
        <v>8</v>
      </c>
      <c r="AD90" s="153">
        <f t="shared" si="9"/>
        <v>4</v>
      </c>
      <c r="AE90" s="164" t="s">
        <v>419</v>
      </c>
      <c r="AF90" s="164" t="s">
        <v>419</v>
      </c>
      <c r="AG90" s="146" t="s">
        <v>359</v>
      </c>
    </row>
    <row r="91" spans="2:33" x14ac:dyDescent="0.35">
      <c r="B91" s="145" t="s">
        <v>360</v>
      </c>
      <c r="C91" s="144">
        <v>35.294117647058826</v>
      </c>
      <c r="D91" s="144">
        <v>-0.27777777777777779</v>
      </c>
      <c r="E91" s="154">
        <f t="shared" si="4"/>
        <v>1</v>
      </c>
      <c r="F91" s="154">
        <f t="shared" si="5"/>
        <v>1</v>
      </c>
      <c r="G91" s="144" t="s">
        <v>419</v>
      </c>
      <c r="H91" s="144" t="s">
        <v>419</v>
      </c>
      <c r="I91" s="144">
        <v>68.055555555555557</v>
      </c>
      <c r="J91" s="144">
        <v>0.27083333333333331</v>
      </c>
      <c r="K91" s="154">
        <f t="shared" si="0"/>
        <v>4</v>
      </c>
      <c r="L91" s="154">
        <f t="shared" si="6"/>
        <v>9</v>
      </c>
      <c r="M91" s="144" t="s">
        <v>412</v>
      </c>
      <c r="N91" s="144" t="s">
        <v>412</v>
      </c>
      <c r="O91" s="144">
        <v>43.18181818181818</v>
      </c>
      <c r="P91" s="144">
        <v>-0.1111111111111111</v>
      </c>
      <c r="Q91" s="154">
        <f t="shared" si="1"/>
        <v>7</v>
      </c>
      <c r="R91" s="154">
        <f t="shared" si="7"/>
        <v>6</v>
      </c>
      <c r="S91" s="162" t="s">
        <v>419</v>
      </c>
      <c r="T91" s="162" t="s">
        <v>419</v>
      </c>
      <c r="U91" s="144">
        <v>53.191489361702104</v>
      </c>
      <c r="V91" s="144">
        <v>6.3829787234042548E-2</v>
      </c>
      <c r="W91" s="154">
        <f t="shared" si="2"/>
        <v>7</v>
      </c>
      <c r="X91" s="154">
        <f t="shared" si="8"/>
        <v>6</v>
      </c>
      <c r="Y91" s="144" t="s">
        <v>412</v>
      </c>
      <c r="Z91" s="144" t="s">
        <v>412</v>
      </c>
      <c r="AA91" s="144">
        <v>66.666666666666657</v>
      </c>
      <c r="AB91" s="144">
        <v>0.24193548387096775</v>
      </c>
      <c r="AC91" s="154">
        <f t="shared" si="3"/>
        <v>1</v>
      </c>
      <c r="AD91" s="154">
        <f t="shared" si="9"/>
        <v>12</v>
      </c>
      <c r="AE91" s="144" t="s">
        <v>412</v>
      </c>
      <c r="AF91" s="144" t="s">
        <v>412</v>
      </c>
      <c r="AG91" s="145" t="s">
        <v>360</v>
      </c>
    </row>
    <row r="92" spans="2:33" x14ac:dyDescent="0.35">
      <c r="B92" s="147" t="s">
        <v>361</v>
      </c>
      <c r="C92" s="150">
        <v>100</v>
      </c>
      <c r="D92" s="150">
        <v>1</v>
      </c>
      <c r="E92" s="151">
        <f t="shared" si="4"/>
        <v>5</v>
      </c>
      <c r="F92" s="151">
        <f t="shared" si="5"/>
        <v>6</v>
      </c>
      <c r="G92" s="155" t="s">
        <v>411</v>
      </c>
      <c r="H92" s="148" t="s">
        <v>412</v>
      </c>
      <c r="I92" s="150">
        <v>91.891891891891902</v>
      </c>
      <c r="J92" s="150">
        <v>0.64583333333333337</v>
      </c>
      <c r="K92" s="151">
        <f t="shared" si="0"/>
        <v>1</v>
      </c>
      <c r="L92" s="151">
        <f t="shared" si="6"/>
        <v>12</v>
      </c>
      <c r="M92" s="155" t="s">
        <v>412</v>
      </c>
      <c r="N92" s="155" t="s">
        <v>412</v>
      </c>
      <c r="O92" s="150">
        <v>61.702127659574465</v>
      </c>
      <c r="P92" s="150">
        <v>0.20370370370370369</v>
      </c>
      <c r="Q92" s="151">
        <f t="shared" si="1"/>
        <v>5</v>
      </c>
      <c r="R92" s="151">
        <f t="shared" si="7"/>
        <v>8</v>
      </c>
      <c r="S92" s="155" t="s">
        <v>412</v>
      </c>
      <c r="T92" s="155" t="s">
        <v>412</v>
      </c>
      <c r="U92" s="150">
        <v>73.80952380952381</v>
      </c>
      <c r="V92" s="150">
        <v>0.47619047619047616</v>
      </c>
      <c r="W92" s="151">
        <f t="shared" si="2"/>
        <v>3</v>
      </c>
      <c r="X92" s="151">
        <f t="shared" si="8"/>
        <v>10</v>
      </c>
      <c r="Y92" s="150" t="s">
        <v>412</v>
      </c>
      <c r="Z92" s="150" t="s">
        <v>412</v>
      </c>
      <c r="AA92" s="150">
        <v>59.183673469387756</v>
      </c>
      <c r="AB92" s="150">
        <v>0.14516129032258066</v>
      </c>
      <c r="AC92" s="151">
        <f t="shared" si="3"/>
        <v>4</v>
      </c>
      <c r="AD92" s="151">
        <f t="shared" si="9"/>
        <v>9</v>
      </c>
      <c r="AE92" s="150" t="s">
        <v>412</v>
      </c>
      <c r="AF92" s="150" t="s">
        <v>412</v>
      </c>
      <c r="AG92" s="147" t="s">
        <v>361</v>
      </c>
    </row>
    <row r="93" spans="2:33" x14ac:dyDescent="0.35">
      <c r="B93" s="146" t="s">
        <v>362</v>
      </c>
      <c r="C93" s="152">
        <v>100</v>
      </c>
      <c r="D93" s="152">
        <v>1</v>
      </c>
      <c r="E93" s="153">
        <f t="shared" si="4"/>
        <v>5</v>
      </c>
      <c r="F93" s="153">
        <f t="shared" si="5"/>
        <v>6</v>
      </c>
      <c r="G93" s="156" t="s">
        <v>411</v>
      </c>
      <c r="H93" s="149" t="s">
        <v>412</v>
      </c>
      <c r="I93" s="152">
        <v>50.602409638554214</v>
      </c>
      <c r="J93" s="152">
        <v>1.0416666666666666E-2</v>
      </c>
      <c r="K93" s="153">
        <f t="shared" si="0"/>
        <v>8</v>
      </c>
      <c r="L93" s="153">
        <f t="shared" si="6"/>
        <v>5</v>
      </c>
      <c r="M93" s="156" t="s">
        <v>412</v>
      </c>
      <c r="N93" s="156" t="s">
        <v>412</v>
      </c>
      <c r="O93" s="152">
        <v>89.583333333333343</v>
      </c>
      <c r="P93" s="152">
        <v>0.70370370370370372</v>
      </c>
      <c r="Q93" s="153">
        <f t="shared" si="1"/>
        <v>1</v>
      </c>
      <c r="R93" s="153">
        <f t="shared" si="7"/>
        <v>12</v>
      </c>
      <c r="S93" s="156" t="s">
        <v>412</v>
      </c>
      <c r="T93" s="156" t="s">
        <v>412</v>
      </c>
      <c r="U93" s="152">
        <v>52.083333333333336</v>
      </c>
      <c r="V93" s="152">
        <v>4.1666666666666664E-2</v>
      </c>
      <c r="W93" s="153">
        <f t="shared" si="2"/>
        <v>8</v>
      </c>
      <c r="X93" s="153">
        <f t="shared" si="8"/>
        <v>5</v>
      </c>
      <c r="Y93" s="152"/>
      <c r="Z93" s="152"/>
      <c r="AA93" s="152">
        <v>37.254901960784316</v>
      </c>
      <c r="AB93" s="152">
        <v>-0.20967741935483872</v>
      </c>
      <c r="AC93" s="153">
        <f t="shared" si="3"/>
        <v>11</v>
      </c>
      <c r="AD93" s="153">
        <f t="shared" si="9"/>
        <v>2</v>
      </c>
      <c r="AE93" s="164" t="s">
        <v>419</v>
      </c>
      <c r="AF93" s="164" t="s">
        <v>419</v>
      </c>
      <c r="AG93" s="146" t="s">
        <v>362</v>
      </c>
    </row>
    <row r="94" spans="2:33" x14ac:dyDescent="0.35">
      <c r="B94" s="145" t="s">
        <v>363</v>
      </c>
      <c r="C94" s="144">
        <v>50</v>
      </c>
      <c r="D94" s="144">
        <v>0</v>
      </c>
      <c r="E94" s="154">
        <f t="shared" si="4"/>
        <v>3</v>
      </c>
      <c r="F94" s="154">
        <f t="shared" si="5"/>
        <v>3</v>
      </c>
      <c r="G94" s="144" t="s">
        <v>411</v>
      </c>
      <c r="H94" s="144"/>
      <c r="I94" s="144">
        <v>76.470588235294116</v>
      </c>
      <c r="J94" s="144">
        <v>0.46875</v>
      </c>
      <c r="K94" s="154">
        <f t="shared" si="0"/>
        <v>2</v>
      </c>
      <c r="L94" s="154">
        <f t="shared" si="6"/>
        <v>11</v>
      </c>
      <c r="M94" s="144" t="s">
        <v>412</v>
      </c>
      <c r="N94" s="144" t="s">
        <v>412</v>
      </c>
      <c r="O94" s="144">
        <v>21.568627450980394</v>
      </c>
      <c r="P94" s="144">
        <v>-0.53703703703703709</v>
      </c>
      <c r="Q94" s="154">
        <f t="shared" si="1"/>
        <v>11</v>
      </c>
      <c r="R94" s="154">
        <f t="shared" si="7"/>
        <v>2</v>
      </c>
      <c r="S94" s="162" t="s">
        <v>419</v>
      </c>
      <c r="T94" s="162" t="s">
        <v>419</v>
      </c>
      <c r="U94" s="144">
        <v>26.086956521739129</v>
      </c>
      <c r="V94" s="144">
        <v>-0.47826086956521741</v>
      </c>
      <c r="W94" s="154">
        <f t="shared" si="2"/>
        <v>12</v>
      </c>
      <c r="X94" s="154">
        <f t="shared" si="8"/>
        <v>1</v>
      </c>
      <c r="Y94" s="162" t="s">
        <v>419</v>
      </c>
      <c r="Z94" s="162" t="s">
        <v>419</v>
      </c>
      <c r="AA94" s="144">
        <v>50</v>
      </c>
      <c r="AB94" s="144">
        <v>0</v>
      </c>
      <c r="AC94" s="154">
        <f t="shared" si="3"/>
        <v>5</v>
      </c>
      <c r="AD94" s="154">
        <f t="shared" si="9"/>
        <v>7</v>
      </c>
      <c r="AE94" s="144" t="s">
        <v>412</v>
      </c>
      <c r="AF94" s="144" t="s">
        <v>412</v>
      </c>
      <c r="AG94" s="145" t="s">
        <v>363</v>
      </c>
    </row>
    <row r="95" spans="2:33" x14ac:dyDescent="0.35">
      <c r="B95" s="147" t="s">
        <v>364</v>
      </c>
      <c r="C95" s="150">
        <v>100</v>
      </c>
      <c r="D95" s="150">
        <v>1</v>
      </c>
      <c r="E95" s="151">
        <f t="shared" si="4"/>
        <v>5</v>
      </c>
      <c r="F95" s="151">
        <f t="shared" si="5"/>
        <v>6</v>
      </c>
      <c r="G95" s="155" t="s">
        <v>411</v>
      </c>
      <c r="H95" s="148" t="s">
        <v>412</v>
      </c>
      <c r="I95" s="150">
        <v>61.643835616438359</v>
      </c>
      <c r="J95" s="150">
        <v>0.17708333333333334</v>
      </c>
      <c r="K95" s="151">
        <f t="shared" si="0"/>
        <v>5</v>
      </c>
      <c r="L95" s="151">
        <f t="shared" si="6"/>
        <v>8</v>
      </c>
      <c r="M95" s="155" t="s">
        <v>412</v>
      </c>
      <c r="N95" s="155" t="s">
        <v>412</v>
      </c>
      <c r="O95" s="150">
        <v>34.883720930232556</v>
      </c>
      <c r="P95" s="158">
        <v>-0.24074074074074073</v>
      </c>
      <c r="Q95" s="151">
        <f t="shared" si="1"/>
        <v>9</v>
      </c>
      <c r="R95" s="151">
        <f t="shared" si="7"/>
        <v>4</v>
      </c>
      <c r="S95" s="163" t="s">
        <v>419</v>
      </c>
      <c r="T95" s="163" t="s">
        <v>419</v>
      </c>
      <c r="U95" s="150">
        <v>76.744186046511629</v>
      </c>
      <c r="V95" s="150">
        <v>0.53488372093023251</v>
      </c>
      <c r="W95" s="151">
        <f t="shared" si="2"/>
        <v>2</v>
      </c>
      <c r="X95" s="151">
        <f t="shared" si="8"/>
        <v>11</v>
      </c>
      <c r="Y95" s="150" t="s">
        <v>412</v>
      </c>
      <c r="Z95" s="150" t="s">
        <v>412</v>
      </c>
      <c r="AA95" s="150">
        <v>63.46153846153846</v>
      </c>
      <c r="AB95" s="150">
        <v>0.22580645161290322</v>
      </c>
      <c r="AC95" s="151">
        <f t="shared" si="3"/>
        <v>2</v>
      </c>
      <c r="AD95" s="151">
        <f t="shared" si="9"/>
        <v>10</v>
      </c>
      <c r="AE95" s="150" t="s">
        <v>412</v>
      </c>
      <c r="AF95" s="150" t="s">
        <v>412</v>
      </c>
      <c r="AG95" s="147" t="s">
        <v>364</v>
      </c>
    </row>
    <row r="96" spans="2:33" x14ac:dyDescent="0.35">
      <c r="B96" s="146" t="s">
        <v>365</v>
      </c>
      <c r="C96" s="152">
        <v>100</v>
      </c>
      <c r="D96" s="152">
        <v>0.94444444444444442</v>
      </c>
      <c r="E96" s="153">
        <f t="shared" si="4"/>
        <v>5</v>
      </c>
      <c r="F96" s="153">
        <f t="shared" si="5"/>
        <v>5</v>
      </c>
      <c r="G96" s="156" t="s">
        <v>411</v>
      </c>
      <c r="H96" s="149" t="s">
        <v>412</v>
      </c>
      <c r="I96" s="152">
        <v>47.191011235955052</v>
      </c>
      <c r="J96" s="152">
        <v>-5.2083333333333336E-2</v>
      </c>
      <c r="K96" s="153">
        <f t="shared" si="0"/>
        <v>9</v>
      </c>
      <c r="L96" s="153">
        <f t="shared" si="6"/>
        <v>4</v>
      </c>
      <c r="M96" s="161" t="s">
        <v>419</v>
      </c>
      <c r="N96" s="161" t="s">
        <v>419</v>
      </c>
      <c r="O96" s="152">
        <v>84</v>
      </c>
      <c r="P96" s="152">
        <v>0.62962962962962965</v>
      </c>
      <c r="Q96" s="153">
        <f t="shared" si="1"/>
        <v>2</v>
      </c>
      <c r="R96" s="153">
        <f t="shared" si="7"/>
        <v>11</v>
      </c>
      <c r="S96" s="156" t="s">
        <v>412</v>
      </c>
      <c r="T96" s="156" t="s">
        <v>412</v>
      </c>
      <c r="U96" s="152">
        <v>50</v>
      </c>
      <c r="V96" s="152">
        <v>0</v>
      </c>
      <c r="W96" s="153">
        <f t="shared" si="2"/>
        <v>9</v>
      </c>
      <c r="X96" s="153">
        <f t="shared" si="8"/>
        <v>4</v>
      </c>
      <c r="Y96" s="152"/>
      <c r="Z96" s="152"/>
      <c r="AA96" s="152">
        <v>42.553191489361701</v>
      </c>
      <c r="AB96" s="152">
        <v>-0.11290322580645161</v>
      </c>
      <c r="AC96" s="153">
        <f t="shared" si="3"/>
        <v>7</v>
      </c>
      <c r="AD96" s="153">
        <f t="shared" si="9"/>
        <v>6</v>
      </c>
      <c r="AE96" s="164" t="s">
        <v>419</v>
      </c>
      <c r="AF96" s="164" t="s">
        <v>419</v>
      </c>
      <c r="AG96" s="146" t="s">
        <v>365</v>
      </c>
    </row>
    <row r="97" spans="1:37" x14ac:dyDescent="0.35">
      <c r="B97" s="145" t="s">
        <v>366</v>
      </c>
      <c r="C97" s="144">
        <v>38.888888888888893</v>
      </c>
      <c r="D97" s="144">
        <v>-0.22222222222222221</v>
      </c>
      <c r="E97" s="154">
        <f t="shared" si="4"/>
        <v>2</v>
      </c>
      <c r="F97" s="154">
        <f t="shared" si="5"/>
        <v>2</v>
      </c>
      <c r="G97" s="144" t="s">
        <v>419</v>
      </c>
      <c r="H97" s="144" t="s">
        <v>419</v>
      </c>
      <c r="I97" s="144">
        <v>57.831325301204814</v>
      </c>
      <c r="J97" s="144">
        <v>0.13541666666666666</v>
      </c>
      <c r="K97" s="154">
        <f t="shared" si="0"/>
        <v>6</v>
      </c>
      <c r="L97" s="154">
        <f t="shared" si="6"/>
        <v>7</v>
      </c>
      <c r="M97" s="144"/>
      <c r="N97" s="144"/>
      <c r="O97" s="144">
        <v>11.76470588235294</v>
      </c>
      <c r="P97" s="144">
        <v>-0.72222222222222221</v>
      </c>
      <c r="Q97" s="154">
        <f t="shared" si="1"/>
        <v>12</v>
      </c>
      <c r="R97" s="154">
        <f t="shared" si="7"/>
        <v>1</v>
      </c>
      <c r="S97" s="144"/>
      <c r="T97" s="144"/>
      <c r="U97" s="144">
        <v>26.666666666666668</v>
      </c>
      <c r="V97" s="144">
        <v>-0.46666666666666667</v>
      </c>
      <c r="W97" s="154">
        <f t="shared" si="2"/>
        <v>11</v>
      </c>
      <c r="X97" s="154">
        <f t="shared" si="8"/>
        <v>2</v>
      </c>
      <c r="Y97" s="162" t="s">
        <v>419</v>
      </c>
      <c r="Z97" s="162" t="s">
        <v>419</v>
      </c>
      <c r="AA97" s="144">
        <v>35.294117647058826</v>
      </c>
      <c r="AB97" s="144">
        <v>-0.24193548387096775</v>
      </c>
      <c r="AC97" s="154">
        <f t="shared" si="3"/>
        <v>12</v>
      </c>
      <c r="AD97" s="154">
        <f t="shared" si="9"/>
        <v>1</v>
      </c>
      <c r="AE97" s="162" t="s">
        <v>419</v>
      </c>
      <c r="AF97" s="162" t="s">
        <v>419</v>
      </c>
      <c r="AG97" s="145" t="s">
        <v>366</v>
      </c>
    </row>
    <row r="98" spans="1:37" x14ac:dyDescent="0.35">
      <c r="D98" s="142" t="s">
        <v>7</v>
      </c>
      <c r="E98" s="142" t="s">
        <v>416</v>
      </c>
      <c r="F98" s="142" t="s">
        <v>417</v>
      </c>
      <c r="G98" s="142" t="s">
        <v>418</v>
      </c>
      <c r="J98" s="142" t="s">
        <v>7</v>
      </c>
      <c r="K98" s="142" t="s">
        <v>416</v>
      </c>
      <c r="L98" s="142" t="s">
        <v>417</v>
      </c>
      <c r="M98" s="142" t="s">
        <v>418</v>
      </c>
      <c r="P98" s="142" t="s">
        <v>7</v>
      </c>
      <c r="Q98" s="142" t="s">
        <v>416</v>
      </c>
      <c r="R98" s="142" t="s">
        <v>417</v>
      </c>
      <c r="S98" s="142" t="s">
        <v>418</v>
      </c>
      <c r="V98" s="142" t="s">
        <v>7</v>
      </c>
      <c r="W98" s="142" t="s">
        <v>416</v>
      </c>
      <c r="X98" s="142" t="s">
        <v>417</v>
      </c>
      <c r="Y98" s="142" t="s">
        <v>418</v>
      </c>
      <c r="AB98" s="142" t="s">
        <v>7</v>
      </c>
      <c r="AC98" s="142" t="s">
        <v>416</v>
      </c>
      <c r="AD98" s="142" t="s">
        <v>417</v>
      </c>
      <c r="AE98" s="142" t="s">
        <v>418</v>
      </c>
    </row>
    <row r="99" spans="1:37" x14ac:dyDescent="0.35">
      <c r="B99" s="143" t="s">
        <v>408</v>
      </c>
      <c r="C99" s="37" t="s">
        <v>413</v>
      </c>
      <c r="D99" s="159" t="s">
        <v>411</v>
      </c>
      <c r="E99" s="159" t="s">
        <v>412</v>
      </c>
      <c r="F99" s="159" t="s">
        <v>412</v>
      </c>
      <c r="G99" s="159" t="s">
        <v>412</v>
      </c>
      <c r="I99" s="37" t="s">
        <v>413</v>
      </c>
      <c r="J99" s="159" t="s">
        <v>419</v>
      </c>
      <c r="K99" s="159" t="s">
        <v>412</v>
      </c>
      <c r="L99" s="159" t="s">
        <v>421</v>
      </c>
      <c r="M99" s="159" t="s">
        <v>412</v>
      </c>
      <c r="O99" s="37" t="s">
        <v>413</v>
      </c>
      <c r="P99" s="159"/>
      <c r="Q99" s="159" t="s">
        <v>419</v>
      </c>
      <c r="R99" s="159" t="s">
        <v>412</v>
      </c>
      <c r="S99" s="159" t="s">
        <v>419</v>
      </c>
      <c r="U99" s="37" t="s">
        <v>413</v>
      </c>
      <c r="V99" s="159" t="s">
        <v>423</v>
      </c>
      <c r="W99" s="159" t="s">
        <v>420</v>
      </c>
      <c r="X99" s="159" t="s">
        <v>420</v>
      </c>
      <c r="Y99" s="159" t="s">
        <v>423</v>
      </c>
      <c r="AA99" s="37" t="s">
        <v>413</v>
      </c>
      <c r="AB99" s="159" t="s">
        <v>423</v>
      </c>
      <c r="AC99" s="159"/>
      <c r="AD99" s="159" t="s">
        <v>420</v>
      </c>
      <c r="AE99" s="159" t="s">
        <v>423</v>
      </c>
      <c r="AK99" s="143" t="s">
        <v>424</v>
      </c>
    </row>
    <row r="100" spans="1:37" x14ac:dyDescent="0.35">
      <c r="B100" s="143" t="s">
        <v>409</v>
      </c>
      <c r="C100" s="37" t="s">
        <v>414</v>
      </c>
      <c r="D100" s="159" t="s">
        <v>412</v>
      </c>
      <c r="E100" s="160" t="s">
        <v>412</v>
      </c>
      <c r="F100" s="160" t="s">
        <v>412</v>
      </c>
      <c r="G100" s="159" t="s">
        <v>412</v>
      </c>
      <c r="I100" s="37" t="s">
        <v>414</v>
      </c>
      <c r="J100" s="159" t="s">
        <v>419</v>
      </c>
      <c r="K100" s="160" t="s">
        <v>419</v>
      </c>
      <c r="L100" s="160" t="s">
        <v>419</v>
      </c>
      <c r="M100" s="159" t="s">
        <v>422</v>
      </c>
      <c r="O100" s="37" t="s">
        <v>414</v>
      </c>
      <c r="P100" s="159" t="s">
        <v>412</v>
      </c>
      <c r="Q100" s="160" t="s">
        <v>412</v>
      </c>
      <c r="R100" s="160" t="s">
        <v>421</v>
      </c>
      <c r="S100" s="160" t="s">
        <v>421</v>
      </c>
      <c r="U100" s="37" t="s">
        <v>414</v>
      </c>
      <c r="V100" s="159" t="s">
        <v>420</v>
      </c>
      <c r="W100" s="159" t="s">
        <v>420</v>
      </c>
      <c r="X100" s="159" t="s">
        <v>420</v>
      </c>
      <c r="Y100" s="160"/>
      <c r="AA100" s="37" t="s">
        <v>414</v>
      </c>
      <c r="AB100" s="159" t="s">
        <v>419</v>
      </c>
      <c r="AC100" s="159" t="s">
        <v>419</v>
      </c>
      <c r="AD100" s="159" t="s">
        <v>419</v>
      </c>
      <c r="AE100" s="159" t="s">
        <v>419</v>
      </c>
    </row>
    <row r="101" spans="1:37" x14ac:dyDescent="0.35">
      <c r="C101" s="37" t="s">
        <v>415</v>
      </c>
      <c r="D101" s="160" t="s">
        <v>412</v>
      </c>
      <c r="E101" s="159" t="s">
        <v>419</v>
      </c>
      <c r="F101" s="160" t="s">
        <v>412</v>
      </c>
      <c r="G101" s="159" t="s">
        <v>419</v>
      </c>
      <c r="I101" s="37" t="s">
        <v>415</v>
      </c>
      <c r="J101" s="160" t="s">
        <v>419</v>
      </c>
      <c r="K101" s="160" t="s">
        <v>412</v>
      </c>
      <c r="L101" s="160" t="s">
        <v>421</v>
      </c>
      <c r="M101" s="160" t="s">
        <v>412</v>
      </c>
      <c r="O101" s="37" t="s">
        <v>415</v>
      </c>
      <c r="P101" s="159" t="s">
        <v>419</v>
      </c>
      <c r="Q101" s="159" t="s">
        <v>419</v>
      </c>
      <c r="R101" s="159" t="s">
        <v>422</v>
      </c>
      <c r="S101" s="159" t="s">
        <v>422</v>
      </c>
      <c r="U101" s="37" t="s">
        <v>415</v>
      </c>
      <c r="V101" s="159" t="s">
        <v>419</v>
      </c>
      <c r="W101" s="159" t="s">
        <v>423</v>
      </c>
      <c r="X101" s="159" t="s">
        <v>419</v>
      </c>
      <c r="Y101" s="159" t="s">
        <v>422</v>
      </c>
      <c r="AA101" s="37" t="s">
        <v>415</v>
      </c>
      <c r="AB101" s="159" t="s">
        <v>419</v>
      </c>
      <c r="AC101" s="159" t="s">
        <v>423</v>
      </c>
      <c r="AD101" s="159"/>
      <c r="AE101" s="159" t="s">
        <v>419</v>
      </c>
    </row>
    <row r="104" spans="1:37" x14ac:dyDescent="0.35">
      <c r="B104" t="s">
        <v>7</v>
      </c>
      <c r="C104" s="13" t="s">
        <v>9</v>
      </c>
      <c r="D104" t="s">
        <v>8</v>
      </c>
      <c r="E104" t="s">
        <v>428</v>
      </c>
    </row>
    <row r="106" spans="1:37" x14ac:dyDescent="0.35">
      <c r="A106" t="s">
        <v>415</v>
      </c>
      <c r="B106" s="61" t="s">
        <v>272</v>
      </c>
      <c r="C106" s="5" t="s">
        <v>269</v>
      </c>
      <c r="D106" s="5" t="s">
        <v>269</v>
      </c>
      <c r="E106" s="5" t="s">
        <v>269</v>
      </c>
    </row>
    <row r="107" spans="1:37" x14ac:dyDescent="0.35">
      <c r="A107" t="s">
        <v>415</v>
      </c>
      <c r="B107" s="61" t="s">
        <v>273</v>
      </c>
      <c r="C107" s="5" t="s">
        <v>270</v>
      </c>
      <c r="D107" s="5" t="s">
        <v>270</v>
      </c>
      <c r="E107" s="5" t="s">
        <v>270</v>
      </c>
    </row>
    <row r="108" spans="1:37" x14ac:dyDescent="0.35">
      <c r="A108" t="s">
        <v>415</v>
      </c>
      <c r="B108" s="48" t="s">
        <v>274</v>
      </c>
      <c r="C108" s="61" t="s">
        <v>271</v>
      </c>
      <c r="D108" s="61" t="s">
        <v>271</v>
      </c>
      <c r="E108" s="61" t="s">
        <v>271</v>
      </c>
    </row>
    <row r="109" spans="1:37" x14ac:dyDescent="0.35">
      <c r="A109" t="s">
        <v>415</v>
      </c>
      <c r="B109" s="48" t="s">
        <v>275</v>
      </c>
      <c r="C109" s="61" t="s">
        <v>272</v>
      </c>
      <c r="D109" s="61" t="s">
        <v>272</v>
      </c>
      <c r="E109" s="61" t="s">
        <v>272</v>
      </c>
    </row>
    <row r="110" spans="1:37" x14ac:dyDescent="0.35">
      <c r="A110" t="s">
        <v>415</v>
      </c>
      <c r="C110" s="61" t="s">
        <v>273</v>
      </c>
      <c r="D110" s="61" t="s">
        <v>273</v>
      </c>
      <c r="E110" s="61" t="s">
        <v>273</v>
      </c>
    </row>
    <row r="111" spans="1:37" x14ac:dyDescent="0.35">
      <c r="A111" t="s">
        <v>415</v>
      </c>
      <c r="C111" s="48" t="s">
        <v>274</v>
      </c>
      <c r="D111" s="48" t="s">
        <v>274</v>
      </c>
      <c r="E111" s="48" t="s">
        <v>274</v>
      </c>
    </row>
    <row r="112" spans="1:37" x14ac:dyDescent="0.35">
      <c r="A112" t="s">
        <v>415</v>
      </c>
      <c r="C112" s="48" t="s">
        <v>275</v>
      </c>
      <c r="D112" s="48" t="s">
        <v>275</v>
      </c>
      <c r="E112" s="48" t="s">
        <v>275</v>
      </c>
    </row>
    <row r="113" spans="1:5" x14ac:dyDescent="0.35">
      <c r="A113" t="s">
        <v>415</v>
      </c>
      <c r="C113" s="48" t="s">
        <v>276</v>
      </c>
      <c r="D113" s="48" t="s">
        <v>276</v>
      </c>
      <c r="E113" s="48" t="s">
        <v>276</v>
      </c>
    </row>
    <row r="114" spans="1:5" x14ac:dyDescent="0.35">
      <c r="A114" t="s">
        <v>415</v>
      </c>
      <c r="C114" s="48" t="s">
        <v>277</v>
      </c>
      <c r="D114" s="48" t="s">
        <v>277</v>
      </c>
      <c r="E114" s="48" t="s">
        <v>277</v>
      </c>
    </row>
    <row r="115" spans="1:5" x14ac:dyDescent="0.35">
      <c r="A115" t="s">
        <v>415</v>
      </c>
      <c r="C115" s="6" t="s">
        <v>278</v>
      </c>
      <c r="E115" s="6" t="s">
        <v>278</v>
      </c>
    </row>
    <row r="116" spans="1:5" x14ac:dyDescent="0.35">
      <c r="A116" t="s">
        <v>415</v>
      </c>
      <c r="C116" s="48" t="s">
        <v>281</v>
      </c>
      <c r="E116" s="6" t="s">
        <v>280</v>
      </c>
    </row>
  </sheetData>
  <mergeCells count="10">
    <mergeCell ref="B1:I1"/>
    <mergeCell ref="B17:I17"/>
    <mergeCell ref="B32:I32"/>
    <mergeCell ref="B48:I48"/>
    <mergeCell ref="B64:I64"/>
    <mergeCell ref="C84:H84"/>
    <mergeCell ref="I84:N84"/>
    <mergeCell ref="O84:T84"/>
    <mergeCell ref="U84:Z84"/>
    <mergeCell ref="AA84:AF84"/>
  </mergeCells>
  <conditionalFormatting sqref="D87:D88 D90:D91 D93:D94 D96:D97">
    <cfRule type="cellIs" dxfId="4" priority="5" operator="lessThan">
      <formula>0</formula>
    </cfRule>
  </conditionalFormatting>
  <conditionalFormatting sqref="J87:J88 J90:J91 J93:J94 J96:J97">
    <cfRule type="cellIs" dxfId="3" priority="4" operator="lessThan">
      <formula>0</formula>
    </cfRule>
  </conditionalFormatting>
  <conditionalFormatting sqref="P87:P91 P93:P94 P96:P97">
    <cfRule type="cellIs" dxfId="2" priority="3" operator="lessThan">
      <formula>0</formula>
    </cfRule>
  </conditionalFormatting>
  <conditionalFormatting sqref="V87:V88 V90:V91 V93:V94 V96:V97">
    <cfRule type="cellIs" dxfId="1" priority="2" operator="lessThan">
      <formula>0</formula>
    </cfRule>
  </conditionalFormatting>
  <conditionalFormatting sqref="AB87:AB88 AB90:AB91 AB93:AB94 AB96:AB97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F6FB-43D7-4E9A-B8C7-9F0FA918F7E8}">
  <dimension ref="A1"/>
  <sheetViews>
    <sheetView topLeftCell="A10" workbookViewId="0">
      <selection activeCell="M26" sqref="M2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RNet50</vt:lpstr>
      <vt:lpstr>RNet_NegSensitivity_Summary</vt:lpstr>
      <vt:lpstr>MNet_L</vt:lpstr>
      <vt:lpstr>MNet_L_NetSensitivity_Summary</vt:lpstr>
      <vt:lpstr>MNet_S</vt:lpstr>
      <vt:lpstr>MNet_S_NetSensitivity_Summary</vt:lpstr>
      <vt:lpstr>IV3</vt:lpstr>
      <vt:lpstr>IV3_NetSensitivity_Summary</vt:lpstr>
      <vt:lpstr>VGG16</vt:lpstr>
      <vt:lpstr>VGG_NetSensitivity_Summary</vt:lpstr>
      <vt:lpstr>CSI _CPeet1</vt:lpstr>
      <vt:lpstr>NeuronPertubation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Srikanth Kaniyanoor</dc:creator>
  <cp:lastModifiedBy>Srinivasan, Srikanth Kaniyanoor</cp:lastModifiedBy>
  <dcterms:created xsi:type="dcterms:W3CDTF">2026-02-02T18:44:50Z</dcterms:created>
  <dcterms:modified xsi:type="dcterms:W3CDTF">2026-02-22T16:03:10Z</dcterms:modified>
</cp:coreProperties>
</file>